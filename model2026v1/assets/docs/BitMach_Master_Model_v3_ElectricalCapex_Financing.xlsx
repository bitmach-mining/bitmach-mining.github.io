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Control" sheetId="2" state="visible" r:id="rId2"/>
    <sheet xmlns:r="http://schemas.openxmlformats.org/officeDocument/2006/relationships" name="CAPEX_Electrical_Detail" sheetId="3" state="visible" r:id="rId3"/>
    <sheet xmlns:r="http://schemas.openxmlformats.org/officeDocument/2006/relationships" name="12M_Deployment" sheetId="4" state="visible" r:id="rId4"/>
    <sheet xmlns:r="http://schemas.openxmlformats.org/officeDocument/2006/relationships" name="12M_Revenue" sheetId="5" state="visible" r:id="rId5"/>
    <sheet xmlns:r="http://schemas.openxmlformats.org/officeDocument/2006/relationships" name="12M_Opex" sheetId="6" state="visible" r:id="rId6"/>
    <sheet xmlns:r="http://schemas.openxmlformats.org/officeDocument/2006/relationships" name="12M_Capex" sheetId="7" state="visible" r:id="rId7"/>
    <sheet xmlns:r="http://schemas.openxmlformats.org/officeDocument/2006/relationships" name="12M_Miner_Vendor" sheetId="8" state="visible" r:id="rId8"/>
    <sheet xmlns:r="http://schemas.openxmlformats.org/officeDocument/2006/relationships" name="12M_EPC_Tranches" sheetId="9" state="visible" r:id="rId9"/>
    <sheet xmlns:r="http://schemas.openxmlformats.org/officeDocument/2006/relationships" name="12M_Cashflow" sheetId="10" state="visible" r:id="rId10"/>
    <sheet xmlns:r="http://schemas.openxmlformats.org/officeDocument/2006/relationships" name="12M_Funding" sheetId="11" state="visible" r:id="rId11"/>
    <sheet xmlns:r="http://schemas.openxmlformats.org/officeDocument/2006/relationships" name="Debt_Amortization" sheetId="12" state="visible" r:id="rId12"/>
    <sheet xmlns:r="http://schemas.openxmlformats.org/officeDocument/2006/relationships" name="10Y_Ramp" sheetId="13" state="visible" r:id="rId13"/>
    <sheet xmlns:r="http://schemas.openxmlformats.org/officeDocument/2006/relationships" name="10Y_Model" sheetId="14" state="visible" r:id="rId14"/>
    <sheet xmlns:r="http://schemas.openxmlformats.org/officeDocument/2006/relationships" name="Checks" sheetId="15" state="visible" r:id="rId15"/>
  </sheets>
  <definedNames/>
  <calcPr calcId="124519" calcMode="auto" fullCalcOnLoad="1" forceFullCalc="1"/>
</workbook>
</file>

<file path=xl/styles.xml><?xml version="1.0" encoding="utf-8"?>
<styleSheet xmlns="http://schemas.openxmlformats.org/spreadsheetml/2006/main">
  <numFmts count="5">
    <numFmt numFmtId="164" formatCode="#,##0.0;[Red](#,##0.0);-"/>
    <numFmt numFmtId="165" formatCode="$#,##0"/>
    <numFmt numFmtId="166" formatCode="0.0%"/>
    <numFmt numFmtId="167" formatCode="#,##0;[Red](#,##0);-"/>
    <numFmt numFmtId="168" formatCode="$#,##0;[Red]($#,##0);-"/>
  </numFmts>
  <fonts count="9">
    <font>
      <name val="Calibri"/>
      <family val="2"/>
      <color theme="1"/>
      <sz val="11"/>
      <scheme val="minor"/>
    </font>
    <font>
      <name val="Arial"/>
      <b val="1"/>
      <color rgb="00FFFFFF"/>
      <sz val="11"/>
    </font>
    <font>
      <name val="Arial"/>
      <b val="1"/>
      <color rgb="00000000"/>
      <sz val="10"/>
    </font>
    <font>
      <name val="Arial"/>
      <color rgb="00666666"/>
      <sz val="9"/>
    </font>
    <font>
      <name val="Arial"/>
      <b val="1"/>
      <color rgb="00FFFFFF"/>
      <sz val="10"/>
    </font>
    <font>
      <name val="Arial"/>
      <color rgb="00000000"/>
      <sz val="10"/>
    </font>
    <font>
      <name val="Arial"/>
      <color rgb="000000FF"/>
      <sz val="10"/>
    </font>
    <font>
      <name val="Arial"/>
      <sz val="10"/>
    </font>
    <font>
      <name val="Arial"/>
      <b val="1"/>
      <sz val="10"/>
    </font>
  </fonts>
  <fills count="8">
    <fill>
      <patternFill/>
    </fill>
    <fill>
      <patternFill patternType="gray125"/>
    </fill>
    <fill>
      <patternFill patternType="solid">
        <fgColor rgb="00111114"/>
      </patternFill>
    </fill>
    <fill>
      <patternFill patternType="solid">
        <fgColor rgb="00FFF2CC"/>
      </patternFill>
    </fill>
    <fill>
      <patternFill patternType="solid">
        <fgColor rgb="00D9E1F2"/>
      </patternFill>
    </fill>
    <fill>
      <patternFill patternType="solid">
        <fgColor rgb="00F3F4F6"/>
      </patternFill>
    </fill>
    <fill>
      <patternFill patternType="solid">
        <fgColor rgb="00F7F8FA"/>
      </patternFill>
    </fill>
    <fill>
      <patternFill patternType="solid">
        <fgColor rgb="00E21F3D"/>
      </patternFill>
    </fill>
  </fills>
  <borders count="8">
    <border>
      <left/>
      <right/>
      <top/>
      <bottom/>
      <diagonal/>
    </border>
    <border>
      <bottom style="thin">
        <color rgb="00BFBFBF"/>
      </bottom>
    </border>
    <border>
      <top style="medium">
        <color rgb="00000000"/>
      </top>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0" applyAlignment="1" pivotButton="0" quotePrefix="0" xfId="0">
      <alignment horizontal="left" vertical="center"/>
    </xf>
    <xf numFmtId="2" fontId="6" fillId="3" borderId="0" applyAlignment="1" pivotButton="0" quotePrefix="0" xfId="0">
      <alignment horizontal="right" vertical="center"/>
    </xf>
    <xf numFmtId="0" fontId="3" fillId="0" borderId="0" applyAlignment="1" pivotButton="0" quotePrefix="0" xfId="0">
      <alignment vertical="top" wrapText="1"/>
    </xf>
    <xf numFmtId="164" fontId="6" fillId="3" borderId="0" applyAlignment="1" pivotButton="0" quotePrefix="0" xfId="0">
      <alignment horizontal="right" vertical="center"/>
    </xf>
    <xf numFmtId="165" fontId="6" fillId="3" borderId="0" applyAlignment="1" pivotButton="0" quotePrefix="0" xfId="0">
      <alignment horizontal="right" vertical="center"/>
    </xf>
    <xf numFmtId="166" fontId="6" fillId="3" borderId="0" applyAlignment="1" pivotButton="0" quotePrefix="0" xfId="0">
      <alignment horizontal="right" vertical="center"/>
    </xf>
    <xf numFmtId="167" fontId="6" fillId="3" borderId="0" applyAlignment="1" pivotButton="0" quotePrefix="0" xfId="0">
      <alignment horizontal="right" vertical="center"/>
    </xf>
    <xf numFmtId="164" fontId="5" fillId="0" borderId="0" applyAlignment="1" pivotButton="0" quotePrefix="0" xfId="0">
      <alignment horizontal="right" vertical="center"/>
    </xf>
    <xf numFmtId="168" fontId="6" fillId="3" borderId="0" applyAlignment="1" pivotButton="0" quotePrefix="0" xfId="0">
      <alignment horizontal="right" vertical="center"/>
    </xf>
    <xf numFmtId="0" fontId="2" fillId="4" borderId="0" applyAlignment="1" pivotButton="0" quotePrefix="0" xfId="0">
      <alignment horizontal="center" vertical="center"/>
    </xf>
    <xf numFmtId="0" fontId="4" fillId="2" borderId="0" applyAlignment="1" pivotButton="0" quotePrefix="0" xfId="0">
      <alignment horizontal="center" vertical="center"/>
    </xf>
    <xf numFmtId="167" fontId="5" fillId="5" borderId="0" applyAlignment="1" pivotButton="0" quotePrefix="0" xfId="0">
      <alignment horizontal="right" vertical="center"/>
    </xf>
    <xf numFmtId="0" fontId="2" fillId="0" borderId="2" applyAlignment="1" pivotButton="0" quotePrefix="0" xfId="0">
      <alignment horizontal="left" vertical="center"/>
    </xf>
    <xf numFmtId="0" fontId="3" fillId="0" borderId="2" pivotButton="0" quotePrefix="0" xfId="0"/>
    <xf numFmtId="0" fontId="2" fillId="0" borderId="2" pivotButton="0" quotePrefix="0" xfId="0"/>
    <xf numFmtId="164" fontId="2" fillId="0" borderId="2" applyAlignment="1" pivotButton="0" quotePrefix="0" xfId="0">
      <alignment horizontal="right" vertical="center"/>
    </xf>
    <xf numFmtId="167" fontId="5" fillId="0" borderId="0" applyAlignment="1" pivotButton="0" quotePrefix="0" xfId="0">
      <alignment horizontal="right" vertical="center"/>
    </xf>
    <xf numFmtId="167" fontId="2" fillId="0" borderId="2" applyAlignment="1" pivotButton="0" quotePrefix="0" xfId="0">
      <alignment horizontal="right" vertical="center"/>
    </xf>
    <xf numFmtId="0" fontId="5" fillId="0" borderId="2" applyAlignment="1" pivotButton="0" quotePrefix="0" xfId="0">
      <alignment horizontal="left" vertical="center"/>
    </xf>
    <xf numFmtId="165" fontId="5" fillId="0" borderId="0" applyAlignment="1" pivotButton="0" quotePrefix="0" xfId="0">
      <alignment horizontal="right" vertical="center"/>
    </xf>
    <xf numFmtId="3" fontId="5" fillId="0" borderId="0" applyAlignment="1" pivotButton="0" quotePrefix="0" xfId="0">
      <alignment horizontal="right" vertical="center"/>
    </xf>
    <xf numFmtId="164" fontId="5" fillId="3" borderId="0" applyAlignment="1" pivotButton="0" quotePrefix="0" xfId="0">
      <alignment horizontal="right" vertical="center"/>
    </xf>
    <xf numFmtId="0" fontId="0" fillId="0" borderId="2" pivotButton="0" quotePrefix="0" xfId="0"/>
    <xf numFmtId="0" fontId="5" fillId="0" borderId="0" applyAlignment="1" pivotButton="0" quotePrefix="0" xfId="0">
      <alignment horizontal="right" vertical="center"/>
    </xf>
    <xf numFmtId="164" fontId="5" fillId="0" borderId="2" applyAlignment="1" pivotButton="0" quotePrefix="0" xfId="0">
      <alignment horizontal="right" vertical="center"/>
    </xf>
    <xf numFmtId="0" fontId="2" fillId="0" borderId="2" applyAlignment="1" pivotButton="0" quotePrefix="0" xfId="0">
      <alignment horizontal="right" vertical="center"/>
    </xf>
    <xf numFmtId="1" fontId="6" fillId="3" borderId="0" applyAlignment="1" pivotButton="0" quotePrefix="0" xfId="0">
      <alignment horizontal="right" vertical="center"/>
    </xf>
    <xf numFmtId="0" fontId="1" fillId="2" borderId="0" pivotButton="0" quotePrefix="0" xfId="0"/>
    <xf numFmtId="0" fontId="7" fillId="6" borderId="0" pivotButton="0" quotePrefix="0" xfId="0"/>
    <xf numFmtId="0" fontId="4" fillId="2" borderId="3" applyAlignment="1" pivotButton="0" quotePrefix="0" xfId="0">
      <alignment horizontal="center"/>
    </xf>
    <xf numFmtId="0" fontId="7" fillId="0" borderId="3" applyAlignment="1" pivotButton="0" quotePrefix="0" xfId="0">
      <alignment vertical="center"/>
    </xf>
    <xf numFmtId="2" fontId="7" fillId="0" borderId="3" applyAlignment="1" pivotButton="0" quotePrefix="0" xfId="0">
      <alignment vertical="center"/>
    </xf>
    <xf numFmtId="0" fontId="8" fillId="6" borderId="3" applyAlignment="1" pivotButton="0" quotePrefix="0" xfId="0">
      <alignment vertical="center"/>
    </xf>
    <xf numFmtId="0" fontId="0" fillId="0" borderId="3" applyAlignment="1" pivotButton="0" quotePrefix="0" xfId="0">
      <alignment vertical="center"/>
    </xf>
    <xf numFmtId="0" fontId="1" fillId="7" borderId="3" applyAlignment="1" pivotButton="0" quotePrefix="0" xfId="0">
      <alignment vertical="center"/>
    </xf>
    <xf numFmtId="0" fontId="8" fillId="0" borderId="3" applyAlignment="1" pivotButton="0" quotePrefix="0" xfId="0">
      <alignment vertical="center"/>
    </xf>
    <xf numFmtId="0" fontId="4" fillId="2" borderId="3" applyAlignment="1" pivotButton="0" quotePrefix="0" xfId="0">
      <alignment vertical="center"/>
    </xf>
    <xf numFmtId="2" fontId="2" fillId="4" borderId="0" applyAlignment="1" pivotButton="0" quotePrefix="0" xfId="0">
      <alignment horizontal="center" vertical="center"/>
    </xf>
    <xf numFmtId="2" fontId="5" fillId="0" borderId="0" applyAlignment="1" pivotButton="0" quotePrefix="0" xfId="0">
      <alignment horizontal="right" vertical="center"/>
    </xf>
    <xf numFmtId="0" fontId="7" fillId="0" borderId="0" pivotButton="0" quotePrefix="0" xfId="0"/>
    <xf numFmtId="2" fontId="7" fillId="0" borderId="0" pivotButton="0" quotePrefix="0" xfId="0"/>
    <xf numFmtId="0" fontId="0" fillId="6" borderId="0" pivotButton="0" quotePrefix="0" xfId="0"/>
    <xf numFmtId="2" fontId="4" fillId="2" borderId="0" pivotButton="0" quotePrefix="0" xfId="0"/>
    <xf numFmtId="0" fontId="0" fillId="6" borderId="3" applyAlignment="1" pivotButton="0" quotePrefix="0" xfId="0">
      <alignment vertical="center"/>
    </xf>
    <xf numFmtId="0" fontId="0" fillId="0" borderId="6" pivotButton="0" quotePrefix="0" xfId="0"/>
    <xf numFmtId="0" fontId="0" fillId="0" borderId="7"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Monthly Revenue vs Opex vs Capex</a:t>
            </a:r>
          </a:p>
        </rich>
      </tx>
      <overlay val="0"/>
      <txPr>
        <a:bodyPr xmlns:a="http://schemas.openxmlformats.org/drawingml/2006/main" anchorCtr="1"/>
        <a:lstStyle xmlns:a="http://schemas.openxmlformats.org/drawingml/2006/main"/>
        <a:p xmlns:a="http://schemas.openxmlformats.org/drawingml/2006/main">
          <a:pPr>
            <a:defRPr/>
          </a:pPr>
          <a:r>
            <a:t>None</a:t>
          </a:r>
        </a:p>
      </txPr>
    </title>
    <plotArea>
      <layout/>
      <lineChart>
        <grouping val="standard"/>
        <varyColors val="0"/>
        <ser>
          <idx val="0"/>
          <order val="0"/>
          <spPr>
            <a:ln xmlns:a="http://schemas.openxmlformats.org/drawingml/2006/main">
              <a:prstDash val="solid"/>
            </a:ln>
          </spPr>
          <marker>
            <symbol val="none"/>
            <spPr>
              <a:ln xmlns:a="http://schemas.openxmlformats.org/drawingml/2006/main">
                <a:prstDash val="solid"/>
              </a:ln>
            </spPr>
          </marker>
          <cat>
            <strRef>
              <f>'12M_Cashflow'!$D$4:$O$4</f>
              <strCache>
                <ptCount val="0"/>
              </strCache>
            </strRef>
          </cat>
          <val>
            <numRef>
              <f>'12M_Cashflow'!$D$5:$O$5</f>
              <numCache>
                <ptCount val="0"/>
              </numCache>
            </numRef>
          </val>
          <smooth val="0"/>
        </ser>
        <ser>
          <idx val="1"/>
          <order val="1"/>
          <spPr>
            <a:ln xmlns:a="http://schemas.openxmlformats.org/drawingml/2006/main">
              <a:prstDash val="solid"/>
            </a:ln>
          </spPr>
          <marker>
            <symbol val="none"/>
            <spPr>
              <a:ln xmlns:a="http://schemas.openxmlformats.org/drawingml/2006/main">
                <a:prstDash val="solid"/>
              </a:ln>
            </spPr>
          </marker>
          <cat>
            <strRef>
              <f>'12M_Cashflow'!$D$4:$O$4</f>
              <strCache>
                <ptCount val="0"/>
              </strCache>
            </strRef>
          </cat>
          <val>
            <numRef>
              <f>'12M_Cashflow'!$D$6:$O$6</f>
              <numCache>
                <ptCount val="0"/>
              </numCache>
            </numRef>
          </val>
          <smooth val="0"/>
        </ser>
        <ser>
          <idx val="2"/>
          <order val="2"/>
          <spPr>
            <a:ln xmlns:a="http://schemas.openxmlformats.org/drawingml/2006/main">
              <a:prstDash val="solid"/>
            </a:ln>
          </spPr>
          <marker>
            <symbol val="none"/>
            <spPr>
              <a:ln xmlns:a="http://schemas.openxmlformats.org/drawingml/2006/main">
                <a:prstDash val="solid"/>
              </a:ln>
            </spPr>
          </marker>
          <cat>
            <strRef>
              <f>'12M_Cashflow'!$D$4:$O$4</f>
              <strCache>
                <ptCount val="0"/>
              </strCache>
            </strRef>
          </cat>
          <val>
            <numRef>
              <f>'12M_Cashflow'!$D$7:$O$7</f>
              <numCache>
                <ptCount val="0"/>
              </numCache>
            </numRef>
          </val>
          <smooth val="0"/>
        </ser>
        <ser>
          <idx val="3"/>
          <order val="3"/>
          <spPr>
            <a:ln xmlns:a="http://schemas.openxmlformats.org/drawingml/2006/main">
              <a:prstDash val="solid"/>
            </a:ln>
          </spPr>
          <marker>
            <symbol val="none"/>
            <spPr>
              <a:ln xmlns:a="http://schemas.openxmlformats.org/drawingml/2006/main">
                <a:prstDash val="solid"/>
              </a:ln>
            </spPr>
          </marker>
          <cat>
            <strRef>
              <f>'12M_Cashflow'!$D$4:$O$4</f>
              <strCache>
                <ptCount val="0"/>
              </strCache>
            </strRef>
          </cat>
          <val>
            <numRef>
              <f>'12M_Cashflow'!$D$8:$O$8</f>
              <numCache>
                <ptCount val="0"/>
              </numCache>
            </numRef>
          </val>
          <smooth val="0"/>
        </ser>
        <ser>
          <idx val="4"/>
          <order val="4"/>
          <spPr>
            <a:ln xmlns:a="http://schemas.openxmlformats.org/drawingml/2006/main">
              <a:prstDash val="solid"/>
            </a:ln>
          </spPr>
          <marker>
            <symbol val="none"/>
            <spPr>
              <a:ln xmlns:a="http://schemas.openxmlformats.org/drawingml/2006/main">
                <a:prstDash val="solid"/>
              </a:ln>
            </spPr>
          </marker>
          <cat>
            <strRef>
              <f>'12M_Cashflow'!$D$4:$O$4</f>
              <strCache>
                <ptCount val="0"/>
              </strCache>
            </strRef>
          </cat>
          <val>
            <numRef>
              <f>'12M_Cashflow'!$D$9:$O$9</f>
              <numCache>
                <ptCount val="0"/>
              </numCache>
            </numRef>
          </val>
          <smooth val="0"/>
        </ser>
        <axId val="48650112"/>
        <axId val="48672768"/>
      </lineChart>
      <catAx>
        <axId val="48650112"/>
        <scaling>
          <orientation val="minMax"/>
        </scaling>
        <delete val="0"/>
        <axPos val="l"/>
        <numFmt formatCode="" sourceLinked="0"/>
        <majorTickMark val="none"/>
        <minorTickMark val="none"/>
        <crossAx val="48672768"/>
        <crosses val="autoZero"/>
        <lblAlgn val="ctr"/>
        <lblOffset val="100"/>
        <noMultiLvlLbl val="0"/>
      </catAx>
      <valAx>
        <axId val="48672768"/>
        <scaling>
          <orientation val="minMax"/>
        </scaling>
        <delete val="0"/>
        <axPos val="l"/>
        <title>
          <tx>
            <rich>
              <a:bodyPr xmlns:a="http://schemas.openxmlformats.org/drawingml/2006/main"/>
              <a:lstStyle xmlns:a="http://schemas.openxmlformats.org/drawingml/2006/main"/>
              <a:p xmlns:a="http://schemas.openxmlformats.org/drawingml/2006/main">
                <a:r>
                  <a:rPr/>
                  <a:t>ZAR'000</a:t>
                </a:r>
              </a:p>
            </rich>
          </tx>
          <txPr>
            <a:bodyPr xmlns:a="http://schemas.openxmlformats.org/drawingml/2006/main" anchorCtr="1"/>
            <a:lstStyle xmlns:a="http://schemas.openxmlformats.org/drawingml/2006/main"/>
            <a:p xmlns:a="http://schemas.openxmlformats.org/drawingml/2006/main">
              <a:pPr>
                <a:defRPr/>
              </a:pPr>
              <a:r>
                <a:t>None</a:t>
              </a:r>
            </a:p>
          </txPr>
        </title>
        <numFmt formatCode="" sourceLinked="0"/>
        <majorTickMark val="none"/>
        <minorTickMark val="none"/>
        <crossAx val="48650112"/>
        <crosses val="autoZero"/>
        <crossBetween val="between"/>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10Y Revenue / EBITDA / Capex</a:t>
            </a:r>
          </a:p>
        </rich>
      </tx>
      <overlay val="0"/>
      <txPr>
        <a:bodyPr xmlns:a="http://schemas.openxmlformats.org/drawingml/2006/main" anchorCtr="1"/>
        <a:lstStyle xmlns:a="http://schemas.openxmlformats.org/drawingml/2006/main"/>
        <a:p xmlns:a="http://schemas.openxmlformats.org/drawingml/2006/main">
          <a:pPr>
            <a:defRPr/>
          </a:pPr>
          <a:r>
            <a:t>None</a:t>
          </a:r>
        </a:p>
      </txPr>
    </title>
    <plotArea>
      <layout/>
      <lineChart>
        <grouping val="standard"/>
        <varyColors val="0"/>
        <ser>
          <idx val="0"/>
          <order val="0"/>
          <spPr>
            <a:ln xmlns:a="http://schemas.openxmlformats.org/drawingml/2006/main">
              <a:prstDash val="solid"/>
            </a:ln>
          </spPr>
          <marker>
            <symbol val="none"/>
            <spPr>
              <a:ln xmlns:a="http://schemas.openxmlformats.org/drawingml/2006/main">
                <a:prstDash val="solid"/>
              </a:ln>
            </spPr>
          </marker>
          <cat>
            <strRef>
              <f>'10Y_Model'!$D$4:$M$4</f>
              <strCache>
                <ptCount val="0"/>
              </strCache>
            </strRef>
          </cat>
          <val>
            <numRef>
              <f>'10Y_Model'!$D$13:$M$13</f>
              <numCache>
                <ptCount val="0"/>
              </numCache>
            </numRef>
          </val>
          <smooth val="0"/>
        </ser>
        <ser>
          <idx val="1"/>
          <order val="1"/>
          <spPr>
            <a:ln xmlns:a="http://schemas.openxmlformats.org/drawingml/2006/main">
              <a:prstDash val="solid"/>
            </a:ln>
          </spPr>
          <marker>
            <symbol val="none"/>
            <spPr>
              <a:ln xmlns:a="http://schemas.openxmlformats.org/drawingml/2006/main">
                <a:prstDash val="solid"/>
              </a:ln>
            </spPr>
          </marker>
          <cat>
            <strRef>
              <f>'10Y_Model'!$D$4:$M$4</f>
              <strCache>
                <ptCount val="0"/>
              </strCache>
            </strRef>
          </cat>
          <val>
            <numRef>
              <f>'10Y_Model'!$D$27:$M$27</f>
              <numCache>
                <ptCount val="0"/>
              </numCache>
            </numRef>
          </val>
          <smooth val="0"/>
        </ser>
        <ser>
          <idx val="2"/>
          <order val="2"/>
          <spPr>
            <a:ln xmlns:a="http://schemas.openxmlformats.org/drawingml/2006/main">
              <a:prstDash val="solid"/>
            </a:ln>
          </spPr>
          <marker>
            <symbol val="none"/>
            <spPr>
              <a:ln xmlns:a="http://schemas.openxmlformats.org/drawingml/2006/main">
                <a:prstDash val="solid"/>
              </a:ln>
            </spPr>
          </marker>
          <cat>
            <strRef>
              <f>'10Y_Model'!$D$4:$M$4</f>
              <strCache>
                <ptCount val="0"/>
              </strCache>
            </strRef>
          </cat>
          <val>
            <numRef>
              <f>'10Y_Model'!$D$37:$M$37</f>
              <numCache>
                <ptCount val="0"/>
              </numCache>
            </numRef>
          </val>
          <smooth val="0"/>
        </ser>
        <axId val="48650112"/>
        <axId val="48672768"/>
      </lineChart>
      <catAx>
        <axId val="48650112"/>
        <scaling>
          <orientation val="minMax"/>
        </scaling>
        <delete val="0"/>
        <axPos val="l"/>
        <numFmt formatCode="" sourceLinked="0"/>
        <majorTickMark val="none"/>
        <minorTickMark val="none"/>
        <crossAx val="48672768"/>
        <crosses val="autoZero"/>
        <lblAlgn val="ctr"/>
        <lblOffset val="100"/>
        <noMultiLvlLbl val="0"/>
      </catAx>
      <valAx>
        <axId val="48672768"/>
        <scaling>
          <orientation val="minMax"/>
        </scaling>
        <delete val="0"/>
        <axPos val="l"/>
        <title>
          <tx>
            <rich>
              <a:bodyPr xmlns:a="http://schemas.openxmlformats.org/drawingml/2006/main"/>
              <a:lstStyle xmlns:a="http://schemas.openxmlformats.org/drawingml/2006/main"/>
              <a:p xmlns:a="http://schemas.openxmlformats.org/drawingml/2006/main">
                <a:r>
                  <a:rPr/>
                  <a:t>ZAR'000</a:t>
                </a:r>
              </a:p>
            </rich>
          </tx>
          <txPr>
            <a:bodyPr xmlns:a="http://schemas.openxmlformats.org/drawingml/2006/main" anchorCtr="1"/>
            <a:lstStyle xmlns:a="http://schemas.openxmlformats.org/drawingml/2006/main"/>
            <a:p xmlns:a="http://schemas.openxmlformats.org/drawingml/2006/main">
              <a:pPr>
                <a:defRPr/>
              </a:pPr>
              <a:r>
                <a:t>None</a:t>
              </a:r>
            </a:p>
          </txPr>
        </title>
        <numFmt formatCode="" sourceLinked="0"/>
        <majorTickMark val="none"/>
        <minorTickMark val="none"/>
        <crossAx val="48650112"/>
        <crosses val="autoZero"/>
        <crossBetween val="between"/>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C4" authorId="0" shapeId="0">
      <text>
        <t>April 2026 investor materials use R17.00/USD for Phase 1 capital framing.</t>
      </text>
    </comment>
    <comment ref="C5" authorId="0" shapeId="0">
      <text>
        <t>Leave at 0 to see pure burn before financing.</t>
      </text>
    </comment>
    <comment ref="C6" authorId="0" shapeId="0">
      <text>
        <t>Conservative editable placeholder.</t>
      </text>
    </comment>
    <comment ref="C7" authorId="0" shapeId="0">
      <text>
        <t>Editable market assumption.</t>
      </text>
    </comment>
    <comment ref="C8" authorId="0" shapeId="0">
      <text>
        <t>Editable network assumption.</t>
      </text>
    </comment>
    <comment ref="C9" authorId="0" shapeId="0">
      <text>
        <t>Editable market assumption.</t>
      </text>
    </comment>
    <comment ref="C10" authorId="0" shapeId="0">
      <text>
        <t>Protocol input.</t>
      </text>
    </comment>
    <comment ref="C11" authorId="0" shapeId="0">
      <text>
        <t>Protocol / pool-fee uplift assumption.</t>
      </text>
    </comment>
    <comment ref="C12" authorId="0" shapeId="0">
      <text>
        <t>Protocol input.</t>
      </text>
    </comment>
    <comment ref="C13" authorId="0" shapeId="0">
      <text>
        <t>Placeholder corporate tax rate.</t>
      </text>
    </comment>
    <comment ref="C14" authorId="0" shapeId="0">
      <text>
        <t>Operational uptime.</t>
      </text>
    </comment>
    <comment ref="C15" authorId="0" shapeId="0">
      <text>
        <t>10Y model escalation.</t>
      </text>
    </comment>
    <comment ref="C16" authorId="0" shapeId="0">
      <text>
        <t>10Y model escalation.</t>
      </text>
    </comment>
    <comment ref="C17" authorId="0" shapeId="0">
      <text>
        <t>10Y model escalation.</t>
      </text>
    </comment>
    <comment ref="C18" authorId="0" shapeId="0">
      <text>
        <t>Proof phase size.</t>
      </text>
    </comment>
    <comment ref="C19" authorId="0" shapeId="0">
      <text>
        <t>Source: Bitmach_Investor_Pres_12_April_2026_Final.pdf p28 shows 15MW Grootvlei + 5MW AMSA for Phase 1.</t>
      </text>
    </comment>
    <comment ref="C20" authorId="0" shapeId="0">
      <text>
        <t>Source: Bitmach_Investor_Pres_12_April_2026_Final.pdf p28 shows 15MW Grootvlei + 5MW AMSA for Phase 1.</t>
      </text>
    </comment>
    <comment ref="C21" authorId="0" shapeId="0">
      <text>
        <t>Source context: 09 Feb 2026 Grootvlei Concept Design uses ~19 hours/day normal operation; 31 Mar 2026 Nedbank memo says 18 hours/day is more conservative than 20 hours/day.</t>
      </text>
    </comment>
    <comment ref="C22" authorId="0" shapeId="0">
      <text>
        <t>Solar blend requested in chat.</t>
      </text>
    </comment>
    <comment ref="C23" authorId="0" shapeId="0">
      <text>
        <t>Solar blend requested in chat.</t>
      </text>
    </comment>
    <comment ref="C24" authorId="0" shapeId="0">
      <text>
        <t>Editable management placeholder from chat.</t>
      </text>
    </comment>
    <comment ref="C25" authorId="0" shapeId="0">
      <text>
        <t>Year-1 Grootvlei grid tariff assumption. Based on the Nedbank memo recommendation to use conservative proof-phase tariffs of roughly R0.80/kWh off-peak and R1.20/kWh day/peak, and the April 2026 investor presentation Year 1 tariff band of R0.80-R1.20/kWh. Source files: Bitmach_Nedbank Business Model and Project monitoring (2).docx; Bitmach_Investor_Pres_12_April_2026_Final.pdf.</t>
      </text>
    </comment>
    <comment ref="C26" authorId="0" shapeId="0">
      <text>
        <t>Year-1 AMSA grid tariff assumption. Based on the Nedbank memo recommendation to distinguish AMSA economics from Grootvlei, with AMSA benefiting from better blended power economics over time. Source file: Bitmach_Nedbank Business Model and Project monitoring (2).docx.</t>
      </text>
    </comment>
    <comment ref="C27" authorId="0" shapeId="0">
      <text>
        <t>User guidance in chat: ~R7m/MW.</t>
      </text>
    </comment>
    <comment ref="C28" authorId="0" shapeId="0">
      <text>
        <t>Solar O&amp;M as % of capex.</t>
      </text>
    </comment>
    <comment ref="C29" authorId="0" shapeId="0">
      <text>
        <t>Editable miner efficiency input set per user instruction to 12.5 J/T for the model. Working M7DS technical context pack shows a 13.5 J/T +/-5% reference range; this cell is intentionally editable for scenario work. Source file: Grootvlei_20MW_Context_and_Design_Basis.docx plus user instruction in chat.</t>
      </text>
    </comment>
    <comment ref="C30" authorId="0" shapeId="0">
      <text>
        <t>Editable M7DS hashrate assumption. Working context pack shows WhatsMiner M7DS at 638-702 TH/s. This model uses 700 TH/s as the initial scenario anchor and leaves it user-editable. Source file: Grootvlei_20MW_Context_and_Design_Basis.docx.</t>
      </text>
    </comment>
    <comment ref="C31" authorId="0" shapeId="0">
      <text>
        <t>Management instruction in chat: use WHATSMINER M7DS - 12.5J/T.</t>
      </text>
    </comment>
    <comment ref="C33" authorId="0" shapeId="0">
      <text>
        <t>ASIC unit price carried forward as a scenario input from the latest working business-plan workbook and left editable. Update once final OEM quotation is locked.</t>
      </text>
    </comment>
    <comment ref="C34" authorId="0" shapeId="0">
      <text>
        <t>Cooling / container auxiliaries.</t>
      </text>
    </comment>
    <comment ref="C35" authorId="0" shapeId="0">
      <text>
        <t>HeatCore XS2400 working basis.</t>
      </text>
    </comment>
    <comment ref="C36" authorId="0" shapeId="0">
      <text>
        <t>Hydro container price is a working placeholder assumption requiring final EPC/OEM confirmation. The current pack provides container technical bases but not a locked commercial quote.</t>
      </text>
    </comment>
    <comment ref="C38" authorId="0" shapeId="0">
      <text>
        <t>Recurring maintenance per miner.</t>
      </text>
    </comment>
    <comment ref="C39" authorId="0" shapeId="0">
      <text>
        <t>Source context: T2603-24 Cost Estimate shows ~R90.6m pilot EPC electrical scope order-of-magnitude.</t>
      </text>
    </comment>
    <comment ref="C40" authorId="0" shapeId="0">
      <text>
        <t>Editable logistics placeholder.</t>
      </text>
    </comment>
    <comment ref="C41" authorId="0" shapeId="0">
      <text>
        <t>Editable logistics placeholder.</t>
      </text>
    </comment>
    <comment ref="C42" authorId="0" shapeId="0">
      <text>
        <t>Editable logistics placeholder.</t>
      </text>
    </comment>
    <comment ref="C43" authorId="0" shapeId="0">
      <text>
        <t>Editable logistics placeholder.</t>
      </text>
    </comment>
    <comment ref="C44" authorId="0" shapeId="0">
      <text>
        <t>Editable cargo insurance assumption.</t>
      </text>
    </comment>
    <comment ref="C45" authorId="0" shapeId="0">
      <text>
        <t>Editable customs placeholder.</t>
      </text>
    </comment>
    <comment ref="C46" authorId="0" shapeId="0">
      <text>
        <t>Initial spares as % of hardware capex.</t>
      </text>
    </comment>
    <comment ref="C47" authorId="0" shapeId="0">
      <text>
        <t>Tools, meters, accessories and small equipment.</t>
      </text>
    </comment>
    <comment ref="C48" authorId="0" shapeId="0">
      <text>
        <t>Corporate office setup / deposits.</t>
      </text>
    </comment>
    <comment ref="C49" authorId="0" shapeId="0">
      <text>
        <t>Initial systems setup.</t>
      </text>
    </comment>
    <comment ref="C50" authorId="0" shapeId="0">
      <text>
        <t>Initial legal documentation.</t>
      </text>
    </comment>
    <comment ref="C51" authorId="0" shapeId="0">
      <text>
        <t>Laptop / phone / PPE / provisioning.</t>
      </text>
    </comment>
    <comment ref="C52" authorId="0" shapeId="0">
      <text>
        <t>Corporate team for first year.</t>
      </text>
    </comment>
    <comment ref="C53" authorId="0" shapeId="0">
      <text>
        <t>Average fully loaded corporate CTC.</t>
      </text>
    </comment>
    <comment ref="C54" authorId="0" shapeId="0">
      <text>
        <t>Manager + supervisor per active site.</t>
      </text>
    </comment>
    <comment ref="C55" authorId="0" shapeId="0">
      <text>
        <t>Average fully loaded site management CTC.</t>
      </text>
    </comment>
    <comment ref="C56" authorId="0" shapeId="0">
      <text>
        <t>Hydro site technician intensity.</t>
      </text>
    </comment>
    <comment ref="C57" authorId="0" shapeId="0">
      <text>
        <t>Average fully loaded technician CTC.</t>
      </text>
    </comment>
    <comment ref="C58" authorId="0" shapeId="0">
      <text>
        <t>Electricians per MW.</t>
      </text>
    </comment>
    <comment ref="C59" authorId="0" shapeId="0">
      <text>
        <t>Average fully loaded electrician CTC.</t>
      </text>
    </comment>
    <comment ref="C60" authorId="0" shapeId="0">
      <text>
        <t>Benefits and payroll load.</t>
      </text>
    </comment>
    <comment ref="C61" authorId="0" shapeId="0">
      <text>
        <t>Recurring travel / claims as % of payroll.</t>
      </text>
    </comment>
    <comment ref="C62" authorId="0" shapeId="0">
      <text>
        <t>One-off commissioning / mobilization travel.</t>
      </text>
    </comment>
    <comment ref="C63" authorId="0" shapeId="0">
      <text>
        <t>Email, PM, collaboration and security tools.</t>
      </text>
    </comment>
    <comment ref="C64" authorId="0" shapeId="0">
      <text>
        <t>SCADA, monitoring and connectivity support.</t>
      </text>
    </comment>
    <comment ref="C65" authorId="0" shapeId="0">
      <text>
        <t>Ongoing legal support.</t>
      </text>
    </comment>
    <comment ref="C66" authorId="0" shapeId="0">
      <text>
        <t>Head office rent.</t>
      </text>
    </comment>
    <comment ref="C67" authorId="0" shapeId="0">
      <text>
        <t>Recurring storage and cloud.</t>
      </text>
    </comment>
    <comment ref="C68" authorId="0" shapeId="0">
      <text>
        <t>Filters, consumables, small parts.</t>
      </text>
    </comment>
    <comment ref="C69" authorId="0" shapeId="0">
      <text>
        <t>Ongoing security and operating insurance.</t>
      </text>
    </comment>
    <comment ref="C70" authorId="0" shapeId="0">
      <text>
        <t>Water treatment and misc utilities.</t>
      </text>
    </comment>
    <comment ref="C71" authorId="0" shapeId="0">
      <text>
        <t>31 Mar 2026 Nedbank memo recommends that demand response remain structured upside / optionality rather than day-one debt support.</t>
      </text>
    </comment>
    <comment ref="C72" authorId="0" shapeId="0">
      <text>
        <t>Optionality start month.</t>
      </text>
    </comment>
    <comment ref="C73" authorId="0" shapeId="0">
      <text>
        <t>Demand-response revenue is modeled as optional upside, not base debt support, consistent with the Nedbank memo and investor materials. Source files: Bitmach_Nedbank Business Model and Project monitoring (2).docx; Investment Summary_12_April_2026.pdf.</t>
      </text>
    </comment>
    <comment ref="C74" authorId="0" shapeId="0">
      <text>
        <t>Equivalent paid availability hours.</t>
      </text>
    </comment>
    <comment ref="C75" authorId="0" shapeId="0">
      <text>
        <t>Share of availability window actually paid.</t>
      </text>
    </comment>
    <comment ref="C76" authorId="0" shapeId="0">
      <text>
        <t>12 Apr 2026 Investment Summary and investor deck position AI/HPC / hyperscaler revenue as a later-layer revenue stream, not required for day-one base economics.</t>
      </text>
    </comment>
    <comment ref="C77" authorId="0" shapeId="0">
      <text>
        <t>After first 12 months by default.</t>
      </text>
    </comment>
    <comment ref="C78" authorId="0" shapeId="0">
      <text>
        <t>Pilot tenant power sold.</t>
      </text>
    </comment>
    <comment ref="C79" authorId="0" shapeId="0">
      <text>
        <t>Conservative pilot tenant run profile.</t>
      </text>
    </comment>
    <comment ref="C80" authorId="0" shapeId="0">
      <text>
        <t>Placeholder pilot tariff.</t>
      </text>
    </comment>
    <comment ref="C81" authorId="0" shapeId="0">
      <text>
        <t>Hyperscaler / AI revenue is modeled as off by default in year 1, because current BitMach materials position AI/HPC as a later layer (year 2-3 / Phase 2-3 onward). Source files: Investment Summary_12_April_2026.pdf; Bitmach_Investor_Pres_12_April_2026_Final.pdf.</t>
      </text>
    </comment>
    <comment ref="C82" authorId="0" shapeId="0">
      <text>
        <t>Can switch on from year 2 onward.</t>
      </text>
    </comment>
    <comment ref="C83" authorId="0" shapeId="0">
      <text>
        <t>Share of platform MW converted to tenants.</t>
      </text>
    </comment>
    <comment ref="C84" authorId="0" shapeId="0">
      <text>
        <t>Annual AI/HPC price placeholder.</t>
      </text>
    </comment>
    <comment ref="C85" authorId="0" shapeId="0">
      <text>
        <t>10Y base case default is off.</t>
      </text>
    </comment>
    <comment ref="C86" authorId="0" shapeId="0">
      <text>
        <t>Annual DR price placeholder.</t>
      </text>
    </comment>
    <comment ref="C87" authorId="0" shapeId="0">
      <text>
        <t>Annual DR hours placeholder.</t>
      </text>
    </comment>
    <comment ref="C88" authorId="0" shapeId="0">
      <text>
        <t>Phase 1 site split aligned to the latest April 2026 investor presentation: 15MW Grootvlei + 5MW AMSA Vanderbijlpark. Source file: Bitmach_Investor_Pres_12_April_2026_Final.pdf.</t>
      </text>
    </comment>
  </commentList>
</comments>
</file>

<file path=xl/comments/comment2.xml><?xml version="1.0" encoding="utf-8"?>
<comments xmlns="http://schemas.openxmlformats.org/spreadsheetml/2006/main">
  <authors>
    <author>OpenAI</author>
  </authors>
  <commentList>
    <comment ref="D7" authorId="0" shapeId="0">
      <text>
        <t>Base case schedule: Grootvlei ramps first to 15MW.</t>
      </text>
    </comment>
    <comment ref="I8" authorId="0" shapeId="0">
      <text>
        <t>Base case schedule: AMSA begins commissioning once Grootvlei proof is underway.</t>
      </text>
    </comment>
    <comment ref="H9" authorId="0" shapeId="0">
      <text>
        <t>AMSA solar is an explicit build item so the model can capture solar capex and solar O&amp;M separately.</t>
      </text>
    </comment>
  </commentList>
</comments>
</file>

<file path=xl/comments/comment3.xml><?xml version="1.0" encoding="utf-8"?>
<comments xmlns="http://schemas.openxmlformats.org/spreadsheetml/2006/main">
  <authors>
    <author>OpenAI</author>
  </authors>
  <commentList>
    <comment ref="D12" authorId="0" shapeId="0">
      <text>
        <t>Optional funding line. Add equity or debt draws here if you want to see a funded cash balance.</t>
      </text>
    </comment>
  </commentList>
</comments>
</file>

<file path=xl/comments/comment4.xml><?xml version="1.0" encoding="utf-8"?>
<comments xmlns="http://schemas.openxmlformats.org/spreadsheetml/2006/main">
  <authors>
    <author>OpenAI</author>
  </authors>
  <commentList>
    <comment ref="D7" authorId="0" shapeId="0">
      <text>
        <t>Annual compute MW ramp is user-editable. Current profile reflects a strategic scaling path to 2,000MW over 10 years, as requested in chat, while staying directionally consistent with BitMach materials describing a 20MW proof-of-concept scaling to 500MW-2GW.</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from>
      <col>0</col>
      <colOff>0</colOff>
      <row>26</row>
      <rowOff>0</rowOff>
    </from>
    <to>
      <col>2</col>
      <colOff>0</colOff>
      <row>10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0</col>
      <colOff>0</colOff>
      <row>40</row>
      <rowOff>0</rowOff>
    </from>
    <to>
      <col>2</col>
      <colOff>0</colOff>
      <row>10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8" customWidth="1" min="1" max="1"/>
    <col width="110" customWidth="1" min="2" max="2"/>
    <col width="16" customWidth="1" min="3" max="3"/>
  </cols>
  <sheetData>
    <row r="1">
      <c r="A1" s="1" t="inlineStr">
        <is>
          <t>BitMach Master Model | v3 detailed EPC, vendor finance and debt structure</t>
        </is>
      </c>
    </row>
    <row r="2">
      <c r="A2" t="inlineStr">
        <is>
          <t>This version adds engineer-friendly electrical CAPEX detail, vendor-style miner finance, EPC tranches, external funding and an amortization tab.</t>
        </is>
      </c>
    </row>
    <row r="3">
      <c r="A3" s="2" t="inlineStr">
        <is>
          <t>What this workbook does</t>
        </is>
      </c>
      <c r="B3" s="3" t="inlineStr">
        <is>
          <t>Builds a formula-driven model for (i) the first 12 months of Phase 1 cash flow and burn, and (ii) a simplified 10-year site / solar / compute ramp to 2GW.</t>
        </is>
      </c>
    </row>
    <row r="4">
      <c r="A4" s="2" t="inlineStr">
        <is>
          <t>Updated / new tabs</t>
        </is>
      </c>
      <c r="B4" s="3" t="inlineStr">
        <is>
          <t>Purpose</t>
        </is>
      </c>
    </row>
    <row r="5">
      <c r="A5" s="2" t="inlineStr">
        <is>
          <t>CAPEX_Electrical_Detail</t>
        </is>
      </c>
      <c r="B5" s="3" t="inlineStr">
        <is>
          <t>Exact Hamar T2603-24 electrical quote packages, scope quantities, adders for unpriced items, and normalization into fixed/site + variable/MW electrical CAPEX.</t>
        </is>
      </c>
    </row>
    <row r="6">
      <c r="A6" s="2" t="inlineStr">
        <is>
          <t>12M_Miner_Vendor</t>
        </is>
      </c>
      <c r="B6" s="3" t="inlineStr">
        <is>
          <t>M7DS hardware basis with supplier-style payment mechanics: deposit, vendor-financed balance, monthly principal and interest schedule.</t>
        </is>
      </c>
    </row>
    <row r="7">
      <c r="A7" s="2" t="inlineStr">
        <is>
          <t>12M_EPC_Tranches</t>
        </is>
      </c>
      <c r="B7" s="3" t="inlineStr">
        <is>
          <t>Gross monthly electrical EPC basis and assumed EPC payment tranches / retention finance.</t>
        </is>
      </c>
    </row>
    <row r="8">
      <c r="A8" t="inlineStr">
        <is>
          <t>12M_Funding</t>
        </is>
      </c>
      <c r="B8" t="inlineStr">
        <is>
          <t>Equity and senior debt draw schedule sized to monthly funding need, net of arrangement fees.</t>
        </is>
      </c>
    </row>
    <row r="9">
      <c r="A9" t="inlineStr">
        <is>
          <t>Debt_Amortization</t>
        </is>
      </c>
      <c r="B9" t="inlineStr">
        <is>
          <t>Indicative 60-month senior debt schedule with interest capitalized during grace and amortization thereafter.</t>
        </is>
      </c>
    </row>
    <row r="10">
      <c r="A10" s="4" t="inlineStr">
        <is>
          <t>12M_Capex / 12M_Cashflow</t>
        </is>
      </c>
      <c r="B10" s="3" t="inlineStr">
        <is>
          <t>Now reference the detailed sheets rather than generic hard-coded timing heuristics for the main hardware / EPC cash spend.</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20"/>
  <sheetViews>
    <sheetView showGridLines="0" workbookViewId="0">
      <selection activeCell="A1" sqref="A1"/>
    </sheetView>
  </sheetViews>
  <sheetFormatPr baseColWidth="8" defaultRowHeight="15"/>
  <cols>
    <col width="34" customWidth="1" min="1" max="1"/>
    <col width="24" customWidth="1" min="2" max="2"/>
    <col width="16" customWidth="1" min="3" max="3"/>
    <col width="72" customWidth="1" min="4" max="4"/>
  </cols>
  <sheetData>
    <row r="1">
      <c r="A1" s="1" t="inlineStr">
        <is>
          <t>Control Centre | Edit blue cells only</t>
        </is>
      </c>
    </row>
    <row r="2">
      <c r="A2" s="5" t="inlineStr">
        <is>
          <t>Core assumptions, logistics, staffing and optional revenue controls.</t>
        </is>
      </c>
    </row>
    <row r="3">
      <c r="A3" s="6" t="inlineStr">
        <is>
          <t>Driver</t>
        </is>
      </c>
      <c r="B3" s="6" t="inlineStr">
        <is>
          <t>Unit</t>
        </is>
      </c>
      <c r="C3" s="6" t="inlineStr">
        <is>
          <t>Base Case</t>
        </is>
      </c>
      <c r="D3" s="6" t="inlineStr">
        <is>
          <t>Notes</t>
        </is>
      </c>
    </row>
    <row r="4">
      <c r="A4" s="7" t="inlineStr">
        <is>
          <t>FX (ZAR/USD)</t>
        </is>
      </c>
      <c r="B4" s="5" t="inlineStr">
        <is>
          <t>ZAR/USD</t>
        </is>
      </c>
      <c r="C4" s="8" t="n">
        <v>17</v>
      </c>
      <c r="D4" s="9" t="inlineStr">
        <is>
          <t>April 2026 investor materials use R17.00/USD for Phase 1 capital framing.</t>
        </is>
      </c>
    </row>
    <row r="5">
      <c r="A5" s="7" t="inlineStr">
        <is>
          <t>Opening cash</t>
        </is>
      </c>
      <c r="B5" s="5" t="inlineStr">
        <is>
          <t>ZAR'000</t>
        </is>
      </c>
      <c r="C5" s="8" t="n">
        <v>0</v>
      </c>
      <c r="D5" s="9" t="inlineStr">
        <is>
          <t>Leave at 0 to see pure burn before financing.</t>
        </is>
      </c>
    </row>
    <row r="6">
      <c r="A6" s="7" t="inlineStr">
        <is>
          <t>BTC price start</t>
        </is>
      </c>
      <c r="B6" s="5" t="inlineStr">
        <is>
          <t>USD/BTC</t>
        </is>
      </c>
      <c r="C6" s="8" t="n">
        <v>75000</v>
      </c>
      <c r="D6" s="9" t="inlineStr">
        <is>
          <t>Conservative editable placeholder.</t>
        </is>
      </c>
    </row>
    <row r="7">
      <c r="A7" s="7" t="inlineStr">
        <is>
          <t>BTC annual growth</t>
        </is>
      </c>
      <c r="B7" s="5" t="inlineStr">
        <is>
          <t>%</t>
        </is>
      </c>
      <c r="C7" s="8" t="n">
        <v>0.1</v>
      </c>
      <c r="D7" s="9" t="inlineStr">
        <is>
          <t>Editable market assumption.</t>
        </is>
      </c>
    </row>
    <row r="8">
      <c r="A8" s="7" t="inlineStr">
        <is>
          <t>Network hash start</t>
        </is>
      </c>
      <c r="B8" s="5" t="inlineStr">
        <is>
          <t>TH/s</t>
        </is>
      </c>
      <c r="C8" s="8" t="n">
        <v>900000000</v>
      </c>
      <c r="D8" s="9" t="inlineStr">
        <is>
          <t>Editable network assumption.</t>
        </is>
      </c>
    </row>
    <row r="9">
      <c r="A9" s="7" t="inlineStr">
        <is>
          <t>Network hash annual growth</t>
        </is>
      </c>
      <c r="B9" s="5" t="inlineStr">
        <is>
          <t>%</t>
        </is>
      </c>
      <c r="C9" s="8" t="n">
        <v>0.15</v>
      </c>
      <c r="D9" s="9" t="inlineStr">
        <is>
          <t>Editable market assumption.</t>
        </is>
      </c>
    </row>
    <row r="10">
      <c r="A10" s="7" t="inlineStr">
        <is>
          <t>Block subsidy</t>
        </is>
      </c>
      <c r="B10" s="5" t="inlineStr">
        <is>
          <t>BTC/block</t>
        </is>
      </c>
      <c r="C10" s="8" t="n">
        <v>3.125</v>
      </c>
      <c r="D10" s="9" t="inlineStr">
        <is>
          <t>Protocol input.</t>
        </is>
      </c>
    </row>
    <row r="11">
      <c r="A11" s="7" t="inlineStr">
        <is>
          <t>Fee factor on subsidy</t>
        </is>
      </c>
      <c r="B11" s="5" t="inlineStr">
        <is>
          <t>%</t>
        </is>
      </c>
      <c r="C11" s="8" t="n">
        <v>0.1</v>
      </c>
      <c r="D11" s="9" t="inlineStr">
        <is>
          <t>Protocol / pool-fee uplift assumption.</t>
        </is>
      </c>
    </row>
    <row r="12">
      <c r="A12" s="7" t="inlineStr">
        <is>
          <t>Blocks per day</t>
        </is>
      </c>
      <c r="B12" s="5" t="inlineStr">
        <is>
          <t>blocks/day</t>
        </is>
      </c>
      <c r="C12" s="8" t="n">
        <v>144</v>
      </c>
      <c r="D12" s="9" t="inlineStr">
        <is>
          <t>Protocol input.</t>
        </is>
      </c>
    </row>
    <row r="13">
      <c r="A13" s="7" t="inlineStr">
        <is>
          <t>Tax rate</t>
        </is>
      </c>
      <c r="B13" s="5" t="inlineStr">
        <is>
          <t>%</t>
        </is>
      </c>
      <c r="C13" s="8" t="n">
        <v>0.27</v>
      </c>
      <c r="D13" s="9" t="inlineStr">
        <is>
          <t>Placeholder corporate tax rate.</t>
        </is>
      </c>
    </row>
    <row r="14">
      <c r="A14" s="7" t="inlineStr">
        <is>
          <t>Uptime</t>
        </is>
      </c>
      <c r="B14" s="5" t="inlineStr">
        <is>
          <t>%</t>
        </is>
      </c>
      <c r="C14" s="8" t="n">
        <v>0.95</v>
      </c>
      <c r="D14" s="9" t="inlineStr">
        <is>
          <t>Operational uptime.</t>
        </is>
      </c>
    </row>
    <row r="15">
      <c r="A15" s="7" t="inlineStr">
        <is>
          <t>General annual inflation</t>
        </is>
      </c>
      <c r="B15" s="5" t="inlineStr">
        <is>
          <t>%</t>
        </is>
      </c>
      <c r="C15" s="8" t="n">
        <v>0.05</v>
      </c>
      <c r="D15" s="9" t="inlineStr">
        <is>
          <t>10Y model escalation.</t>
        </is>
      </c>
    </row>
    <row r="16">
      <c r="A16" s="7" t="inlineStr">
        <is>
          <t>Salary annual inflation</t>
        </is>
      </c>
      <c r="B16" s="5" t="inlineStr">
        <is>
          <t>%</t>
        </is>
      </c>
      <c r="C16" s="8" t="n">
        <v>0.05</v>
      </c>
      <c r="D16" s="9" t="inlineStr">
        <is>
          <t>10Y model escalation.</t>
        </is>
      </c>
    </row>
    <row r="17">
      <c r="A17" s="7" t="inlineStr">
        <is>
          <t>Grid tariff annual inflation</t>
        </is>
      </c>
      <c r="B17" s="5" t="inlineStr">
        <is>
          <t>%</t>
        </is>
      </c>
      <c r="C17" s="8" t="n">
        <v>0.05</v>
      </c>
      <c r="D17" s="9" t="inlineStr">
        <is>
          <t>10Y model escalation.</t>
        </is>
      </c>
    </row>
    <row r="18">
      <c r="A18" s="7" t="inlineStr">
        <is>
          <t>Phase 1 total gross MW</t>
        </is>
      </c>
      <c r="B18" s="5" t="inlineStr">
        <is>
          <t>MW</t>
        </is>
      </c>
      <c r="C18" s="8" t="n">
        <v>20</v>
      </c>
      <c r="D18" s="9" t="inlineStr">
        <is>
          <t>Proof phase size.</t>
        </is>
      </c>
    </row>
    <row r="19">
      <c r="A19" s="7" t="inlineStr">
        <is>
          <t>Grootvlei target MW</t>
        </is>
      </c>
      <c r="B19" s="5" t="inlineStr">
        <is>
          <t>MW</t>
        </is>
      </c>
      <c r="C19" s="8" t="n">
        <v>15</v>
      </c>
      <c r="D19" s="9" t="inlineStr">
        <is>
          <t>Latest deck uses 15MW Grootvlei + 5MW AMSA for Phase 1.</t>
        </is>
      </c>
    </row>
    <row r="20">
      <c r="A20" s="7" t="inlineStr">
        <is>
          <t>AMSA target MW</t>
        </is>
      </c>
      <c r="B20" s="5" t="inlineStr">
        <is>
          <t>MW</t>
        </is>
      </c>
      <c r="C20" s="8" t="n">
        <v>5</v>
      </c>
      <c r="D20" s="9" t="inlineStr">
        <is>
          <t>Latest deck uses 15MW Grootvlei + 5MW AMSA for Phase 1.</t>
        </is>
      </c>
    </row>
    <row r="21">
      <c r="A21" s="7" t="inlineStr">
        <is>
          <t>Grootvlei hours/day</t>
        </is>
      </c>
      <c r="B21" s="5" t="inlineStr">
        <is>
          <t>hours/day</t>
        </is>
      </c>
      <c r="C21" s="8" t="n">
        <v>18</v>
      </c>
      <c r="D21" s="9" t="inlineStr">
        <is>
          <t>Conservative proof-phase operating window.</t>
        </is>
      </c>
    </row>
    <row r="22">
      <c r="A22" s="7" t="inlineStr">
        <is>
          <t>AMSA Eskom hours/day</t>
        </is>
      </c>
      <c r="B22" s="5" t="inlineStr">
        <is>
          <t>hours/day</t>
        </is>
      </c>
      <c r="C22" s="8" t="n">
        <v>10</v>
      </c>
      <c r="D22" s="9" t="inlineStr">
        <is>
          <t>Solar blend requested in chat.</t>
        </is>
      </c>
    </row>
    <row r="23">
      <c r="A23" s="7" t="inlineStr">
        <is>
          <t>AMSA solar hours/day</t>
        </is>
      </c>
      <c r="B23" s="5" t="inlineStr">
        <is>
          <t>hours/day</t>
        </is>
      </c>
      <c r="C23" s="8" t="n">
        <v>9</v>
      </c>
      <c r="D23" s="9" t="inlineStr">
        <is>
          <t>Solar blend requested in chat.</t>
        </is>
      </c>
    </row>
    <row r="24">
      <c r="A24" s="7" t="inlineStr">
        <is>
          <t>AMSA solar MW year 1</t>
        </is>
      </c>
      <c r="B24" s="5" t="inlineStr">
        <is>
          <t>MW</t>
        </is>
      </c>
      <c r="C24" s="8" t="n">
        <v>10</v>
      </c>
      <c r="D24" s="9" t="inlineStr">
        <is>
          <t>Editable management placeholder from chat.</t>
        </is>
      </c>
    </row>
    <row r="25">
      <c r="A25" s="7" t="inlineStr">
        <is>
          <t>Grootvlei grid tariff</t>
        </is>
      </c>
      <c r="B25" s="5" t="inlineStr">
        <is>
          <t>R/kWh</t>
        </is>
      </c>
      <c r="C25" s="8" t="n">
        <v>1</v>
      </c>
      <c r="D25" s="9" t="inlineStr">
        <is>
          <t>Year 1 tariff band in materials is R0.80-R1.20/kWh.</t>
        </is>
      </c>
    </row>
    <row r="26">
      <c r="A26" s="7" t="inlineStr">
        <is>
          <t>AMSA Eskom tariff</t>
        </is>
      </c>
      <c r="B26" s="5" t="inlineStr">
        <is>
          <t>R/kWh</t>
        </is>
      </c>
      <c r="C26" s="8" t="n">
        <v>0.9</v>
      </c>
      <c r="D26" s="9" t="inlineStr">
        <is>
          <t>Assumes somewhat better blended Eskom leg.</t>
        </is>
      </c>
    </row>
    <row r="27">
      <c r="A27" s="7" t="inlineStr">
        <is>
          <t>Solar capex</t>
        </is>
      </c>
      <c r="B27" s="5" t="inlineStr">
        <is>
          <t>ZAR'000/MW</t>
        </is>
      </c>
      <c r="C27" s="8" t="n">
        <v>7000</v>
      </c>
      <c r="D27" s="9" t="inlineStr">
        <is>
          <t>User guidance in chat: ~R7m/MW.</t>
        </is>
      </c>
    </row>
    <row r="28">
      <c r="A28" s="7" t="inlineStr">
        <is>
          <t>Solar O&amp;M</t>
        </is>
      </c>
      <c r="B28" s="5" t="inlineStr">
        <is>
          <t>% p.a.</t>
        </is>
      </c>
      <c r="C28" s="8" t="n">
        <v>0.02</v>
      </c>
      <c r="D28" s="9" t="inlineStr">
        <is>
          <t>Solar O&amp;M as % of capex.</t>
        </is>
      </c>
    </row>
    <row r="29">
      <c r="A29" s="7" t="inlineStr">
        <is>
          <t>Solar COD month</t>
        </is>
      </c>
      <c r="B29" s="5" t="inlineStr">
        <is>
          <t>month#</t>
        </is>
      </c>
      <c r="C29" s="8" t="n">
        <v>5</v>
      </c>
      <c r="D29" s="9" t="inlineStr">
        <is>
          <t>AMSA solar available during ramp-up.</t>
        </is>
      </c>
    </row>
    <row r="30">
      <c r="A30" s="7" t="inlineStr">
        <is>
          <t>Miner hashrate</t>
        </is>
      </c>
      <c r="B30" s="5" t="inlineStr">
        <is>
          <t>TH/miner</t>
        </is>
      </c>
      <c r="C30" s="8" t="n">
        <v>700</v>
      </c>
      <c r="D30" s="9" t="inlineStr">
        <is>
          <t>Top end of working M7DS range; editable.</t>
        </is>
      </c>
    </row>
    <row r="31">
      <c r="A31" s="7" t="inlineStr">
        <is>
          <t>Miner efficiency</t>
        </is>
      </c>
      <c r="B31" s="5" t="inlineStr">
        <is>
          <t>J/T</t>
        </is>
      </c>
      <c r="C31" s="8" t="n">
        <v>12.5</v>
      </c>
      <c r="D31" s="9" t="inlineStr">
        <is>
          <t>Management instruction: use M7DS at 12.5J/T.</t>
        </is>
      </c>
    </row>
    <row r="32">
      <c r="A32" s="7" t="inlineStr">
        <is>
          <t>Miner power</t>
        </is>
      </c>
      <c r="B32" s="5" t="inlineStr">
        <is>
          <t>W/miner</t>
        </is>
      </c>
      <c r="C32" s="14">
        <f>C30*C31</f>
        <v/>
      </c>
      <c r="D32" s="9" t="inlineStr">
        <is>
          <t>Formula = hashrate × J/T.</t>
        </is>
      </c>
    </row>
    <row r="33">
      <c r="A33" s="7" t="inlineStr">
        <is>
          <t>Miner price</t>
        </is>
      </c>
      <c r="B33" s="5" t="inlineStr">
        <is>
          <t>USD/miner</t>
        </is>
      </c>
      <c r="C33" s="8" t="n">
        <v>5915</v>
      </c>
      <c r="D33" s="9" t="inlineStr">
        <is>
          <t>From latest uploaded workbook; editable.</t>
        </is>
      </c>
    </row>
    <row r="34">
      <c r="A34" s="7" t="inlineStr">
        <is>
          <t>Aux load</t>
        </is>
      </c>
      <c r="B34" s="5" t="inlineStr">
        <is>
          <t>%</t>
        </is>
      </c>
      <c r="C34" s="8" t="n">
        <v>0.05</v>
      </c>
      <c r="D34" s="9" t="inlineStr">
        <is>
          <t>Cooling / container auxiliaries.</t>
        </is>
      </c>
    </row>
    <row r="35">
      <c r="A35" s="7" t="inlineStr">
        <is>
          <t>Miner slots per XS2400</t>
        </is>
      </c>
      <c r="B35" s="5" t="inlineStr">
        <is>
          <t>miners/container</t>
        </is>
      </c>
      <c r="C35" s="8" t="n">
        <v>240</v>
      </c>
      <c r="D35" s="9" t="inlineStr">
        <is>
          <t>HeatCore XS2400 working basis.</t>
        </is>
      </c>
    </row>
    <row r="36">
      <c r="A36" s="7" t="inlineStr">
        <is>
          <t>Hydro container cost</t>
        </is>
      </c>
      <c r="B36" s="5" t="inlineStr">
        <is>
          <t>USD/container</t>
        </is>
      </c>
      <c r="C36" s="8" t="n">
        <v>350000</v>
      </c>
      <c r="D36" s="9" t="inlineStr">
        <is>
          <t>Hydro container placeholder; replace with quote.</t>
        </is>
      </c>
    </row>
    <row r="37">
      <c r="A37" s="7" t="inlineStr">
        <is>
          <t>Container gross MW</t>
        </is>
      </c>
      <c r="B37" s="5" t="inlineStr">
        <is>
          <t>MW/container</t>
        </is>
      </c>
      <c r="C37" s="14">
        <f>(C35*C32/1000000)*(1+C34)</f>
        <v/>
      </c>
      <c r="D37" s="9" t="inlineStr">
        <is>
          <t>Formula from miner power, slot count and aux load.</t>
        </is>
      </c>
    </row>
    <row r="38">
      <c r="A38" s="7" t="inlineStr">
        <is>
          <t>Miner maintenance</t>
        </is>
      </c>
      <c r="B38" s="5" t="inlineStr">
        <is>
          <t>ZAR/miner/year</t>
        </is>
      </c>
      <c r="C38" s="8" t="n">
        <v>2000</v>
      </c>
      <c r="D38" s="9" t="inlineStr">
        <is>
          <t>Recurring maintenance per miner.</t>
        </is>
      </c>
    </row>
    <row r="39">
      <c r="A39" s="7" t="inlineStr">
        <is>
          <t>Electrical/BOS capex</t>
        </is>
      </c>
      <c r="B39" s="5" t="inlineStr">
        <is>
          <t>ZAR'000/MW</t>
        </is>
      </c>
      <c r="C39" s="10">
        <f>CAPEX_Electrical_Detail!$C$28</f>
        <v/>
      </c>
      <c r="D39" s="9" t="inlineStr">
        <is>
          <t>All-in electrical EPC per MW from detailed Hamar quote basis incl adders. Summary use only; monthly/annual sheets now use fixed/site + variable/MW.</t>
        </is>
      </c>
    </row>
    <row r="40">
      <c r="A40" s="7" t="inlineStr">
        <is>
          <t>Ocean freight</t>
        </is>
      </c>
      <c r="B40" s="5" t="inlineStr">
        <is>
          <t>USD/container</t>
        </is>
      </c>
      <c r="C40" s="8" t="n">
        <v>8000</v>
      </c>
      <c r="D40" s="9" t="inlineStr">
        <is>
          <t>Editable logistics placeholder.</t>
        </is>
      </c>
    </row>
    <row r="41">
      <c r="A41" s="7" t="inlineStr">
        <is>
          <t>Port/clearing</t>
        </is>
      </c>
      <c r="B41" s="5" t="inlineStr">
        <is>
          <t>ZAR'000/container</t>
        </is>
      </c>
      <c r="C41" s="8" t="n">
        <v>150</v>
      </c>
      <c r="D41" s="9" t="inlineStr">
        <is>
          <t>Editable logistics placeholder.</t>
        </is>
      </c>
    </row>
    <row r="42">
      <c r="A42" s="7" t="inlineStr">
        <is>
          <t>Inland trucking</t>
        </is>
      </c>
      <c r="B42" s="5" t="inlineStr">
        <is>
          <t>ZAR'000/container</t>
        </is>
      </c>
      <c r="C42" s="8" t="n">
        <v>120</v>
      </c>
      <c r="D42" s="9" t="inlineStr">
        <is>
          <t>Editable logistics placeholder.</t>
        </is>
      </c>
    </row>
    <row r="43">
      <c r="A43" s="7" t="inlineStr">
        <is>
          <t>Crane/rigging</t>
        </is>
      </c>
      <c r="B43" s="5" t="inlineStr">
        <is>
          <t>ZAR'000/container</t>
        </is>
      </c>
      <c r="C43" s="8" t="n">
        <v>100</v>
      </c>
      <c r="D43" s="9" t="inlineStr">
        <is>
          <t>Editable logistics placeholder.</t>
        </is>
      </c>
    </row>
    <row r="44">
      <c r="A44" s="7" t="inlineStr">
        <is>
          <t>Cargo insurance</t>
        </is>
      </c>
      <c r="B44" s="5" t="inlineStr">
        <is>
          <t>%</t>
        </is>
      </c>
      <c r="C44" s="8" t="n">
        <v>0.01</v>
      </c>
      <c r="D44" s="9" t="inlineStr">
        <is>
          <t>Editable cargo insurance assumption.</t>
        </is>
      </c>
    </row>
    <row r="45">
      <c r="A45" s="7" t="inlineStr">
        <is>
          <t>Import duty</t>
        </is>
      </c>
      <c r="B45" s="5" t="inlineStr">
        <is>
          <t>%</t>
        </is>
      </c>
      <c r="C45" s="8" t="n">
        <v>0.05</v>
      </c>
      <c r="D45" s="9" t="inlineStr">
        <is>
          <t>Editable customs placeholder.</t>
        </is>
      </c>
    </row>
    <row r="46">
      <c r="A46" s="7" t="inlineStr">
        <is>
          <t>Initial spare parts</t>
        </is>
      </c>
      <c r="B46" s="5" t="inlineStr">
        <is>
          <t>%</t>
        </is>
      </c>
      <c r="C46" s="8" t="n">
        <v>0.02</v>
      </c>
      <c r="D46" s="9" t="inlineStr">
        <is>
          <t>Initial spares as % of hardware capex.</t>
        </is>
      </c>
    </row>
    <row r="47">
      <c r="A47" s="7" t="inlineStr">
        <is>
          <t>Tools &amp; equipment initial</t>
        </is>
      </c>
      <c r="B47" s="5" t="inlineStr">
        <is>
          <t>ZAR'000/site</t>
        </is>
      </c>
      <c r="C47" s="8" t="n">
        <v>750</v>
      </c>
      <c r="D47" s="9" t="inlineStr">
        <is>
          <t>Tools, meters, accessories and small equipment.</t>
        </is>
      </c>
    </row>
    <row r="48">
      <c r="A48" s="7" t="inlineStr">
        <is>
          <t>Office setup / deposits</t>
        </is>
      </c>
      <c r="B48" s="5" t="inlineStr">
        <is>
          <t>ZAR'000</t>
        </is>
      </c>
      <c r="C48" s="8" t="n">
        <v>600</v>
      </c>
      <c r="D48" s="9" t="inlineStr">
        <is>
          <t>Corporate office setup / deposits.</t>
        </is>
      </c>
    </row>
    <row r="49">
      <c r="A49" s="7" t="inlineStr">
        <is>
          <t>Software / SCADA setup</t>
        </is>
      </c>
      <c r="B49" s="5" t="inlineStr">
        <is>
          <t>ZAR'000</t>
        </is>
      </c>
      <c r="C49" s="8" t="n">
        <v>1500</v>
      </c>
      <c r="D49" s="9" t="inlineStr">
        <is>
          <t>Initial systems setup.</t>
        </is>
      </c>
    </row>
    <row r="50">
      <c r="A50" s="7" t="inlineStr">
        <is>
          <t>Legal setup total</t>
        </is>
      </c>
      <c r="B50" s="5" t="inlineStr">
        <is>
          <t>ZAR'000</t>
        </is>
      </c>
      <c r="C50" s="8" t="n">
        <v>1200</v>
      </c>
      <c r="D50" s="9" t="inlineStr">
        <is>
          <t>Initial legal documentation.</t>
        </is>
      </c>
    </row>
    <row r="51">
      <c r="A51" s="7" t="inlineStr">
        <is>
          <t>Staff hardware setup</t>
        </is>
      </c>
      <c r="B51" s="5" t="inlineStr">
        <is>
          <t>ZAR'000/FTE</t>
        </is>
      </c>
      <c r="C51" s="8" t="n">
        <v>35</v>
      </c>
      <c r="D51" s="9" t="inlineStr">
        <is>
          <t>Laptop / phone / PPE / provisioning.</t>
        </is>
      </c>
    </row>
    <row r="52">
      <c r="A52" s="7" t="inlineStr">
        <is>
          <t>Fixed corporate FTE</t>
        </is>
      </c>
      <c r="B52" s="5" t="inlineStr">
        <is>
          <t>FTE</t>
        </is>
      </c>
      <c r="C52" s="8" t="n">
        <v>6</v>
      </c>
      <c r="D52" s="9" t="inlineStr">
        <is>
          <t>Corporate team for first year.</t>
        </is>
      </c>
    </row>
    <row r="53">
      <c r="A53" s="7" t="inlineStr">
        <is>
          <t>Corporate salary</t>
        </is>
      </c>
      <c r="B53" s="5" t="inlineStr">
        <is>
          <t>ZAR'000/FTE/yr</t>
        </is>
      </c>
      <c r="C53" s="8" t="n">
        <v>1000</v>
      </c>
      <c r="D53" s="9" t="inlineStr">
        <is>
          <t>Average fully loaded corporate CTC.</t>
        </is>
      </c>
    </row>
    <row r="54">
      <c r="A54" s="7" t="inlineStr">
        <is>
          <t>Site management FTE/site</t>
        </is>
      </c>
      <c r="B54" s="5" t="inlineStr">
        <is>
          <t>FTE/site</t>
        </is>
      </c>
      <c r="C54" s="8" t="n">
        <v>2</v>
      </c>
      <c r="D54" s="9" t="inlineStr">
        <is>
          <t>Manager + supervisor per active site.</t>
        </is>
      </c>
    </row>
    <row r="55">
      <c r="A55" s="7" t="inlineStr">
        <is>
          <t>Site management salary</t>
        </is>
      </c>
      <c r="B55" s="5" t="inlineStr">
        <is>
          <t>ZAR'000/FTE/yr</t>
        </is>
      </c>
      <c r="C55" s="8" t="n">
        <v>700</v>
      </c>
      <c r="D55" s="9" t="inlineStr">
        <is>
          <t>Average fully loaded site management CTC.</t>
        </is>
      </c>
    </row>
    <row r="56">
      <c r="A56" s="7" t="inlineStr">
        <is>
          <t>Technicians FTE/MW</t>
        </is>
      </c>
      <c r="B56" s="5" t="inlineStr">
        <is>
          <t>FTE/MW</t>
        </is>
      </c>
      <c r="C56" s="8" t="n">
        <v>0.35</v>
      </c>
      <c r="D56" s="9" t="inlineStr">
        <is>
          <t>Hydro site technician intensity.</t>
        </is>
      </c>
    </row>
    <row r="57">
      <c r="A57" s="7" t="inlineStr">
        <is>
          <t>Technician salary</t>
        </is>
      </c>
      <c r="B57" s="5" t="inlineStr">
        <is>
          <t>ZAR'000/FTE/yr</t>
        </is>
      </c>
      <c r="C57" s="8" t="n">
        <v>350</v>
      </c>
      <c r="D57" s="9" t="inlineStr">
        <is>
          <t>Average fully loaded technician CTC.</t>
        </is>
      </c>
    </row>
    <row r="58">
      <c r="A58" s="7" t="inlineStr">
        <is>
          <t>Electricians FTE/MW</t>
        </is>
      </c>
      <c r="B58" s="5" t="inlineStr">
        <is>
          <t>FTE/MW</t>
        </is>
      </c>
      <c r="C58" s="8" t="n">
        <v>0.08</v>
      </c>
      <c r="D58" s="9" t="inlineStr">
        <is>
          <t>Electricians per MW.</t>
        </is>
      </c>
    </row>
    <row r="59">
      <c r="A59" s="7" t="inlineStr">
        <is>
          <t>Electrician salary</t>
        </is>
      </c>
      <c r="B59" s="5" t="inlineStr">
        <is>
          <t>ZAR'000/FTE/yr</t>
        </is>
      </c>
      <c r="C59" s="8" t="n">
        <v>450</v>
      </c>
      <c r="D59" s="9" t="inlineStr">
        <is>
          <t>Average fully loaded electrician CTC.</t>
        </is>
      </c>
    </row>
    <row r="60">
      <c r="A60" s="7" t="inlineStr">
        <is>
          <t>Benefits load</t>
        </is>
      </c>
      <c r="B60" s="5" t="inlineStr">
        <is>
          <t>%</t>
        </is>
      </c>
      <c r="C60" s="8" t="n">
        <v>0.2</v>
      </c>
      <c r="D60" s="9" t="inlineStr">
        <is>
          <t>Benefits and payroll load.</t>
        </is>
      </c>
    </row>
    <row r="61">
      <c r="A61" s="7" t="inlineStr">
        <is>
          <t>Travel &amp; accommodation</t>
        </is>
      </c>
      <c r="B61" s="5" t="inlineStr">
        <is>
          <t>%</t>
        </is>
      </c>
      <c r="C61" s="8" t="n">
        <v>0.06</v>
      </c>
      <c r="D61" s="9" t="inlineStr">
        <is>
          <t>Recurring travel / claims as % of payroll.</t>
        </is>
      </c>
    </row>
    <row r="62">
      <c r="A62" s="7" t="inlineStr">
        <is>
          <t>Site mobilization travel</t>
        </is>
      </c>
      <c r="B62" s="5" t="inlineStr">
        <is>
          <t>ZAR'000/site start</t>
        </is>
      </c>
      <c r="C62" s="8" t="n">
        <v>250</v>
      </c>
      <c r="D62" s="9" t="inlineStr">
        <is>
          <t>One-off commissioning / mobilization travel.</t>
        </is>
      </c>
    </row>
    <row r="63">
      <c r="A63" s="7" t="inlineStr">
        <is>
          <t>SaaS per FTE / month</t>
        </is>
      </c>
      <c r="B63" s="5" t="inlineStr">
        <is>
          <t>ZAR'000/FTE/mo</t>
        </is>
      </c>
      <c r="C63" s="8" t="n">
        <v>3.5</v>
      </c>
      <c r="D63" s="9" t="inlineStr">
        <is>
          <t>Email, PM, collaboration and security tools.</t>
        </is>
      </c>
    </row>
    <row r="64">
      <c r="A64" s="7" t="inlineStr">
        <is>
          <t>Site software / monitoring</t>
        </is>
      </c>
      <c r="B64" s="5" t="inlineStr">
        <is>
          <t>ZAR'000/site/mo</t>
        </is>
      </c>
      <c r="C64" s="8" t="n">
        <v>40</v>
      </c>
      <c r="D64" s="9" t="inlineStr">
        <is>
          <t>SCADA, monitoring and connectivity support.</t>
        </is>
      </c>
    </row>
    <row r="65">
      <c r="A65" s="7" t="inlineStr">
        <is>
          <t>Legal retainer</t>
        </is>
      </c>
      <c r="B65" s="5" t="inlineStr">
        <is>
          <t>ZAR'000/mo</t>
        </is>
      </c>
      <c r="C65" s="8" t="n">
        <v>75</v>
      </c>
      <c r="D65" s="9" t="inlineStr">
        <is>
          <t>Ongoing legal support.</t>
        </is>
      </c>
    </row>
    <row r="66">
      <c r="A66" s="7" t="inlineStr">
        <is>
          <t>Office rent</t>
        </is>
      </c>
      <c r="B66" s="5" t="inlineStr">
        <is>
          <t>ZAR'000/mo</t>
        </is>
      </c>
      <c r="C66" s="8" t="n">
        <v>90</v>
      </c>
      <c r="D66" s="9" t="inlineStr">
        <is>
          <t>Head office rent.</t>
        </is>
      </c>
    </row>
    <row r="67">
      <c r="A67" s="7" t="inlineStr">
        <is>
          <t>File storage / cloud</t>
        </is>
      </c>
      <c r="B67" s="5" t="inlineStr">
        <is>
          <t>ZAR'000/mo</t>
        </is>
      </c>
      <c r="C67" s="8" t="n">
        <v>25</v>
      </c>
      <c r="D67" s="9" t="inlineStr">
        <is>
          <t>Recurring storage and cloud.</t>
        </is>
      </c>
    </row>
    <row r="68">
      <c r="A68" s="7" t="inlineStr">
        <is>
          <t>Tools / consumables recurring</t>
        </is>
      </c>
      <c r="B68" s="5" t="inlineStr">
        <is>
          <t>ZAR'000/MW/mo</t>
        </is>
      </c>
      <c r="C68" s="8" t="n">
        <v>8</v>
      </c>
      <c r="D68" s="9" t="inlineStr">
        <is>
          <t>Filters, consumables, small parts.</t>
        </is>
      </c>
    </row>
    <row r="69">
      <c r="A69" s="7" t="inlineStr">
        <is>
          <t>Security &amp; operating insurance</t>
        </is>
      </c>
      <c r="B69" s="5" t="inlineStr">
        <is>
          <t>ZAR'000/site/mo</t>
        </is>
      </c>
      <c r="C69" s="8" t="n">
        <v>120</v>
      </c>
      <c r="D69" s="9" t="inlineStr">
        <is>
          <t>Ongoing security and operating insurance.</t>
        </is>
      </c>
    </row>
    <row r="70">
      <c r="A70" s="7" t="inlineStr">
        <is>
          <t>Other utilities / water</t>
        </is>
      </c>
      <c r="B70" s="5" t="inlineStr">
        <is>
          <t>ZAR'000/MW/mo</t>
        </is>
      </c>
      <c r="C70" s="8" t="n">
        <v>20</v>
      </c>
      <c r="D70" s="9" t="inlineStr">
        <is>
          <t>Water treatment and misc utilities.</t>
        </is>
      </c>
    </row>
    <row r="71">
      <c r="A71" s="7" t="inlineStr">
        <is>
          <t>DR in base case?</t>
        </is>
      </c>
      <c r="B71" s="5" t="inlineStr">
        <is>
          <t>0/1</t>
        </is>
      </c>
      <c r="C71" s="8" t="n">
        <v>0</v>
      </c>
      <c r="D71" s="9" t="inlineStr">
        <is>
          <t>Conservative base case default is off.</t>
        </is>
      </c>
    </row>
    <row r="72">
      <c r="A72" s="7" t="inlineStr">
        <is>
          <t>DR start month</t>
        </is>
      </c>
      <c r="B72" s="5" t="inlineStr">
        <is>
          <t>month#</t>
        </is>
      </c>
      <c r="C72" s="8" t="n">
        <v>7</v>
      </c>
      <c r="D72" s="9" t="inlineStr">
        <is>
          <t>Optionality start month.</t>
        </is>
      </c>
    </row>
    <row r="73">
      <c r="A73" s="7" t="inlineStr">
        <is>
          <t>DR price</t>
        </is>
      </c>
      <c r="B73" s="5" t="inlineStr">
        <is>
          <t>R/kWh</t>
        </is>
      </c>
      <c r="C73" s="8" t="n">
        <v>0.25</v>
      </c>
      <c r="D73" s="9" t="inlineStr">
        <is>
          <t>Conservative DR price placeholder.</t>
        </is>
      </c>
    </row>
    <row r="74">
      <c r="A74" s="7" t="inlineStr">
        <is>
          <t>DR equivalent hours/day</t>
        </is>
      </c>
      <c r="B74" s="5" t="inlineStr">
        <is>
          <t>hours/day</t>
        </is>
      </c>
      <c r="C74" s="8" t="n">
        <v>1.5</v>
      </c>
      <c r="D74" s="9" t="inlineStr">
        <is>
          <t>Equivalent paid availability hours.</t>
        </is>
      </c>
    </row>
    <row r="75">
      <c r="A75" s="7" t="inlineStr">
        <is>
          <t>DR paid utilisation</t>
        </is>
      </c>
      <c r="B75" s="5" t="inlineStr">
        <is>
          <t>%</t>
        </is>
      </c>
      <c r="C75" s="8" t="n">
        <v>0.5</v>
      </c>
      <c r="D75" s="9" t="inlineStr">
        <is>
          <t>Share of availability window actually paid.</t>
        </is>
      </c>
    </row>
    <row r="76">
      <c r="A76" s="7" t="inlineStr">
        <is>
          <t>Hyperscaler in base case?</t>
        </is>
      </c>
      <c r="B76" s="5" t="inlineStr">
        <is>
          <t>0/1</t>
        </is>
      </c>
      <c r="C76" s="8" t="n">
        <v>0</v>
      </c>
      <c r="D76" s="9" t="inlineStr">
        <is>
          <t>Conservative base case default is off.</t>
        </is>
      </c>
    </row>
    <row r="77">
      <c r="A77" s="7" t="inlineStr">
        <is>
          <t>Hyperscaler start month</t>
        </is>
      </c>
      <c r="B77" s="5" t="inlineStr">
        <is>
          <t>month#</t>
        </is>
      </c>
      <c r="C77" s="8" t="n">
        <v>13</v>
      </c>
      <c r="D77" s="9" t="inlineStr">
        <is>
          <t>After first 12 months by default.</t>
        </is>
      </c>
    </row>
    <row r="78">
      <c r="A78" s="7" t="inlineStr">
        <is>
          <t>Hyperscaler MW sold</t>
        </is>
      </c>
      <c r="B78" s="5" t="inlineStr">
        <is>
          <t>MW</t>
        </is>
      </c>
      <c r="C78" s="8" t="n">
        <v>2</v>
      </c>
      <c r="D78" s="9" t="inlineStr">
        <is>
          <t>Pilot tenant power sold.</t>
        </is>
      </c>
    </row>
    <row r="79">
      <c r="A79" s="7" t="inlineStr">
        <is>
          <t>Hyperscaler hours/day</t>
        </is>
      </c>
      <c r="B79" s="5" t="inlineStr">
        <is>
          <t>hours/day</t>
        </is>
      </c>
      <c r="C79" s="8" t="n">
        <v>16</v>
      </c>
      <c r="D79" s="9" t="inlineStr">
        <is>
          <t>Conservative pilot tenant run profile.</t>
        </is>
      </c>
    </row>
    <row r="80">
      <c r="A80" s="7" t="inlineStr">
        <is>
          <t>Hyperscaler sale price</t>
        </is>
      </c>
      <c r="B80" s="5" t="inlineStr">
        <is>
          <t>USD/MWh</t>
        </is>
      </c>
      <c r="C80" s="8" t="n">
        <v>130</v>
      </c>
      <c r="D80" s="9" t="inlineStr">
        <is>
          <t>Placeholder pilot tariff.</t>
        </is>
      </c>
    </row>
    <row r="81">
      <c r="A81" s="7" t="inlineStr">
        <is>
          <t>Annual AI/Hyperscaler include?</t>
        </is>
      </c>
      <c r="B81" s="5" t="inlineStr">
        <is>
          <t>0/1</t>
        </is>
      </c>
      <c r="C81" s="8" t="n">
        <v>0</v>
      </c>
      <c r="D81" s="9" t="inlineStr">
        <is>
          <t>10Y base case default is off.</t>
        </is>
      </c>
    </row>
    <row r="82">
      <c r="A82" s="7" t="inlineStr">
        <is>
          <t>Annual AI/Hyperscaler start year</t>
        </is>
      </c>
      <c r="B82" s="5" t="inlineStr">
        <is>
          <t>year</t>
        </is>
      </c>
      <c r="C82" s="8" t="n">
        <v>2027</v>
      </c>
      <c r="D82" s="9" t="inlineStr">
        <is>
          <t>Can switch on from year 2 onward.</t>
        </is>
      </c>
    </row>
    <row r="83">
      <c r="A83" s="7" t="inlineStr">
        <is>
          <t>Annual AI/Hyperscaler MW share</t>
        </is>
      </c>
      <c r="B83" s="5" t="inlineStr">
        <is>
          <t>%</t>
        </is>
      </c>
      <c r="C83" s="8" t="n">
        <v>0.1</v>
      </c>
      <c r="D83" s="9" t="inlineStr">
        <is>
          <t>Share of platform MW converted to tenants.</t>
        </is>
      </c>
    </row>
    <row r="84">
      <c r="A84" s="7" t="inlineStr">
        <is>
          <t>Annual AI/Hyperscaler price</t>
        </is>
      </c>
      <c r="B84" s="5" t="inlineStr">
        <is>
          <t>USD/MWh</t>
        </is>
      </c>
      <c r="C84" s="8" t="n">
        <v>130</v>
      </c>
      <c r="D84" s="9" t="inlineStr">
        <is>
          <t>Annual AI/HPC price placeholder.</t>
        </is>
      </c>
    </row>
    <row r="85">
      <c r="A85" s="7" t="inlineStr">
        <is>
          <t>Annual DR include?</t>
        </is>
      </c>
      <c r="B85" s="5" t="inlineStr">
        <is>
          <t>0/1</t>
        </is>
      </c>
      <c r="C85" s="8" t="n">
        <v>0</v>
      </c>
      <c r="D85" s="9" t="inlineStr">
        <is>
          <t>10Y base case default is off.</t>
        </is>
      </c>
    </row>
    <row r="86">
      <c r="A86" s="7" t="inlineStr">
        <is>
          <t>Annual DR price</t>
        </is>
      </c>
      <c r="B86" s="5" t="inlineStr">
        <is>
          <t>R/kWh</t>
        </is>
      </c>
      <c r="C86" s="8" t="n">
        <v>0.25</v>
      </c>
      <c r="D86" s="9" t="inlineStr">
        <is>
          <t>Annual DR price placeholder.</t>
        </is>
      </c>
    </row>
    <row r="87">
      <c r="A87" s="7" t="inlineStr">
        <is>
          <t>Annual DR equivalent hours/day</t>
        </is>
      </c>
      <c r="B87" s="5" t="inlineStr">
        <is>
          <t>hours/day</t>
        </is>
      </c>
      <c r="C87" s="8" t="n">
        <v>1.5</v>
      </c>
      <c r="D87" s="9" t="inlineStr">
        <is>
          <t>Annual DR hours placeholder.</t>
        </is>
      </c>
    </row>
    <row r="88">
      <c r="C88" t="n"/>
    </row>
    <row r="89">
      <c r="A89" s="1" t="inlineStr">
        <is>
          <t>Detailed EPC &amp; financing assumptions</t>
        </is>
      </c>
      <c r="B89" s="1" t="n"/>
      <c r="C89" s="1" t="n"/>
      <c r="D89" s="1" t="n"/>
    </row>
    <row r="90">
      <c r="A90" s="7" t="inlineStr">
        <is>
          <t>Electrical site-fixed share</t>
        </is>
      </c>
      <c r="B90" s="7" t="inlineStr">
        <is>
          <t>% of all-in 20MW electrical EPC</t>
        </is>
      </c>
      <c r="C90" s="8" t="n">
        <v>0.25</v>
      </c>
      <c r="D90" s="9" t="inlineStr">
        <is>
          <t>Use to split the Hamar 20MW quote into fixed/site cost and variable/MW cost.</t>
        </is>
      </c>
    </row>
    <row r="91">
      <c r="A91" s="7" t="inlineStr">
        <is>
          <t>Harmonic mitigation allowance</t>
        </is>
      </c>
      <c r="B91" s="7" t="inlineStr">
        <is>
          <t>% of quoted electrical EPC</t>
        </is>
      </c>
      <c r="C91" s="8" t="n">
        <v>0.05</v>
      </c>
      <c r="D91" s="9" t="inlineStr">
        <is>
          <t>Quote explicitly excludes harmonic mitigation pending Stage 3 spectra; editable allowance.</t>
        </is>
      </c>
    </row>
    <row r="92">
      <c r="A92" s="7" t="inlineStr">
        <is>
          <t>Lighting / small power allowance</t>
        </is>
      </c>
      <c r="B92" s="7" t="inlineStr">
        <is>
          <t>% of quoted electrical EPC</t>
        </is>
      </c>
      <c r="C92" s="8" t="n">
        <v>0.01</v>
      </c>
      <c r="D92" s="9" t="inlineStr">
        <is>
          <t>Quote shows lighting blank; editable allowance.</t>
        </is>
      </c>
    </row>
    <row r="93">
      <c r="A93" s="7" t="inlineStr">
        <is>
          <t>Instrumentation / SCADA allowance</t>
        </is>
      </c>
      <c r="B93" s="7" t="inlineStr">
        <is>
          <t>% of quoted electrical EPC</t>
        </is>
      </c>
      <c r="C93" s="8" t="n">
        <v>0.01</v>
      </c>
      <c r="D93" s="9" t="inlineStr">
        <is>
          <t>Quote shows instrumentation blank; editable allowance.</t>
        </is>
      </c>
    </row>
    <row r="94">
      <c r="A94" s="7" t="inlineStr">
        <is>
          <t>Earthing / lightning allowance</t>
        </is>
      </c>
      <c r="B94" s="7" t="inlineStr">
        <is>
          <t>% of quoted electrical EPC</t>
        </is>
      </c>
      <c r="C94" s="8" t="n">
        <v>0.02</v>
      </c>
      <c r="D94" s="9" t="inlineStr">
        <is>
          <t>Concept basis requires earthing / lightning and wet/high-humidity suitability.</t>
        </is>
      </c>
    </row>
    <row r="95">
      <c r="A95" s="7" t="inlineStr">
        <is>
          <t>Civil / drainage / fencing allowance</t>
        </is>
      </c>
      <c r="B95" s="7" t="inlineStr">
        <is>
          <t>% of quoted electrical EPC</t>
        </is>
      </c>
      <c r="C95" s="8" t="n">
        <v>0.03</v>
      </c>
      <c r="D95" s="9" t="inlineStr">
        <is>
          <t>Brownfield enabling works not fully priced in the electrical quote.</t>
        </is>
      </c>
    </row>
    <row r="96">
      <c r="A96" s="7" t="inlineStr">
        <is>
          <t>Brownfield site similarity factor</t>
        </is>
      </c>
      <c r="B96" s="7" t="inlineStr">
        <is>
          <t>x</t>
        </is>
      </c>
      <c r="C96" s="8" t="n">
        <v>1</v>
      </c>
      <c r="D96" s="9" t="inlineStr">
        <is>
          <t>1.00 = use Grootvlei basis as-is for comparable sites; adjust for easier / harder sites.</t>
        </is>
      </c>
    </row>
    <row r="97">
      <c r="A97" s="7" t="inlineStr">
        <is>
          <t>Miner order lead time</t>
        </is>
      </c>
      <c r="B97" s="7" t="inlineStr">
        <is>
          <t>months</t>
        </is>
      </c>
      <c r="C97" s="33" t="n">
        <v>2</v>
      </c>
      <c r="D97" s="9" t="inlineStr">
        <is>
          <t>Deposit paid ahead of commissioning.</t>
        </is>
      </c>
    </row>
    <row r="98">
      <c r="A98" s="7" t="inlineStr">
        <is>
          <t>Miner deposit</t>
        </is>
      </c>
      <c r="B98" s="7" t="inlineStr">
        <is>
          <t>% of gross miner order</t>
        </is>
      </c>
      <c r="C98" s="8" t="n">
        <v>0.6</v>
      </c>
      <c r="D98" s="9" t="inlineStr">
        <is>
          <t>From attached supplier contract mechanics.</t>
        </is>
      </c>
    </row>
    <row r="99">
      <c r="A99" s="7" t="inlineStr">
        <is>
          <t>Miner vendor-financed balance</t>
        </is>
      </c>
      <c r="B99" s="7" t="inlineStr">
        <is>
          <t>% of gross miner order</t>
        </is>
      </c>
      <c r="C99" s="8" t="n">
        <v>0.4</v>
      </c>
      <c r="D99" s="9" t="inlineStr">
        <is>
          <t>From attached supplier contract mechanics.</t>
        </is>
      </c>
    </row>
    <row r="100">
      <c r="A100" s="7" t="inlineStr">
        <is>
          <t>Miner vendor finance tenor</t>
        </is>
      </c>
      <c r="B100" s="7" t="inlineStr">
        <is>
          <t>months</t>
        </is>
      </c>
      <c r="C100" s="33" t="n">
        <v>6</v>
      </c>
      <c r="D100" s="9" t="inlineStr">
        <is>
          <t>From attached supplier contract mechanics.</t>
        </is>
      </c>
    </row>
    <row r="101">
      <c r="A101" s="7" t="inlineStr">
        <is>
          <t>Miner vendor finance interest</t>
        </is>
      </c>
      <c r="B101" s="7" t="inlineStr">
        <is>
          <t>% p.a.</t>
        </is>
      </c>
      <c r="C101" s="8" t="n">
        <v>0.06</v>
      </c>
      <c r="D101" s="9" t="inlineStr">
        <is>
          <t>Simple annual rate in attached supplier contract.</t>
        </is>
      </c>
    </row>
    <row r="102">
      <c r="A102" s="7" t="inlineStr">
        <is>
          <t>EPC order lead time</t>
        </is>
      </c>
      <c r="B102" s="7" t="inlineStr">
        <is>
          <t>months</t>
        </is>
      </c>
      <c r="C102" s="33" t="n">
        <v>2</v>
      </c>
      <c r="D102" s="9" t="inlineStr">
        <is>
          <t>Assumed time from engineering release to energisation for payment staging.</t>
        </is>
      </c>
    </row>
    <row r="103">
      <c r="A103" s="7" t="inlineStr">
        <is>
          <t>EPC deposit</t>
        </is>
      </c>
      <c r="B103" s="7" t="inlineStr">
        <is>
          <t>% of gross EPC package</t>
        </is>
      </c>
      <c r="C103" s="8" t="n">
        <v>0.15</v>
      </c>
      <c r="D103" s="9" t="inlineStr">
        <is>
          <t>Assumed notice-to-proceed / mobilization deposit.</t>
        </is>
      </c>
    </row>
    <row r="104">
      <c r="A104" s="7" t="inlineStr">
        <is>
          <t>EPC procurement/progress payment</t>
        </is>
      </c>
      <c r="B104" s="7" t="inlineStr">
        <is>
          <t>% of gross EPC package</t>
        </is>
      </c>
      <c r="C104" s="8" t="n">
        <v>0.35</v>
      </c>
      <c r="D104" s="9" t="inlineStr">
        <is>
          <t>Assumed procurement and early progress payment one month before energisation.</t>
        </is>
      </c>
    </row>
    <row r="105">
      <c r="A105" s="7" t="inlineStr">
        <is>
          <t>EPC installation payment</t>
        </is>
      </c>
      <c r="B105" s="7" t="inlineStr">
        <is>
          <t>% of gross EPC package</t>
        </is>
      </c>
      <c r="C105" s="8" t="n">
        <v>0.3</v>
      </c>
      <c r="D105" s="9" t="inlineStr">
        <is>
          <t>Assumed payable on site installation / completion of major works.</t>
        </is>
      </c>
    </row>
    <row r="106">
      <c r="A106" s="7" t="inlineStr">
        <is>
          <t>EPC commissioning / hand-over payment</t>
        </is>
      </c>
      <c r="B106" s="7" t="inlineStr">
        <is>
          <t>% of gross EPC package</t>
        </is>
      </c>
      <c r="C106" s="8" t="n">
        <v>0.1</v>
      </c>
      <c r="D106" s="9" t="inlineStr">
        <is>
          <t>Assumed payable the month after energisation / hand-over.</t>
        </is>
      </c>
    </row>
    <row r="107">
      <c r="A107" s="7" t="inlineStr">
        <is>
          <t>EPC vendor-financed retention</t>
        </is>
      </c>
      <c r="B107" s="7" t="inlineStr">
        <is>
          <t>% of gross EPC package</t>
        </is>
      </c>
      <c r="C107" s="8" t="n">
        <v>0.1</v>
      </c>
      <c r="D107" s="9" t="inlineStr">
        <is>
          <t>Assumed retained / financed amount amortized after commissioning.</t>
        </is>
      </c>
    </row>
    <row r="108">
      <c r="A108" s="7" t="inlineStr">
        <is>
          <t>EPC vendor finance tenor</t>
        </is>
      </c>
      <c r="B108" s="7" t="inlineStr">
        <is>
          <t>months</t>
        </is>
      </c>
      <c r="C108" s="33" t="n">
        <v>12</v>
      </c>
      <c r="D108" s="9" t="inlineStr">
        <is>
          <t>Editable placeholder assumption.</t>
        </is>
      </c>
    </row>
    <row r="109">
      <c r="A109" s="7" t="inlineStr">
        <is>
          <t>EPC vendor finance interest</t>
        </is>
      </c>
      <c r="B109" s="7" t="inlineStr">
        <is>
          <t>% p.a.</t>
        </is>
      </c>
      <c r="C109" s="8" t="n">
        <v>0.12</v>
      </c>
      <c r="D109" s="9" t="inlineStr">
        <is>
          <t>Editable placeholder assumption.</t>
        </is>
      </c>
    </row>
    <row r="110">
      <c r="A110" s="7" t="inlineStr">
        <is>
          <t>Equity share of external funding</t>
        </is>
      </c>
      <c r="B110" s="7" t="inlineStr">
        <is>
          <t>%</t>
        </is>
      </c>
      <c r="C110" s="8" t="n">
        <v>0.35</v>
      </c>
      <c r="D110" s="9" t="inlineStr">
        <is>
          <t>Used in monthly sources-and-uses schedule.</t>
        </is>
      </c>
    </row>
    <row r="111">
      <c r="A111" s="7" t="inlineStr">
        <is>
          <t>Senior debt share of external funding</t>
        </is>
      </c>
      <c r="B111" s="7" t="inlineStr">
        <is>
          <t>%</t>
        </is>
      </c>
      <c r="C111" s="8" t="n">
        <v>0.65</v>
      </c>
      <c r="D111" s="9" t="inlineStr">
        <is>
          <t>Used in monthly sources-and-uses schedule.</t>
        </is>
      </c>
    </row>
    <row r="112">
      <c r="A112" s="7" t="inlineStr">
        <is>
          <t>Senior debt interest rate</t>
        </is>
      </c>
      <c r="B112" s="7" t="inlineStr">
        <is>
          <t>% p.a.</t>
        </is>
      </c>
      <c r="C112" s="8" t="n">
        <v>0.13</v>
      </c>
      <c r="D112" s="9" t="inlineStr">
        <is>
          <t>Indicative project debt placeholder.</t>
        </is>
      </c>
    </row>
    <row r="113">
      <c r="A113" s="7" t="inlineStr">
        <is>
          <t>Senior debt tenor</t>
        </is>
      </c>
      <c r="B113" s="7" t="inlineStr">
        <is>
          <t>months</t>
        </is>
      </c>
      <c r="C113" s="33" t="n">
        <v>60</v>
      </c>
      <c r="D113" s="9" t="inlineStr">
        <is>
          <t>Indicative project debt term.</t>
        </is>
      </c>
    </row>
    <row r="114">
      <c r="A114" s="7" t="inlineStr">
        <is>
          <t>Senior debt grace period</t>
        </is>
      </c>
      <c r="B114" s="7" t="inlineStr">
        <is>
          <t>months</t>
        </is>
      </c>
      <c r="C114" s="33" t="n">
        <v>12</v>
      </c>
      <c r="D114" s="9" t="inlineStr">
        <is>
          <t>Interest capitalizes during grace in the amortization tab by default.</t>
        </is>
      </c>
    </row>
    <row r="115">
      <c r="A115" s="7" t="inlineStr">
        <is>
          <t>Senior debt arrangement fee</t>
        </is>
      </c>
      <c r="B115" s="7" t="inlineStr">
        <is>
          <t>% of gross draw</t>
        </is>
      </c>
      <c r="C115" s="8" t="n">
        <v>0.01</v>
      </c>
      <c r="D115" s="9" t="inlineStr">
        <is>
          <t>Charged on each debt draw in the funding schedule.</t>
        </is>
      </c>
    </row>
    <row r="116">
      <c r="A116" s="7" t="inlineStr">
        <is>
          <t>Minimum cash buffer</t>
        </is>
      </c>
      <c r="B116" s="7" t="inlineStr">
        <is>
          <t>ZAR'000</t>
        </is>
      </c>
      <c r="C116" s="8" t="n">
        <v>0</v>
      </c>
      <c r="D116" s="9" t="inlineStr">
        <is>
          <t>Keep at 0 to show pure funding need; raise if financiers want a liquidity buffer.</t>
        </is>
      </c>
    </row>
    <row r="117">
      <c r="A117" s="7" t="inlineStr">
        <is>
          <t>Container order lead time</t>
        </is>
      </c>
      <c r="B117" s="7" t="inlineStr">
        <is>
          <t>months</t>
        </is>
      </c>
      <c r="C117" s="33" t="n">
        <v>2</v>
      </c>
      <c r="D117" s="9" t="inlineStr">
        <is>
          <t>Container deposit / progress / final cash timing.</t>
        </is>
      </c>
    </row>
    <row r="118">
      <c r="A118" s="7" t="inlineStr">
        <is>
          <t>Container deposit</t>
        </is>
      </c>
      <c r="B118" s="7" t="inlineStr">
        <is>
          <t>% of gross container order</t>
        </is>
      </c>
      <c r="C118" s="8" t="n">
        <v>0.2</v>
      </c>
      <c r="D118" s="9" t="inlineStr">
        <is>
          <t>Editable cash timing assumption.</t>
        </is>
      </c>
    </row>
    <row r="119">
      <c r="A119" s="7" t="inlineStr">
        <is>
          <t>Container progress payment</t>
        </is>
      </c>
      <c r="B119" s="7" t="inlineStr">
        <is>
          <t>% of gross container order</t>
        </is>
      </c>
      <c r="C119" s="8" t="n">
        <v>0.3</v>
      </c>
      <c r="D119" s="9" t="inlineStr">
        <is>
          <t>Editable cash timing assumption.</t>
        </is>
      </c>
    </row>
    <row r="120">
      <c r="A120" s="7" t="inlineStr">
        <is>
          <t>Container final payment</t>
        </is>
      </c>
      <c r="B120" s="7" t="inlineStr">
        <is>
          <t>% of gross container order</t>
        </is>
      </c>
      <c r="C120" s="8" t="n">
        <v>0.5</v>
      </c>
      <c r="D120" s="9" t="inlineStr">
        <is>
          <t>Editable cash timing assumption.</t>
        </is>
      </c>
    </row>
  </sheetData>
  <mergeCells count="1">
    <mergeCell ref="A1:D1"/>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49"/>
  <sheetViews>
    <sheetView workbookViewId="0">
      <pane ySplit="3" topLeftCell="A4" activePane="bottomLeft" state="frozen"/>
      <selection pane="bottomLeft" activeCell="A1" sqref="A1"/>
    </sheetView>
  </sheetViews>
  <sheetFormatPr baseColWidth="8" defaultRowHeight="15"/>
  <cols>
    <col width="38" customWidth="1" min="1" max="1"/>
    <col width="18" customWidth="1" min="2" max="2"/>
    <col width="18" customWidth="1" min="3" max="3"/>
    <col width="90" customWidth="1" min="4" max="4"/>
  </cols>
  <sheetData>
    <row r="1">
      <c r="A1" s="34" t="inlineStr">
        <is>
          <t>Detailed Electrical CAPEX Basis | Grootvlei Phase 1</t>
        </is>
      </c>
    </row>
    <row r="2">
      <c r="A2" s="35" t="inlineStr">
        <is>
          <t>Exact Hamar T2603-24 electrical EPC quote packages are used as the cost basis; unpriced items are layered in as explicit editable adders.</t>
        </is>
      </c>
    </row>
    <row r="4">
      <c r="A4" s="36" t="inlineStr">
        <is>
          <t>Package</t>
        </is>
      </c>
      <c r="B4" s="36" t="inlineStr">
        <is>
          <t>Unit</t>
        </is>
      </c>
      <c r="C4" s="36" t="inlineStr">
        <is>
          <t>20MW basis (ZAR'000)</t>
        </is>
      </c>
      <c r="D4" s="36" t="inlineStr">
        <is>
          <t>Source / notes</t>
        </is>
      </c>
    </row>
    <row r="5">
      <c r="A5" s="37" t="inlineStr">
        <is>
          <t>Preliminary &amp; general costs</t>
        </is>
      </c>
      <c r="B5" s="37" t="inlineStr">
        <is>
          <t>ZAR'000</t>
        </is>
      </c>
      <c r="C5" s="38" t="n">
        <v>7142.5</v>
      </c>
      <c r="D5" s="37" t="inlineStr">
        <is>
          <t>Exact Hamar summary sheet value.</t>
        </is>
      </c>
    </row>
    <row r="6">
      <c r="A6" s="37" t="inlineStr">
        <is>
          <t>Engineering &amp; design - engineering</t>
        </is>
      </c>
      <c r="B6" s="37" t="inlineStr">
        <is>
          <t>ZAR'000</t>
        </is>
      </c>
      <c r="C6" s="38" t="n">
        <v>1449.2</v>
      </c>
      <c r="D6" s="37" t="inlineStr">
        <is>
          <t>Exact Hamar summary sheet value.</t>
        </is>
      </c>
    </row>
    <row r="7">
      <c r="A7" s="37" t="inlineStr">
        <is>
          <t>Engineering &amp; design - drafting / DO</t>
        </is>
      </c>
      <c r="B7" s="37" t="inlineStr">
        <is>
          <t>ZAR'000</t>
        </is>
      </c>
      <c r="C7" s="38" t="n">
        <v>358.4</v>
      </c>
      <c r="D7" s="37" t="inlineStr">
        <is>
          <t>Exact Hamar summary sheet value.</t>
        </is>
      </c>
    </row>
    <row r="8">
      <c r="A8" s="37" t="inlineStr">
        <is>
          <t>Main equipment package</t>
        </is>
      </c>
      <c r="B8" s="37" t="inlineStr">
        <is>
          <t>ZAR'000</t>
        </is>
      </c>
      <c r="C8" s="38" t="n">
        <v>49215.6998</v>
      </c>
      <c r="D8" s="37" t="inlineStr">
        <is>
          <t>Package includes essential board substation, 100kVA board, control room, RMUs, mini-subs, 100kVA transformer and busduct.</t>
        </is>
      </c>
    </row>
    <row r="9">
      <c r="A9" s="37" t="inlineStr">
        <is>
          <t>Racking &amp; accessories</t>
        </is>
      </c>
      <c r="B9" s="37" t="inlineStr">
        <is>
          <t>ZAR'000</t>
        </is>
      </c>
      <c r="C9" s="38" t="n">
        <v>204.22016</v>
      </c>
      <c r="D9" s="37" t="inlineStr">
        <is>
          <t>Exact Hamar BOQ subtotal.</t>
        </is>
      </c>
    </row>
    <row r="10">
      <c r="A10" s="37" t="inlineStr">
        <is>
          <t>Cabling</t>
        </is>
      </c>
      <c r="B10" s="37" t="inlineStr">
        <is>
          <t>ZAR'000</t>
        </is>
      </c>
      <c r="C10" s="38" t="n">
        <v>28884.25938</v>
      </c>
      <c r="D10" s="37" t="inlineStr">
        <is>
          <t>Exact Hamar BOQ subtotal.</t>
        </is>
      </c>
    </row>
    <row r="11">
      <c r="A11" s="37" t="inlineStr">
        <is>
          <t>Cable terminations</t>
        </is>
      </c>
      <c r="B11" s="37" t="inlineStr">
        <is>
          <t>ZAR'000</t>
        </is>
      </c>
      <c r="C11" s="38" t="n">
        <v>873.42903</v>
      </c>
      <c r="D11" s="37" t="inlineStr">
        <is>
          <t>Exact Hamar BOQ subtotal.</t>
        </is>
      </c>
    </row>
    <row r="12">
      <c r="A12" s="37" t="inlineStr">
        <is>
          <t>Contingency</t>
        </is>
      </c>
      <c r="B12" s="37" t="inlineStr">
        <is>
          <t>ZAR'000</t>
        </is>
      </c>
      <c r="C12" s="38" t="n">
        <v>2500</v>
      </c>
      <c r="D12" s="37" t="inlineStr">
        <is>
          <t>Exact Hamar summary sheet value.</t>
        </is>
      </c>
    </row>
    <row r="13">
      <c r="A13" s="39" t="inlineStr">
        <is>
          <t>Quoted electrical EPC subtotal</t>
        </is>
      </c>
      <c r="B13" s="39" t="n"/>
      <c r="C13" s="39">
        <f>SUM(C5:C12)</f>
        <v/>
      </c>
      <c r="D13" s="39" t="inlineStr">
        <is>
          <t>Exact costed packages from the 25 March 2026 Hamar quotation.</t>
        </is>
      </c>
    </row>
    <row r="14">
      <c r="A14" s="40" t="n"/>
      <c r="B14" s="40" t="n"/>
      <c r="C14" s="40" t="n"/>
      <c r="D14" s="40" t="n"/>
    </row>
    <row r="15">
      <c r="A15" s="41" t="inlineStr">
        <is>
          <t>Unpriced / under-specified adders</t>
        </is>
      </c>
      <c r="B15" s="51" t="n"/>
      <c r="C15" s="51" t="n"/>
      <c r="D15" s="52" t="n"/>
    </row>
    <row r="16">
      <c r="A16" s="37" t="inlineStr">
        <is>
          <t>Harmonic mitigation allowance</t>
        </is>
      </c>
      <c r="B16" s="37" t="inlineStr">
        <is>
          <t>ZAR'000</t>
        </is>
      </c>
      <c r="C16" s="37">
        <f>C13*Control!$C$91</f>
        <v/>
      </c>
      <c r="D16" s="37" t="inlineStr">
        <is>
          <t>Concept comments say harmonic mitigation is required but not allowed for in the preliminary offer.</t>
        </is>
      </c>
    </row>
    <row r="17">
      <c r="A17" s="37" t="inlineStr">
        <is>
          <t>Lighting / small power allowance</t>
        </is>
      </c>
      <c r="B17" s="37" t="inlineStr">
        <is>
          <t>ZAR'000</t>
        </is>
      </c>
      <c r="C17" s="37">
        <f>C13*Control!$C$92</f>
        <v/>
      </c>
      <c r="D17" s="37" t="inlineStr">
        <is>
          <t>Lighting line in quote is blank; editable allowance.</t>
        </is>
      </c>
    </row>
    <row r="18">
      <c r="A18" s="37" t="inlineStr">
        <is>
          <t>Instrumentation / SCADA allowance</t>
        </is>
      </c>
      <c r="B18" s="37" t="inlineStr">
        <is>
          <t>ZAR'000</t>
        </is>
      </c>
      <c r="C18" s="37">
        <f>C13*Control!$C$93</f>
        <v/>
      </c>
      <c r="D18" s="37" t="inlineStr">
        <is>
          <t>Instrumentation line in quote is blank; editable allowance.</t>
        </is>
      </c>
    </row>
    <row r="19">
      <c r="A19" s="37" t="inlineStr">
        <is>
          <t>Earthing / lightning allowance</t>
        </is>
      </c>
      <c r="B19" s="37" t="inlineStr">
        <is>
          <t>ZAR'000</t>
        </is>
      </c>
      <c r="C19" s="37">
        <f>C13*Control!$C$94</f>
        <v/>
      </c>
      <c r="D19" s="37" t="inlineStr">
        <is>
          <t>Concept basis requires earthing / lightning and wet/high-humidity suitability.</t>
        </is>
      </c>
    </row>
    <row r="20">
      <c r="A20" s="37" t="inlineStr">
        <is>
          <t>Civil / drainage / fencing allowance</t>
        </is>
      </c>
      <c r="B20" s="37" t="inlineStr">
        <is>
          <t>ZAR'000</t>
        </is>
      </c>
      <c r="C20" s="37">
        <f>C13*Control!$C$95</f>
        <v/>
      </c>
      <c r="D20" s="37" t="inlineStr">
        <is>
          <t>Brownfield electrical quote does not fully price all enabling works.</t>
        </is>
      </c>
    </row>
    <row r="21">
      <c r="A21" s="39" t="inlineStr">
        <is>
          <t>Adders subtotal</t>
        </is>
      </c>
      <c r="B21" s="39" t="n"/>
      <c r="C21" s="39">
        <f>SUM(C16:C20)</f>
        <v/>
      </c>
      <c r="D21" s="39" t="inlineStr">
        <is>
          <t>All editable adders above.</t>
        </is>
      </c>
    </row>
    <row r="22">
      <c r="A22" s="37" t="inlineStr">
        <is>
          <t>Brownfield similarity factor</t>
        </is>
      </c>
      <c r="B22" s="37" t="inlineStr">
        <is>
          <t>x</t>
        </is>
      </c>
      <c r="C22" s="37">
        <f>Control!$C$96</f>
        <v/>
      </c>
      <c r="D22" s="37" t="inlineStr">
        <is>
          <t>1.00 = use Grootvlei basis; adjust if another site is easier or harder.</t>
        </is>
      </c>
    </row>
    <row r="23">
      <c r="A23" s="41" t="inlineStr">
        <is>
          <t>All-in electrical EPC | 20MW</t>
        </is>
      </c>
      <c r="B23" s="41" t="inlineStr">
        <is>
          <t>ZAR'000</t>
        </is>
      </c>
      <c r="C23" s="41">
        <f>(C13+C21)*C22</f>
        <v/>
      </c>
      <c r="D23" s="41" t="inlineStr">
        <is>
          <t>Exact quote subtotal plus adders, multiplied by the site similarity factor.</t>
        </is>
      </c>
    </row>
    <row r="24">
      <c r="A24" s="40" t="n"/>
      <c r="B24" s="40" t="n"/>
      <c r="C24" s="40" t="n"/>
      <c r="D24" s="40" t="n"/>
    </row>
    <row r="25">
      <c r="A25" s="40" t="n"/>
      <c r="B25" s="40" t="n"/>
      <c r="C25" s="40" t="n"/>
      <c r="D25" s="40" t="n"/>
    </row>
    <row r="26">
      <c r="A26" s="42" t="inlineStr">
        <is>
          <t>Fixed/site cost</t>
        </is>
      </c>
      <c r="B26" s="42" t="inlineStr">
        <is>
          <t>ZAR'000/site</t>
        </is>
      </c>
      <c r="C26" s="42">
        <f>C23*Control!$C$90</f>
        <v/>
      </c>
      <c r="D26" s="42" t="inlineStr">
        <is>
          <t>Editable fixed/site share assumption applied to the all-in 20MW electrical EPC basis.</t>
        </is>
      </c>
    </row>
    <row r="27">
      <c r="A27" s="42" t="inlineStr">
        <is>
          <t>Variable electrical EPC</t>
        </is>
      </c>
      <c r="B27" s="42" t="inlineStr">
        <is>
          <t>ZAR'000/MW</t>
        </is>
      </c>
      <c r="C27" s="42">
        <f>C23*(1-Control!$C$90)/20</f>
        <v/>
      </c>
      <c r="D27" s="42" t="inlineStr">
        <is>
          <t>Variable portion used to scale incremental MW.</t>
        </is>
      </c>
    </row>
    <row r="28">
      <c r="A28" s="42" t="inlineStr">
        <is>
          <t>All-in electrical EPC</t>
        </is>
      </c>
      <c r="B28" s="42" t="inlineStr">
        <is>
          <t>ZAR'000/MW</t>
        </is>
      </c>
      <c r="C28" s="42">
        <f>C23/20</f>
        <v/>
      </c>
      <c r="D28" s="42" t="inlineStr">
        <is>
          <t>For reference only.</t>
        </is>
      </c>
    </row>
    <row r="29">
      <c r="A29" s="40" t="n"/>
      <c r="B29" s="40" t="n"/>
      <c r="C29" s="40" t="n"/>
      <c r="D29" s="40" t="n"/>
    </row>
    <row r="30">
      <c r="A30" s="41" t="inlineStr">
        <is>
          <t>Quoted scope composition / quantities</t>
        </is>
      </c>
      <c r="B30" s="51" t="n"/>
      <c r="C30" s="51" t="n"/>
      <c r="D30" s="52" t="n"/>
    </row>
    <row r="31">
      <c r="A31" s="43" t="inlineStr">
        <is>
          <t>Item</t>
        </is>
      </c>
      <c r="B31" s="43" t="inlineStr">
        <is>
          <t>Qty</t>
        </is>
      </c>
      <c r="C31" s="43" t="inlineStr">
        <is>
          <t>Unit</t>
        </is>
      </c>
      <c r="D31" s="43" t="inlineStr">
        <is>
          <t>Notes</t>
        </is>
      </c>
    </row>
    <row r="32">
      <c r="A32" s="37" t="inlineStr">
        <is>
          <t>3m containerised substation for essential board</t>
        </is>
      </c>
      <c r="B32" s="37" t="n">
        <v>1</v>
      </c>
      <c r="C32" s="37" t="inlineStr">
        <is>
          <t>ea</t>
        </is>
      </c>
      <c r="D32" s="37" t="inlineStr">
        <is>
          <t>Main equipment package</t>
        </is>
      </c>
    </row>
    <row r="33">
      <c r="A33" s="37" t="inlineStr">
        <is>
          <t>3m substation switchgear (100kVA board with feeders)</t>
        </is>
      </c>
      <c r="B33" s="37" t="n">
        <v>1</v>
      </c>
      <c r="C33" s="37" t="inlineStr">
        <is>
          <t>ea</t>
        </is>
      </c>
      <c r="D33" s="37" t="inlineStr">
        <is>
          <t>Main equipment package</t>
        </is>
      </c>
    </row>
    <row r="34">
      <c r="A34" s="37" t="inlineStr">
        <is>
          <t>6m containerised control room</t>
        </is>
      </c>
      <c r="B34" s="37" t="n">
        <v>1</v>
      </c>
      <c r="C34" s="37" t="inlineStr">
        <is>
          <t>ea</t>
        </is>
      </c>
      <c r="D34" s="37" t="inlineStr">
        <is>
          <t>Main equipment package</t>
        </is>
      </c>
    </row>
    <row r="35">
      <c r="A35" s="37" t="inlineStr">
        <is>
          <t>Schneider RMU</t>
        </is>
      </c>
      <c r="B35" s="37" t="n">
        <v>3</v>
      </c>
      <c r="C35" s="37" t="inlineStr">
        <is>
          <t>ea</t>
        </is>
      </c>
      <c r="D35" s="37" t="inlineStr">
        <is>
          <t>Main equipment package</t>
        </is>
      </c>
    </row>
    <row r="36">
      <c r="A36" s="37" t="inlineStr">
        <is>
          <t>2MVA mini sub</t>
        </is>
      </c>
      <c r="B36" s="37" t="n">
        <v>20</v>
      </c>
      <c r="C36" s="37" t="inlineStr">
        <is>
          <t>ea</t>
        </is>
      </c>
      <c r="D36" s="37" t="inlineStr">
        <is>
          <t>Main equipment package</t>
        </is>
      </c>
    </row>
    <row r="37">
      <c r="A37" s="37" t="inlineStr">
        <is>
          <t>100kVA transformer</t>
        </is>
      </c>
      <c r="B37" s="37" t="n">
        <v>1</v>
      </c>
      <c r="C37" s="37" t="inlineStr">
        <is>
          <t>ea</t>
        </is>
      </c>
      <c r="D37" s="37" t="inlineStr">
        <is>
          <t>Main equipment package</t>
        </is>
      </c>
    </row>
    <row r="38">
      <c r="A38" s="37" t="inlineStr">
        <is>
          <t>Busducting from transformer to container (20m)</t>
        </is>
      </c>
      <c r="B38" s="37" t="n">
        <v>12</v>
      </c>
      <c r="C38" s="37" t="inlineStr">
        <is>
          <t>ea</t>
        </is>
      </c>
      <c r="D38" s="37" t="inlineStr">
        <is>
          <t>Main equipment package</t>
        </is>
      </c>
    </row>
    <row r="39">
      <c r="A39" s="37" t="inlineStr">
        <is>
          <t>3c x 35mm² 6.6/11kV XLPE cable</t>
        </is>
      </c>
      <c r="B39" s="37" t="n">
        <v>150</v>
      </c>
      <c r="C39" s="37" t="inlineStr">
        <is>
          <t>m</t>
        </is>
      </c>
      <c r="D39" s="37" t="inlineStr">
        <is>
          <t>Cabling subtotal</t>
        </is>
      </c>
    </row>
    <row r="40">
      <c r="A40" s="37" t="inlineStr">
        <is>
          <t>1c x 150mm² 6.6/11kV XLPE cable</t>
        </is>
      </c>
      <c r="B40" s="37" t="n">
        <v>2100</v>
      </c>
      <c r="C40" s="37" t="inlineStr">
        <is>
          <t>m</t>
        </is>
      </c>
      <c r="D40" s="37" t="inlineStr">
        <is>
          <t>Cabling subtotal</t>
        </is>
      </c>
    </row>
    <row r="41">
      <c r="A41" s="37" t="inlineStr">
        <is>
          <t>1c x 500mm² 6.6/11kV XLPE cable</t>
        </is>
      </c>
      <c r="B41" s="37" t="n">
        <v>9000</v>
      </c>
      <c r="C41" s="37" t="inlineStr">
        <is>
          <t>m</t>
        </is>
      </c>
      <c r="D41" s="37" t="inlineStr">
        <is>
          <t>Cabling subtotal</t>
        </is>
      </c>
    </row>
    <row r="42">
      <c r="A42" s="37" t="inlineStr">
        <is>
          <t>1c x 70mm² G/Y insulated earth</t>
        </is>
      </c>
      <c r="B42" s="37" t="n">
        <v>11250</v>
      </c>
      <c r="C42" s="37" t="inlineStr">
        <is>
          <t>m</t>
        </is>
      </c>
      <c r="D42" s="37" t="inlineStr">
        <is>
          <t>Cabling subtotal</t>
        </is>
      </c>
    </row>
    <row r="43">
      <c r="A43" s="37" t="inlineStr">
        <is>
          <t>3c x 35mm² 6.6/11kV XLPE cable joint</t>
        </is>
      </c>
      <c r="B43" s="37" t="n">
        <v>2</v>
      </c>
      <c r="C43" s="37" t="inlineStr">
        <is>
          <t>joint</t>
        </is>
      </c>
      <c r="D43" s="37" t="inlineStr">
        <is>
          <t>Cable termination subtotal</t>
        </is>
      </c>
    </row>
    <row r="44">
      <c r="A44" s="37" t="inlineStr">
        <is>
          <t>1c x 150mm² 6.6/11kV XLPE cable joint</t>
        </is>
      </c>
      <c r="B44" s="37" t="n">
        <v>72</v>
      </c>
      <c r="C44" s="37" t="inlineStr">
        <is>
          <t>joint</t>
        </is>
      </c>
      <c r="D44" s="37" t="inlineStr">
        <is>
          <t>Cable termination subtotal</t>
        </is>
      </c>
    </row>
    <row r="45">
      <c r="A45" s="37" t="inlineStr">
        <is>
          <t>1c x 500mm² 6.6/11kV XLPE cable joint</t>
        </is>
      </c>
      <c r="B45" s="37" t="n">
        <v>18</v>
      </c>
      <c r="C45" s="37" t="inlineStr">
        <is>
          <t>joint</t>
        </is>
      </c>
      <c r="D45" s="37" t="inlineStr">
        <is>
          <t>Cable termination subtotal</t>
        </is>
      </c>
    </row>
    <row r="46">
      <c r="A46" s="40" t="n"/>
      <c r="B46" s="40" t="n"/>
      <c r="C46" s="40" t="n"/>
      <c r="D46" s="40" t="n"/>
    </row>
    <row r="47">
      <c r="A47" s="40" t="n"/>
      <c r="B47" s="40" t="n"/>
      <c r="C47" s="40" t="n"/>
      <c r="D47" s="40" t="n"/>
    </row>
    <row r="48">
      <c r="A48" s="37" t="inlineStr">
        <is>
          <t>Scope boundary note</t>
        </is>
      </c>
      <c r="B48" s="40" t="n"/>
      <c r="C48" s="40" t="n"/>
      <c r="D48" s="37" t="inlineStr">
        <is>
          <t>Hamar email thread states the EPC scope includes all electrical works from the 6.6kV feeders to the 400V connection at the BitMach containers, including the essential section and the DX-issued metering scope.</t>
        </is>
      </c>
    </row>
    <row r="49">
      <c r="A49" s="37" t="inlineStr">
        <is>
          <t>Design note</t>
        </is>
      </c>
      <c r="B49" s="40" t="n"/>
      <c r="C49" s="40" t="n"/>
      <c r="D49" s="37" t="inlineStr">
        <is>
          <t>The concept comments note that harmonic mitigation is required but was not allowed for in the preliminary offer pending detailed miner harmonic data.</t>
        </is>
      </c>
    </row>
  </sheetData>
  <mergeCells count="4">
    <mergeCell ref="A1:D1"/>
    <mergeCell ref="A30:D30"/>
    <mergeCell ref="A2:D2"/>
    <mergeCell ref="A15:D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8"/>
  <sheetViews>
    <sheetView showGridLines="0" workbookViewId="0">
      <selection activeCell="A1" sqref="A1"/>
    </sheetView>
  </sheetViews>
  <sheetFormatPr baseColWidth="8" defaultRowHeight="15"/>
  <cols>
    <col width="32" customWidth="1" min="1" max="1"/>
    <col width="16"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12-Month Phase 1 Deployment</t>
        </is>
      </c>
    </row>
    <row r="2">
      <c r="A2" s="5" t="inlineStr">
        <is>
          <t>Edit only the blue MW schedule rows. Base case: Grootvlei ramps first, AMSA follows, and AMSA solar comes online during the ramp.</t>
        </is>
      </c>
    </row>
    <row r="3">
      <c r="D3" s="16" t="n">
        <v>1</v>
      </c>
      <c r="E3" s="16" t="n">
        <v>2</v>
      </c>
      <c r="F3" s="16" t="n">
        <v>3</v>
      </c>
      <c r="G3" s="16" t="n">
        <v>4</v>
      </c>
      <c r="H3" s="16" t="n">
        <v>5</v>
      </c>
      <c r="I3" s="16" t="n">
        <v>6</v>
      </c>
      <c r="J3" s="16" t="n">
        <v>7</v>
      </c>
      <c r="K3" s="16" t="n">
        <v>8</v>
      </c>
      <c r="L3" s="16" t="n">
        <v>9</v>
      </c>
      <c r="M3" s="16" t="n">
        <v>10</v>
      </c>
      <c r="N3" s="16" t="n">
        <v>11</v>
      </c>
      <c r="O3" s="16" t="n">
        <v>12</v>
      </c>
    </row>
    <row r="4" ht="20" customHeight="1">
      <c r="D4" s="17" t="inlineStr">
        <is>
          <t>Jan-26</t>
        </is>
      </c>
      <c r="E4" s="17" t="inlineStr">
        <is>
          <t>Feb-26</t>
        </is>
      </c>
      <c r="F4" s="17" t="inlineStr">
        <is>
          <t>Mar-26</t>
        </is>
      </c>
      <c r="G4" s="17" t="inlineStr">
        <is>
          <t>Apr-26</t>
        </is>
      </c>
      <c r="H4" s="17" t="inlineStr">
        <is>
          <t>May-26</t>
        </is>
      </c>
      <c r="I4" s="17" t="inlineStr">
        <is>
          <t>Jun-26</t>
        </is>
      </c>
      <c r="J4" s="17" t="inlineStr">
        <is>
          <t>Jul-26</t>
        </is>
      </c>
      <c r="K4" s="17" t="inlineStr">
        <is>
          <t>Aug-26</t>
        </is>
      </c>
      <c r="L4" s="17" t="inlineStr">
        <is>
          <t>Sep-26</t>
        </is>
      </c>
      <c r="M4" s="17" t="inlineStr">
        <is>
          <t>Oct-26</t>
        </is>
      </c>
      <c r="N4" s="17" t="inlineStr">
        <is>
          <t>Nov-26</t>
        </is>
      </c>
      <c r="O4" s="17" t="inlineStr">
        <is>
          <t>Dec-26</t>
        </is>
      </c>
    </row>
    <row r="5">
      <c r="A5" s="2" t="inlineStr">
        <is>
          <t>Days in month</t>
        </is>
      </c>
      <c r="B5" s="5" t="inlineStr">
        <is>
          <t>days</t>
        </is>
      </c>
      <c r="D5" s="18" t="n">
        <v>31</v>
      </c>
      <c r="E5" s="18" t="n">
        <v>28</v>
      </c>
      <c r="F5" s="18" t="n">
        <v>31</v>
      </c>
      <c r="G5" s="18" t="n">
        <v>30</v>
      </c>
      <c r="H5" s="18" t="n">
        <v>31</v>
      </c>
      <c r="I5" s="18" t="n">
        <v>30</v>
      </c>
      <c r="J5" s="18" t="n">
        <v>31</v>
      </c>
      <c r="K5" s="18" t="n">
        <v>31</v>
      </c>
      <c r="L5" s="18" t="n">
        <v>30</v>
      </c>
      <c r="M5" s="18" t="n">
        <v>31</v>
      </c>
      <c r="N5" s="18" t="n">
        <v>30</v>
      </c>
      <c r="O5" s="18" t="n">
        <v>31</v>
      </c>
    </row>
    <row r="7">
      <c r="A7" s="7" t="inlineStr">
        <is>
          <t>Grootvlei closing MW</t>
        </is>
      </c>
      <c r="B7" s="5" t="inlineStr">
        <is>
          <t>MW</t>
        </is>
      </c>
      <c r="D7" s="10" t="n">
        <v>0</v>
      </c>
      <c r="E7" s="10" t="n">
        <v>0</v>
      </c>
      <c r="F7" s="10" t="n">
        <v>5</v>
      </c>
      <c r="G7" s="10" t="n">
        <v>10</v>
      </c>
      <c r="H7" s="10" t="n">
        <v>15</v>
      </c>
      <c r="I7" s="10" t="n">
        <v>15</v>
      </c>
      <c r="J7" s="10" t="n">
        <v>15</v>
      </c>
      <c r="K7" s="10" t="n">
        <v>15</v>
      </c>
      <c r="L7" s="10" t="n">
        <v>15</v>
      </c>
      <c r="M7" s="10" t="n">
        <v>15</v>
      </c>
      <c r="N7" s="10" t="n">
        <v>15</v>
      </c>
      <c r="O7" s="10" t="n">
        <v>15</v>
      </c>
    </row>
    <row r="8">
      <c r="A8" s="7" t="inlineStr">
        <is>
          <t>AMSA closing MW</t>
        </is>
      </c>
      <c r="B8" s="5" t="inlineStr">
        <is>
          <t>MW</t>
        </is>
      </c>
      <c r="D8" s="10" t="n">
        <v>0</v>
      </c>
      <c r="E8" s="10" t="n">
        <v>0</v>
      </c>
      <c r="F8" s="10" t="n">
        <v>0</v>
      </c>
      <c r="G8" s="10" t="n">
        <v>0</v>
      </c>
      <c r="H8" s="10" t="n">
        <v>0</v>
      </c>
      <c r="I8" s="10" t="n">
        <v>5</v>
      </c>
      <c r="J8" s="10" t="n">
        <v>5</v>
      </c>
      <c r="K8" s="10" t="n">
        <v>5</v>
      </c>
      <c r="L8" s="10" t="n">
        <v>5</v>
      </c>
      <c r="M8" s="10" t="n">
        <v>5</v>
      </c>
      <c r="N8" s="10" t="n">
        <v>5</v>
      </c>
      <c r="O8" s="10" t="n">
        <v>5</v>
      </c>
    </row>
    <row r="9">
      <c r="A9" s="7" t="inlineStr">
        <is>
          <t>AMSA solar closing MW</t>
        </is>
      </c>
      <c r="B9" s="5" t="inlineStr">
        <is>
          <t>MW</t>
        </is>
      </c>
      <c r="D9" s="10" t="n">
        <v>0</v>
      </c>
      <c r="E9" s="10" t="n">
        <v>0</v>
      </c>
      <c r="F9" s="10" t="n">
        <v>0</v>
      </c>
      <c r="G9" s="10" t="n">
        <v>0</v>
      </c>
      <c r="H9" s="10" t="n">
        <v>10</v>
      </c>
      <c r="I9" s="10" t="n">
        <v>10</v>
      </c>
      <c r="J9" s="10" t="n">
        <v>10</v>
      </c>
      <c r="K9" s="10" t="n">
        <v>10</v>
      </c>
      <c r="L9" s="10" t="n">
        <v>10</v>
      </c>
      <c r="M9" s="10" t="n">
        <v>10</v>
      </c>
      <c r="N9" s="10" t="n">
        <v>10</v>
      </c>
      <c r="O9" s="10" t="n">
        <v>10</v>
      </c>
    </row>
    <row r="12">
      <c r="A12" s="7" t="inlineStr">
        <is>
          <t>Grootvlei opening MW</t>
        </is>
      </c>
      <c r="B12" s="5" t="inlineStr">
        <is>
          <t>MW</t>
        </is>
      </c>
      <c r="D12" s="14" t="n">
        <v>0</v>
      </c>
      <c r="E12" s="14">
        <f>D7</f>
        <v/>
      </c>
      <c r="F12" s="14">
        <f>E7</f>
        <v/>
      </c>
      <c r="G12" s="14">
        <f>F7</f>
        <v/>
      </c>
      <c r="H12" s="14">
        <f>G7</f>
        <v/>
      </c>
      <c r="I12" s="14">
        <f>H7</f>
        <v/>
      </c>
      <c r="J12" s="14">
        <f>I7</f>
        <v/>
      </c>
      <c r="K12" s="14">
        <f>J7</f>
        <v/>
      </c>
      <c r="L12" s="14">
        <f>K7</f>
        <v/>
      </c>
      <c r="M12" s="14">
        <f>L7</f>
        <v/>
      </c>
      <c r="N12" s="14">
        <f>M7</f>
        <v/>
      </c>
      <c r="O12" s="14">
        <f>N7</f>
        <v/>
      </c>
    </row>
    <row r="13">
      <c r="A13" s="7" t="inlineStr">
        <is>
          <t>AMSA opening MW</t>
        </is>
      </c>
      <c r="B13" s="5" t="inlineStr">
        <is>
          <t>MW</t>
        </is>
      </c>
      <c r="D13" s="14" t="n">
        <v>0</v>
      </c>
      <c r="E13" s="14">
        <f>D8</f>
        <v/>
      </c>
      <c r="F13" s="14">
        <f>E8</f>
        <v/>
      </c>
      <c r="G13" s="14">
        <f>F8</f>
        <v/>
      </c>
      <c r="H13" s="14">
        <f>G8</f>
        <v/>
      </c>
      <c r="I13" s="14">
        <f>H8</f>
        <v/>
      </c>
      <c r="J13" s="14">
        <f>I8</f>
        <v/>
      </c>
      <c r="K13" s="14">
        <f>J8</f>
        <v/>
      </c>
      <c r="L13" s="14">
        <f>K8</f>
        <v/>
      </c>
      <c r="M13" s="14">
        <f>L8</f>
        <v/>
      </c>
      <c r="N13" s="14">
        <f>M8</f>
        <v/>
      </c>
      <c r="O13" s="14">
        <f>N8</f>
        <v/>
      </c>
    </row>
    <row r="14">
      <c r="A14" s="7" t="inlineStr">
        <is>
          <t>AMSA solar opening MW</t>
        </is>
      </c>
      <c r="B14" s="5" t="inlineStr">
        <is>
          <t>MW</t>
        </is>
      </c>
      <c r="D14" s="14" t="n">
        <v>0</v>
      </c>
      <c r="E14" s="14">
        <f>D9</f>
        <v/>
      </c>
      <c r="F14" s="14">
        <f>E9</f>
        <v/>
      </c>
      <c r="G14" s="14">
        <f>F9</f>
        <v/>
      </c>
      <c r="H14" s="14">
        <f>G9</f>
        <v/>
      </c>
      <c r="I14" s="14">
        <f>H9</f>
        <v/>
      </c>
      <c r="J14" s="14">
        <f>I9</f>
        <v/>
      </c>
      <c r="K14" s="14">
        <f>J9</f>
        <v/>
      </c>
      <c r="L14" s="14">
        <f>K9</f>
        <v/>
      </c>
      <c r="M14" s="14">
        <f>L9</f>
        <v/>
      </c>
      <c r="N14" s="14">
        <f>M9</f>
        <v/>
      </c>
      <c r="O14" s="14">
        <f>N9</f>
        <v/>
      </c>
    </row>
    <row r="16">
      <c r="A16" s="7" t="inlineStr">
        <is>
          <t>Grootvlei average MW</t>
        </is>
      </c>
      <c r="B16" s="5" t="inlineStr">
        <is>
          <t>MW</t>
        </is>
      </c>
      <c r="D16" s="14">
        <f>(D12+D7)/2</f>
        <v/>
      </c>
      <c r="E16" s="14">
        <f>(E12+E7)/2</f>
        <v/>
      </c>
      <c r="F16" s="14">
        <f>(F12+F7)/2</f>
        <v/>
      </c>
      <c r="G16" s="14">
        <f>(G12+G7)/2</f>
        <v/>
      </c>
      <c r="H16" s="14">
        <f>(H12+H7)/2</f>
        <v/>
      </c>
      <c r="I16" s="14">
        <f>(I12+I7)/2</f>
        <v/>
      </c>
      <c r="J16" s="14">
        <f>(J12+J7)/2</f>
        <v/>
      </c>
      <c r="K16" s="14">
        <f>(K12+K7)/2</f>
        <v/>
      </c>
      <c r="L16" s="14">
        <f>(L12+L7)/2</f>
        <v/>
      </c>
      <c r="M16" s="14">
        <f>(M12+M7)/2</f>
        <v/>
      </c>
      <c r="N16" s="14">
        <f>(N12+N7)/2</f>
        <v/>
      </c>
      <c r="O16" s="14">
        <f>(O12+O7)/2</f>
        <v/>
      </c>
    </row>
    <row r="17">
      <c r="A17" s="7" t="inlineStr">
        <is>
          <t>AMSA average MW</t>
        </is>
      </c>
      <c r="B17" s="5" t="inlineStr">
        <is>
          <t>MW</t>
        </is>
      </c>
      <c r="D17" s="14">
        <f>(D13+D8)/2</f>
        <v/>
      </c>
      <c r="E17" s="14">
        <f>(E13+E8)/2</f>
        <v/>
      </c>
      <c r="F17" s="14">
        <f>(F13+F8)/2</f>
        <v/>
      </c>
      <c r="G17" s="14">
        <f>(G13+G8)/2</f>
        <v/>
      </c>
      <c r="H17" s="14">
        <f>(H13+H8)/2</f>
        <v/>
      </c>
      <c r="I17" s="14">
        <f>(I13+I8)/2</f>
        <v/>
      </c>
      <c r="J17" s="14">
        <f>(J13+J8)/2</f>
        <v/>
      </c>
      <c r="K17" s="14">
        <f>(K13+K8)/2</f>
        <v/>
      </c>
      <c r="L17" s="14">
        <f>(L13+L8)/2</f>
        <v/>
      </c>
      <c r="M17" s="14">
        <f>(M13+M8)/2</f>
        <v/>
      </c>
      <c r="N17" s="14">
        <f>(N13+N8)/2</f>
        <v/>
      </c>
      <c r="O17" s="14">
        <f>(O13+O8)/2</f>
        <v/>
      </c>
    </row>
    <row r="18">
      <c r="A18" s="7" t="inlineStr">
        <is>
          <t>AMSA average solar MW</t>
        </is>
      </c>
      <c r="B18" s="5" t="inlineStr">
        <is>
          <t>MW</t>
        </is>
      </c>
      <c r="D18" s="14">
        <f>(D14+D9)/2</f>
        <v/>
      </c>
      <c r="E18" s="14">
        <f>(E14+E9)/2</f>
        <v/>
      </c>
      <c r="F18" s="14">
        <f>(F14+F9)/2</f>
        <v/>
      </c>
      <c r="G18" s="14">
        <f>(G14+G9)/2</f>
        <v/>
      </c>
      <c r="H18" s="14">
        <f>(H14+H9)/2</f>
        <v/>
      </c>
      <c r="I18" s="14">
        <f>(I14+I9)/2</f>
        <v/>
      </c>
      <c r="J18" s="14">
        <f>(J14+J9)/2</f>
        <v/>
      </c>
      <c r="K18" s="14">
        <f>(K14+K9)/2</f>
        <v/>
      </c>
      <c r="L18" s="14">
        <f>(L14+L9)/2</f>
        <v/>
      </c>
      <c r="M18" s="14">
        <f>(M14+M9)/2</f>
        <v/>
      </c>
      <c r="N18" s="14">
        <f>(N14+N9)/2</f>
        <v/>
      </c>
      <c r="O18" s="14">
        <f>(O14+O9)/2</f>
        <v/>
      </c>
    </row>
    <row r="19">
      <c r="A19" s="19" t="inlineStr">
        <is>
          <t>Total average MW</t>
        </is>
      </c>
      <c r="B19" s="20" t="inlineStr">
        <is>
          <t>MW</t>
        </is>
      </c>
      <c r="C19" s="21" t="n"/>
      <c r="D19" s="22">
        <f>D16+D17</f>
        <v/>
      </c>
      <c r="E19" s="22">
        <f>E16+E17</f>
        <v/>
      </c>
      <c r="F19" s="22">
        <f>F16+F17</f>
        <v/>
      </c>
      <c r="G19" s="22">
        <f>G16+G17</f>
        <v/>
      </c>
      <c r="H19" s="22">
        <f>H16+H17</f>
        <v/>
      </c>
      <c r="I19" s="22">
        <f>I16+I17</f>
        <v/>
      </c>
      <c r="J19" s="22">
        <f>J16+J17</f>
        <v/>
      </c>
      <c r="K19" s="22">
        <f>K16+K17</f>
        <v/>
      </c>
      <c r="L19" s="22">
        <f>L16+L17</f>
        <v/>
      </c>
      <c r="M19" s="22">
        <f>M16+M17</f>
        <v/>
      </c>
      <c r="N19" s="22">
        <f>N16+N17</f>
        <v/>
      </c>
      <c r="O19" s="22">
        <f>O16+O17</f>
        <v/>
      </c>
    </row>
    <row r="21">
      <c r="A21" s="7" t="inlineStr">
        <is>
          <t>Grootvlei new MW</t>
        </is>
      </c>
      <c r="B21" s="5" t="inlineStr">
        <is>
          <t>MW</t>
        </is>
      </c>
      <c r="D21" s="14">
        <f>MAX(D7-D12,0)</f>
        <v/>
      </c>
      <c r="E21" s="14">
        <f>MAX(E7-E12,0)</f>
        <v/>
      </c>
      <c r="F21" s="14">
        <f>MAX(F7-F12,0)</f>
        <v/>
      </c>
      <c r="G21" s="14">
        <f>MAX(G7-G12,0)</f>
        <v/>
      </c>
      <c r="H21" s="14">
        <f>MAX(H7-H12,0)</f>
        <v/>
      </c>
      <c r="I21" s="14">
        <f>MAX(I7-I12,0)</f>
        <v/>
      </c>
      <c r="J21" s="14">
        <f>MAX(J7-J12,0)</f>
        <v/>
      </c>
      <c r="K21" s="14">
        <f>MAX(K7-K12,0)</f>
        <v/>
      </c>
      <c r="L21" s="14">
        <f>MAX(L7-L12,0)</f>
        <v/>
      </c>
      <c r="M21" s="14">
        <f>MAX(M7-M12,0)</f>
        <v/>
      </c>
      <c r="N21" s="14">
        <f>MAX(N7-N12,0)</f>
        <v/>
      </c>
      <c r="O21" s="14">
        <f>MAX(O7-O12,0)</f>
        <v/>
      </c>
    </row>
    <row r="22">
      <c r="A22" s="7" t="inlineStr">
        <is>
          <t>AMSA new MW</t>
        </is>
      </c>
      <c r="B22" s="5" t="inlineStr">
        <is>
          <t>MW</t>
        </is>
      </c>
      <c r="D22" s="14">
        <f>MAX(D8-D13,0)</f>
        <v/>
      </c>
      <c r="E22" s="14">
        <f>MAX(E8-E13,0)</f>
        <v/>
      </c>
      <c r="F22" s="14">
        <f>MAX(F8-F13,0)</f>
        <v/>
      </c>
      <c r="G22" s="14">
        <f>MAX(G8-G13,0)</f>
        <v/>
      </c>
      <c r="H22" s="14">
        <f>MAX(H8-H13,0)</f>
        <v/>
      </c>
      <c r="I22" s="14">
        <f>MAX(I8-I13,0)</f>
        <v/>
      </c>
      <c r="J22" s="14">
        <f>MAX(J8-J13,0)</f>
        <v/>
      </c>
      <c r="K22" s="14">
        <f>MAX(K8-K13,0)</f>
        <v/>
      </c>
      <c r="L22" s="14">
        <f>MAX(L8-L13,0)</f>
        <v/>
      </c>
      <c r="M22" s="14">
        <f>MAX(M8-M13,0)</f>
        <v/>
      </c>
      <c r="N22" s="14">
        <f>MAX(N8-N13,0)</f>
        <v/>
      </c>
      <c r="O22" s="14">
        <f>MAX(O8-O13,0)</f>
        <v/>
      </c>
    </row>
    <row r="23">
      <c r="A23" s="7" t="inlineStr">
        <is>
          <t>AMSA solar new MW</t>
        </is>
      </c>
      <c r="B23" s="5" t="inlineStr">
        <is>
          <t>MW</t>
        </is>
      </c>
      <c r="D23" s="14">
        <f>MAX(D9-D14,0)</f>
        <v/>
      </c>
      <c r="E23" s="14">
        <f>MAX(E9-E14,0)</f>
        <v/>
      </c>
      <c r="F23" s="14">
        <f>MAX(F9-F14,0)</f>
        <v/>
      </c>
      <c r="G23" s="14">
        <f>MAX(G9-G14,0)</f>
        <v/>
      </c>
      <c r="H23" s="14">
        <f>MAX(H9-H14,0)</f>
        <v/>
      </c>
      <c r="I23" s="14">
        <f>MAX(I9-I14,0)</f>
        <v/>
      </c>
      <c r="J23" s="14">
        <f>MAX(J9-J14,0)</f>
        <v/>
      </c>
      <c r="K23" s="14">
        <f>MAX(K9-K14,0)</f>
        <v/>
      </c>
      <c r="L23" s="14">
        <f>MAX(L9-L14,0)</f>
        <v/>
      </c>
      <c r="M23" s="14">
        <f>MAX(M9-M14,0)</f>
        <v/>
      </c>
      <c r="N23" s="14">
        <f>MAX(N9-N14,0)</f>
        <v/>
      </c>
      <c r="O23" s="14">
        <f>MAX(O9-O14,0)</f>
        <v/>
      </c>
    </row>
    <row r="24">
      <c r="A24" s="19" t="inlineStr">
        <is>
          <t>Total new MW</t>
        </is>
      </c>
      <c r="B24" s="20" t="inlineStr">
        <is>
          <t>MW</t>
        </is>
      </c>
      <c r="C24" s="21" t="n"/>
      <c r="D24" s="22">
        <f>D21+D22</f>
        <v/>
      </c>
      <c r="E24" s="22">
        <f>E21+E22</f>
        <v/>
      </c>
      <c r="F24" s="22">
        <f>F21+F22</f>
        <v/>
      </c>
      <c r="G24" s="22">
        <f>G21+G22</f>
        <v/>
      </c>
      <c r="H24" s="22">
        <f>H21+H22</f>
        <v/>
      </c>
      <c r="I24" s="22">
        <f>I21+I22</f>
        <v/>
      </c>
      <c r="J24" s="22">
        <f>J21+J22</f>
        <v/>
      </c>
      <c r="K24" s="22">
        <f>K21+K22</f>
        <v/>
      </c>
      <c r="L24" s="22">
        <f>L21+L22</f>
        <v/>
      </c>
      <c r="M24" s="22">
        <f>M21+M22</f>
        <v/>
      </c>
      <c r="N24" s="22">
        <f>N21+N22</f>
        <v/>
      </c>
      <c r="O24" s="22">
        <f>O21+O22</f>
        <v/>
      </c>
    </row>
    <row r="26">
      <c r="A26" s="7" t="inlineStr">
        <is>
          <t>Grootvlei active site</t>
        </is>
      </c>
      <c r="B26" s="5" t="inlineStr">
        <is>
          <t>flag</t>
        </is>
      </c>
      <c r="D26" s="23">
        <f>IF(D16&gt;0,1,0)</f>
        <v/>
      </c>
      <c r="E26" s="23">
        <f>IF(E16&gt;0,1,0)</f>
        <v/>
      </c>
      <c r="F26" s="23">
        <f>IF(F16&gt;0,1,0)</f>
        <v/>
      </c>
      <c r="G26" s="23">
        <f>IF(G16&gt;0,1,0)</f>
        <v/>
      </c>
      <c r="H26" s="23">
        <f>IF(H16&gt;0,1,0)</f>
        <v/>
      </c>
      <c r="I26" s="23">
        <f>IF(I16&gt;0,1,0)</f>
        <v/>
      </c>
      <c r="J26" s="23">
        <f>IF(J16&gt;0,1,0)</f>
        <v/>
      </c>
      <c r="K26" s="23">
        <f>IF(K16&gt;0,1,0)</f>
        <v/>
      </c>
      <c r="L26" s="23">
        <f>IF(L16&gt;0,1,0)</f>
        <v/>
      </c>
      <c r="M26" s="23">
        <f>IF(M16&gt;0,1,0)</f>
        <v/>
      </c>
      <c r="N26" s="23">
        <f>IF(N16&gt;0,1,0)</f>
        <v/>
      </c>
      <c r="O26" s="23">
        <f>IF(O16&gt;0,1,0)</f>
        <v/>
      </c>
    </row>
    <row r="27">
      <c r="A27" s="7" t="inlineStr">
        <is>
          <t>AMSA active site</t>
        </is>
      </c>
      <c r="B27" s="5" t="inlineStr">
        <is>
          <t>flag</t>
        </is>
      </c>
      <c r="D27" s="23">
        <f>IF(D17&gt;0,1,0)</f>
        <v/>
      </c>
      <c r="E27" s="23">
        <f>IF(E17&gt;0,1,0)</f>
        <v/>
      </c>
      <c r="F27" s="23">
        <f>IF(F17&gt;0,1,0)</f>
        <v/>
      </c>
      <c r="G27" s="23">
        <f>IF(G17&gt;0,1,0)</f>
        <v/>
      </c>
      <c r="H27" s="23">
        <f>IF(H17&gt;0,1,0)</f>
        <v/>
      </c>
      <c r="I27" s="23">
        <f>IF(I17&gt;0,1,0)</f>
        <v/>
      </c>
      <c r="J27" s="23">
        <f>IF(J17&gt;0,1,0)</f>
        <v/>
      </c>
      <c r="K27" s="23">
        <f>IF(K17&gt;0,1,0)</f>
        <v/>
      </c>
      <c r="L27" s="23">
        <f>IF(L17&gt;0,1,0)</f>
        <v/>
      </c>
      <c r="M27" s="23">
        <f>IF(M17&gt;0,1,0)</f>
        <v/>
      </c>
      <c r="N27" s="23">
        <f>IF(N17&gt;0,1,0)</f>
        <v/>
      </c>
      <c r="O27" s="23">
        <f>IF(O17&gt;0,1,0)</f>
        <v/>
      </c>
    </row>
    <row r="28">
      <c r="A28" s="19" t="inlineStr">
        <is>
          <t>Total active sites</t>
        </is>
      </c>
      <c r="B28" s="20" t="inlineStr">
        <is>
          <t>count</t>
        </is>
      </c>
      <c r="C28" s="21" t="n"/>
      <c r="D28" s="24">
        <f>D26+D27</f>
        <v/>
      </c>
      <c r="E28" s="24">
        <f>E26+E27</f>
        <v/>
      </c>
      <c r="F28" s="24">
        <f>F26+F27</f>
        <v/>
      </c>
      <c r="G28" s="24">
        <f>G26+G27</f>
        <v/>
      </c>
      <c r="H28" s="24">
        <f>H26+H27</f>
        <v/>
      </c>
      <c r="I28" s="24">
        <f>I26+I27</f>
        <v/>
      </c>
      <c r="J28" s="24">
        <f>J26+J27</f>
        <v/>
      </c>
      <c r="K28" s="24">
        <f>K26+K27</f>
        <v/>
      </c>
      <c r="L28" s="24">
        <f>L26+L27</f>
        <v/>
      </c>
      <c r="M28" s="24">
        <f>M26+M27</f>
        <v/>
      </c>
      <c r="N28" s="24">
        <f>N26+N27</f>
        <v/>
      </c>
      <c r="O28" s="24">
        <f>O26+O27</f>
        <v/>
      </c>
    </row>
    <row r="30">
      <c r="A30" s="7" t="inlineStr">
        <is>
          <t>Grootvlei site start</t>
        </is>
      </c>
      <c r="B30" s="5" t="inlineStr">
        <is>
          <t>flag</t>
        </is>
      </c>
      <c r="D30" s="23">
        <f>IF(D12=0,IF(D7&gt;0,1,0),0)</f>
        <v/>
      </c>
      <c r="E30" s="23">
        <f>IF(E12=0,IF(E7&gt;0,1,0),0)</f>
        <v/>
      </c>
      <c r="F30" s="23">
        <f>IF(F12=0,IF(F7&gt;0,1,0),0)</f>
        <v/>
      </c>
      <c r="G30" s="23">
        <f>IF(G12=0,IF(G7&gt;0,1,0),0)</f>
        <v/>
      </c>
      <c r="H30" s="23">
        <f>IF(H12=0,IF(H7&gt;0,1,0),0)</f>
        <v/>
      </c>
      <c r="I30" s="23">
        <f>IF(I12=0,IF(I7&gt;0,1,0),0)</f>
        <v/>
      </c>
      <c r="J30" s="23">
        <f>IF(J12=0,IF(J7&gt;0,1,0),0)</f>
        <v/>
      </c>
      <c r="K30" s="23">
        <f>IF(K12=0,IF(K7&gt;0,1,0),0)</f>
        <v/>
      </c>
      <c r="L30" s="23">
        <f>IF(L12=0,IF(L7&gt;0,1,0),0)</f>
        <v/>
      </c>
      <c r="M30" s="23">
        <f>IF(M12=0,IF(M7&gt;0,1,0),0)</f>
        <v/>
      </c>
      <c r="N30" s="23">
        <f>IF(N12=0,IF(N7&gt;0,1,0),0)</f>
        <v/>
      </c>
      <c r="O30" s="23">
        <f>IF(O12=0,IF(O7&gt;0,1,0),0)</f>
        <v/>
      </c>
    </row>
    <row r="31">
      <c r="A31" s="7" t="inlineStr">
        <is>
          <t>AMSA site start</t>
        </is>
      </c>
      <c r="B31" s="5" t="inlineStr">
        <is>
          <t>flag</t>
        </is>
      </c>
      <c r="D31" s="23">
        <f>IF(D13=0,IF(D8&gt;0,1,0),0)</f>
        <v/>
      </c>
      <c r="E31" s="23">
        <f>IF(E13=0,IF(E8&gt;0,1,0),0)</f>
        <v/>
      </c>
      <c r="F31" s="23">
        <f>IF(F13=0,IF(F8&gt;0,1,0),0)</f>
        <v/>
      </c>
      <c r="G31" s="23">
        <f>IF(G13=0,IF(G8&gt;0,1,0),0)</f>
        <v/>
      </c>
      <c r="H31" s="23">
        <f>IF(H13=0,IF(H8&gt;0,1,0),0)</f>
        <v/>
      </c>
      <c r="I31" s="23">
        <f>IF(I13=0,IF(I8&gt;0,1,0),0)</f>
        <v/>
      </c>
      <c r="J31" s="23">
        <f>IF(J13=0,IF(J8&gt;0,1,0),0)</f>
        <v/>
      </c>
      <c r="K31" s="23">
        <f>IF(K13=0,IF(K8&gt;0,1,0),0)</f>
        <v/>
      </c>
      <c r="L31" s="23">
        <f>IF(L13=0,IF(L8&gt;0,1,0),0)</f>
        <v/>
      </c>
      <c r="M31" s="23">
        <f>IF(M13=0,IF(M8&gt;0,1,0),0)</f>
        <v/>
      </c>
      <c r="N31" s="23">
        <f>IF(N13=0,IF(N8&gt;0,1,0),0)</f>
        <v/>
      </c>
      <c r="O31" s="23">
        <f>IF(O13=0,IF(O8&gt;0,1,0),0)</f>
        <v/>
      </c>
    </row>
    <row r="32">
      <c r="A32" s="19" t="inlineStr">
        <is>
          <t>Total site starts</t>
        </is>
      </c>
      <c r="B32" s="20" t="inlineStr">
        <is>
          <t>count</t>
        </is>
      </c>
      <c r="C32" s="21" t="n"/>
      <c r="D32" s="24">
        <f>D30+D31</f>
        <v/>
      </c>
      <c r="E32" s="24">
        <f>E30+E31</f>
        <v/>
      </c>
      <c r="F32" s="24">
        <f>F30+F31</f>
        <v/>
      </c>
      <c r="G32" s="24">
        <f>G30+G31</f>
        <v/>
      </c>
      <c r="H32" s="24">
        <f>H30+H31</f>
        <v/>
      </c>
      <c r="I32" s="24">
        <f>I30+I31</f>
        <v/>
      </c>
      <c r="J32" s="24">
        <f>J30+J31</f>
        <v/>
      </c>
      <c r="K32" s="24">
        <f>K30+K31</f>
        <v/>
      </c>
      <c r="L32" s="24">
        <f>L30+L31</f>
        <v/>
      </c>
      <c r="M32" s="24">
        <f>M30+M31</f>
        <v/>
      </c>
      <c r="N32" s="24">
        <f>N30+N31</f>
        <v/>
      </c>
      <c r="O32" s="24">
        <f>O30+O31</f>
        <v/>
      </c>
    </row>
    <row r="34">
      <c r="A34" s="7" t="inlineStr">
        <is>
          <t>Grootvlei closing containers</t>
        </is>
      </c>
      <c r="B34" s="5" t="inlineStr">
        <is>
          <t>containers</t>
        </is>
      </c>
      <c r="D34" s="14">
        <f>ROUNDUP(D7/Control!$C$37,0)</f>
        <v/>
      </c>
      <c r="E34" s="14">
        <f>ROUNDUP(E7/Control!$C$37,0)</f>
        <v/>
      </c>
      <c r="F34" s="14">
        <f>ROUNDUP(F7/Control!$C$37,0)</f>
        <v/>
      </c>
      <c r="G34" s="14">
        <f>ROUNDUP(G7/Control!$C$37,0)</f>
        <v/>
      </c>
      <c r="H34" s="14">
        <f>ROUNDUP(H7/Control!$C$37,0)</f>
        <v/>
      </c>
      <c r="I34" s="14">
        <f>ROUNDUP(I7/Control!$C$37,0)</f>
        <v/>
      </c>
      <c r="J34" s="14">
        <f>ROUNDUP(J7/Control!$C$37,0)</f>
        <v/>
      </c>
      <c r="K34" s="14">
        <f>ROUNDUP(K7/Control!$C$37,0)</f>
        <v/>
      </c>
      <c r="L34" s="14">
        <f>ROUNDUP(L7/Control!$C$37,0)</f>
        <v/>
      </c>
      <c r="M34" s="14">
        <f>ROUNDUP(M7/Control!$C$37,0)</f>
        <v/>
      </c>
      <c r="N34" s="14">
        <f>ROUNDUP(N7/Control!$C$37,0)</f>
        <v/>
      </c>
      <c r="O34" s="14">
        <f>ROUNDUP(O7/Control!$C$37,0)</f>
        <v/>
      </c>
    </row>
    <row r="35">
      <c r="A35" s="7" t="inlineStr">
        <is>
          <t>AMSA closing containers</t>
        </is>
      </c>
      <c r="B35" s="5" t="inlineStr">
        <is>
          <t>containers</t>
        </is>
      </c>
      <c r="D35" s="14">
        <f>ROUNDUP(D8/Control!$C$37,0)</f>
        <v/>
      </c>
      <c r="E35" s="14">
        <f>ROUNDUP(E8/Control!$C$37,0)</f>
        <v/>
      </c>
      <c r="F35" s="14">
        <f>ROUNDUP(F8/Control!$C$37,0)</f>
        <v/>
      </c>
      <c r="G35" s="14">
        <f>ROUNDUP(G8/Control!$C$37,0)</f>
        <v/>
      </c>
      <c r="H35" s="14">
        <f>ROUNDUP(H8/Control!$C$37,0)</f>
        <v/>
      </c>
      <c r="I35" s="14">
        <f>ROUNDUP(I8/Control!$C$37,0)</f>
        <v/>
      </c>
      <c r="J35" s="14">
        <f>ROUNDUP(J8/Control!$C$37,0)</f>
        <v/>
      </c>
      <c r="K35" s="14">
        <f>ROUNDUP(K8/Control!$C$37,0)</f>
        <v/>
      </c>
      <c r="L35" s="14">
        <f>ROUNDUP(L8/Control!$C$37,0)</f>
        <v/>
      </c>
      <c r="M35" s="14">
        <f>ROUNDUP(M8/Control!$C$37,0)</f>
        <v/>
      </c>
      <c r="N35" s="14">
        <f>ROUNDUP(N8/Control!$C$37,0)</f>
        <v/>
      </c>
      <c r="O35" s="14">
        <f>ROUNDUP(O8/Control!$C$37,0)</f>
        <v/>
      </c>
    </row>
    <row r="36">
      <c r="A36" s="19" t="inlineStr">
        <is>
          <t>Total closing containers</t>
        </is>
      </c>
      <c r="B36" s="20" t="inlineStr">
        <is>
          <t>containers</t>
        </is>
      </c>
      <c r="C36" s="21" t="n"/>
      <c r="D36" s="22">
        <f>D34+D35</f>
        <v/>
      </c>
      <c r="E36" s="22">
        <f>E34+E35</f>
        <v/>
      </c>
      <c r="F36" s="22">
        <f>F34+F35</f>
        <v/>
      </c>
      <c r="G36" s="22">
        <f>G34+G35</f>
        <v/>
      </c>
      <c r="H36" s="22">
        <f>H34+H35</f>
        <v/>
      </c>
      <c r="I36" s="22">
        <f>I34+I35</f>
        <v/>
      </c>
      <c r="J36" s="22">
        <f>J34+J35</f>
        <v/>
      </c>
      <c r="K36" s="22">
        <f>K34+K35</f>
        <v/>
      </c>
      <c r="L36" s="22">
        <f>L34+L35</f>
        <v/>
      </c>
      <c r="M36" s="22">
        <f>M34+M35</f>
        <v/>
      </c>
      <c r="N36" s="22">
        <f>N34+N35</f>
        <v/>
      </c>
      <c r="O36" s="22">
        <f>O34+O35</f>
        <v/>
      </c>
    </row>
    <row r="38">
      <c r="A38" s="7" t="inlineStr">
        <is>
          <t>Grootvlei opening containers</t>
        </is>
      </c>
      <c r="B38" s="5" t="inlineStr">
        <is>
          <t>containers</t>
        </is>
      </c>
      <c r="D38" s="14" t="n">
        <v>0</v>
      </c>
      <c r="E38" s="14">
        <f>D34</f>
        <v/>
      </c>
      <c r="F38" s="14">
        <f>E34</f>
        <v/>
      </c>
      <c r="G38" s="14">
        <f>F34</f>
        <v/>
      </c>
      <c r="H38" s="14">
        <f>G34</f>
        <v/>
      </c>
      <c r="I38" s="14">
        <f>H34</f>
        <v/>
      </c>
      <c r="J38" s="14">
        <f>I34</f>
        <v/>
      </c>
      <c r="K38" s="14">
        <f>J34</f>
        <v/>
      </c>
      <c r="L38" s="14">
        <f>K34</f>
        <v/>
      </c>
      <c r="M38" s="14">
        <f>L34</f>
        <v/>
      </c>
      <c r="N38" s="14">
        <f>M34</f>
        <v/>
      </c>
      <c r="O38" s="14">
        <f>N34</f>
        <v/>
      </c>
    </row>
    <row r="39">
      <c r="A39" s="7" t="inlineStr">
        <is>
          <t>AMSA opening containers</t>
        </is>
      </c>
      <c r="B39" s="5" t="inlineStr">
        <is>
          <t>containers</t>
        </is>
      </c>
      <c r="D39" s="14" t="n">
        <v>0</v>
      </c>
      <c r="E39" s="14">
        <f>D35</f>
        <v/>
      </c>
      <c r="F39" s="14">
        <f>E35</f>
        <v/>
      </c>
      <c r="G39" s="14">
        <f>F35</f>
        <v/>
      </c>
      <c r="H39" s="14">
        <f>G35</f>
        <v/>
      </c>
      <c r="I39" s="14">
        <f>H35</f>
        <v/>
      </c>
      <c r="J39" s="14">
        <f>I35</f>
        <v/>
      </c>
      <c r="K39" s="14">
        <f>J35</f>
        <v/>
      </c>
      <c r="L39" s="14">
        <f>K35</f>
        <v/>
      </c>
      <c r="M39" s="14">
        <f>L35</f>
        <v/>
      </c>
      <c r="N39" s="14">
        <f>M35</f>
        <v/>
      </c>
      <c r="O39" s="14">
        <f>N35</f>
        <v/>
      </c>
    </row>
    <row r="40">
      <c r="A40" s="19" t="inlineStr">
        <is>
          <t>Total opening containers</t>
        </is>
      </c>
      <c r="B40" s="20" t="inlineStr">
        <is>
          <t>containers</t>
        </is>
      </c>
      <c r="C40" s="21" t="n"/>
      <c r="D40" s="22">
        <f>D38+D39</f>
        <v/>
      </c>
      <c r="E40" s="22">
        <f>E38+E39</f>
        <v/>
      </c>
      <c r="F40" s="22">
        <f>F38+F39</f>
        <v/>
      </c>
      <c r="G40" s="22">
        <f>G38+G39</f>
        <v/>
      </c>
      <c r="H40" s="22">
        <f>H38+H39</f>
        <v/>
      </c>
      <c r="I40" s="22">
        <f>I38+I39</f>
        <v/>
      </c>
      <c r="J40" s="22">
        <f>J38+J39</f>
        <v/>
      </c>
      <c r="K40" s="22">
        <f>K38+K39</f>
        <v/>
      </c>
      <c r="L40" s="22">
        <f>L38+L39</f>
        <v/>
      </c>
      <c r="M40" s="22">
        <f>M38+M39</f>
        <v/>
      </c>
      <c r="N40" s="22">
        <f>N38+N39</f>
        <v/>
      </c>
      <c r="O40" s="22">
        <f>O38+O39</f>
        <v/>
      </c>
    </row>
    <row r="42">
      <c r="A42" s="7" t="inlineStr">
        <is>
          <t>Grootvlei new containers</t>
        </is>
      </c>
      <c r="B42" s="5" t="inlineStr">
        <is>
          <t>containers</t>
        </is>
      </c>
      <c r="D42" s="14">
        <f>MAX(D34-D38,0)</f>
        <v/>
      </c>
      <c r="E42" s="14">
        <f>MAX(E34-E38,0)</f>
        <v/>
      </c>
      <c r="F42" s="14">
        <f>MAX(F34-F38,0)</f>
        <v/>
      </c>
      <c r="G42" s="14">
        <f>MAX(G34-G38,0)</f>
        <v/>
      </c>
      <c r="H42" s="14">
        <f>MAX(H34-H38,0)</f>
        <v/>
      </c>
      <c r="I42" s="14">
        <f>MAX(I34-I38,0)</f>
        <v/>
      </c>
      <c r="J42" s="14">
        <f>MAX(J34-J38,0)</f>
        <v/>
      </c>
      <c r="K42" s="14">
        <f>MAX(K34-K38,0)</f>
        <v/>
      </c>
      <c r="L42" s="14">
        <f>MAX(L34-L38,0)</f>
        <v/>
      </c>
      <c r="M42" s="14">
        <f>MAX(M34-M38,0)</f>
        <v/>
      </c>
      <c r="N42" s="14">
        <f>MAX(N34-N38,0)</f>
        <v/>
      </c>
      <c r="O42" s="14">
        <f>MAX(O34-O38,0)</f>
        <v/>
      </c>
    </row>
    <row r="43">
      <c r="A43" s="7" t="inlineStr">
        <is>
          <t>AMSA new containers</t>
        </is>
      </c>
      <c r="B43" s="5" t="inlineStr">
        <is>
          <t>containers</t>
        </is>
      </c>
      <c r="D43" s="14">
        <f>MAX(D35-D39,0)</f>
        <v/>
      </c>
      <c r="E43" s="14">
        <f>MAX(E35-E39,0)</f>
        <v/>
      </c>
      <c r="F43" s="14">
        <f>MAX(F35-F39,0)</f>
        <v/>
      </c>
      <c r="G43" s="14">
        <f>MAX(G35-G39,0)</f>
        <v/>
      </c>
      <c r="H43" s="14">
        <f>MAX(H35-H39,0)</f>
        <v/>
      </c>
      <c r="I43" s="14">
        <f>MAX(I35-I39,0)</f>
        <v/>
      </c>
      <c r="J43" s="14">
        <f>MAX(J35-J39,0)</f>
        <v/>
      </c>
      <c r="K43" s="14">
        <f>MAX(K35-K39,0)</f>
        <v/>
      </c>
      <c r="L43" s="14">
        <f>MAX(L35-L39,0)</f>
        <v/>
      </c>
      <c r="M43" s="14">
        <f>MAX(M35-M39,0)</f>
        <v/>
      </c>
      <c r="N43" s="14">
        <f>MAX(N35-N39,0)</f>
        <v/>
      </c>
      <c r="O43" s="14">
        <f>MAX(O35-O39,0)</f>
        <v/>
      </c>
    </row>
    <row r="44">
      <c r="A44" s="19" t="inlineStr">
        <is>
          <t>Total new containers</t>
        </is>
      </c>
      <c r="B44" s="20" t="inlineStr">
        <is>
          <t>containers</t>
        </is>
      </c>
      <c r="C44" s="21" t="n"/>
      <c r="D44" s="22">
        <f>D42+D43</f>
        <v/>
      </c>
      <c r="E44" s="22">
        <f>E42+E43</f>
        <v/>
      </c>
      <c r="F44" s="22">
        <f>F42+F43</f>
        <v/>
      </c>
      <c r="G44" s="22">
        <f>G42+G43</f>
        <v/>
      </c>
      <c r="H44" s="22">
        <f>H42+H43</f>
        <v/>
      </c>
      <c r="I44" s="22">
        <f>I42+I43</f>
        <v/>
      </c>
      <c r="J44" s="22">
        <f>J42+J43</f>
        <v/>
      </c>
      <c r="K44" s="22">
        <f>K42+K43</f>
        <v/>
      </c>
      <c r="L44" s="22">
        <f>L42+L43</f>
        <v/>
      </c>
      <c r="M44" s="22">
        <f>M42+M43</f>
        <v/>
      </c>
      <c r="N44" s="22">
        <f>N42+N43</f>
        <v/>
      </c>
      <c r="O44" s="22">
        <f>O42+O43</f>
        <v/>
      </c>
    </row>
    <row r="46">
      <c r="A46" s="7" t="inlineStr">
        <is>
          <t>Grootvlei closing site FTE</t>
        </is>
      </c>
      <c r="B46" s="5" t="inlineStr">
        <is>
          <t>FTE</t>
        </is>
      </c>
      <c r="D46" s="14">
        <f>D26*Control!$C$54+D7*Control!$C$56+D7*Control!$C$58</f>
        <v/>
      </c>
      <c r="E46" s="14">
        <f>E26*Control!$C$54+E7*Control!$C$56+E7*Control!$C$58</f>
        <v/>
      </c>
      <c r="F46" s="14">
        <f>F26*Control!$C$54+F7*Control!$C$56+F7*Control!$C$58</f>
        <v/>
      </c>
      <c r="G46" s="14">
        <f>G26*Control!$C$54+G7*Control!$C$56+G7*Control!$C$58</f>
        <v/>
      </c>
      <c r="H46" s="14">
        <f>H26*Control!$C$54+H7*Control!$C$56+H7*Control!$C$58</f>
        <v/>
      </c>
      <c r="I46" s="14">
        <f>I26*Control!$C$54+I7*Control!$C$56+I7*Control!$C$58</f>
        <v/>
      </c>
      <c r="J46" s="14">
        <f>J26*Control!$C$54+J7*Control!$C$56+J7*Control!$C$58</f>
        <v/>
      </c>
      <c r="K46" s="14">
        <f>K26*Control!$C$54+K7*Control!$C$56+K7*Control!$C$58</f>
        <v/>
      </c>
      <c r="L46" s="14">
        <f>L26*Control!$C$54+L7*Control!$C$56+L7*Control!$C$58</f>
        <v/>
      </c>
      <c r="M46" s="14">
        <f>M26*Control!$C$54+M7*Control!$C$56+M7*Control!$C$58</f>
        <v/>
      </c>
      <c r="N46" s="14">
        <f>N26*Control!$C$54+N7*Control!$C$56+N7*Control!$C$58</f>
        <v/>
      </c>
      <c r="O46" s="14">
        <f>O26*Control!$C$54+O7*Control!$C$56+O7*Control!$C$58</f>
        <v/>
      </c>
    </row>
    <row r="47">
      <c r="A47" s="7" t="inlineStr">
        <is>
          <t>AMSA closing site FTE</t>
        </is>
      </c>
      <c r="B47" s="5" t="inlineStr">
        <is>
          <t>FTE</t>
        </is>
      </c>
      <c r="D47" s="14">
        <f>D27*Control!$C$54+D8*Control!$C$56+D8*Control!$C$58</f>
        <v/>
      </c>
      <c r="E47" s="14">
        <f>E27*Control!$C$54+E8*Control!$C$56+E8*Control!$C$58</f>
        <v/>
      </c>
      <c r="F47" s="14">
        <f>F27*Control!$C$54+F8*Control!$C$56+F8*Control!$C$58</f>
        <v/>
      </c>
      <c r="G47" s="14">
        <f>G27*Control!$C$54+G8*Control!$C$56+G8*Control!$C$58</f>
        <v/>
      </c>
      <c r="H47" s="14">
        <f>H27*Control!$C$54+H8*Control!$C$56+H8*Control!$C$58</f>
        <v/>
      </c>
      <c r="I47" s="14">
        <f>I27*Control!$C$54+I8*Control!$C$56+I8*Control!$C$58</f>
        <v/>
      </c>
      <c r="J47" s="14">
        <f>J27*Control!$C$54+J8*Control!$C$56+J8*Control!$C$58</f>
        <v/>
      </c>
      <c r="K47" s="14">
        <f>K27*Control!$C$54+K8*Control!$C$56+K8*Control!$C$58</f>
        <v/>
      </c>
      <c r="L47" s="14">
        <f>L27*Control!$C$54+L8*Control!$C$56+L8*Control!$C$58</f>
        <v/>
      </c>
      <c r="M47" s="14">
        <f>M27*Control!$C$54+M8*Control!$C$56+M8*Control!$C$58</f>
        <v/>
      </c>
      <c r="N47" s="14">
        <f>N27*Control!$C$54+N8*Control!$C$56+N8*Control!$C$58</f>
        <v/>
      </c>
      <c r="O47" s="14">
        <f>O27*Control!$C$54+O8*Control!$C$56+O8*Control!$C$58</f>
        <v/>
      </c>
    </row>
    <row r="48">
      <c r="A48" s="19" t="inlineStr">
        <is>
          <t>Total closing site FTE</t>
        </is>
      </c>
      <c r="B48" s="20" t="inlineStr">
        <is>
          <t>FTE</t>
        </is>
      </c>
      <c r="C48" s="21" t="n"/>
      <c r="D48" s="22">
        <f>D46+D47</f>
        <v/>
      </c>
      <c r="E48" s="22">
        <f>E46+E47</f>
        <v/>
      </c>
      <c r="F48" s="22">
        <f>F46+F47</f>
        <v/>
      </c>
      <c r="G48" s="22">
        <f>G46+G47</f>
        <v/>
      </c>
      <c r="H48" s="22">
        <f>H46+H47</f>
        <v/>
      </c>
      <c r="I48" s="22">
        <f>I46+I47</f>
        <v/>
      </c>
      <c r="J48" s="22">
        <f>J46+J47</f>
        <v/>
      </c>
      <c r="K48" s="22">
        <f>K46+K47</f>
        <v/>
      </c>
      <c r="L48" s="22">
        <f>L46+L47</f>
        <v/>
      </c>
      <c r="M48" s="22">
        <f>M46+M47</f>
        <v/>
      </c>
      <c r="N48" s="22">
        <f>N46+N47</f>
        <v/>
      </c>
      <c r="O48" s="22">
        <f>O46+O47</f>
        <v/>
      </c>
    </row>
    <row r="49">
      <c r="A49" s="19" t="inlineStr">
        <is>
          <t>Total closing FTE incl corporate</t>
        </is>
      </c>
      <c r="B49" s="20" t="inlineStr">
        <is>
          <t>FTE</t>
        </is>
      </c>
      <c r="C49" s="21" t="n"/>
      <c r="D49" s="22">
        <f>D48+Control!$C$52</f>
        <v/>
      </c>
      <c r="E49" s="22">
        <f>E48+Control!$C$52</f>
        <v/>
      </c>
      <c r="F49" s="22">
        <f>F48+Control!$C$52</f>
        <v/>
      </c>
      <c r="G49" s="22">
        <f>G48+Control!$C$52</f>
        <v/>
      </c>
      <c r="H49" s="22">
        <f>H48+Control!$C$52</f>
        <v/>
      </c>
      <c r="I49" s="22">
        <f>I48+Control!$C$52</f>
        <v/>
      </c>
      <c r="J49" s="22">
        <f>J48+Control!$C$52</f>
        <v/>
      </c>
      <c r="K49" s="22">
        <f>K48+Control!$C$52</f>
        <v/>
      </c>
      <c r="L49" s="22">
        <f>L48+Control!$C$52</f>
        <v/>
      </c>
      <c r="M49" s="22">
        <f>M48+Control!$C$52</f>
        <v/>
      </c>
      <c r="N49" s="22">
        <f>N48+Control!$C$52</f>
        <v/>
      </c>
      <c r="O49" s="22">
        <f>O48+Control!$C$52</f>
        <v/>
      </c>
    </row>
    <row r="51">
      <c r="A51" s="25" t="inlineStr">
        <is>
          <t>Total opening FTE incl corporate</t>
        </is>
      </c>
      <c r="B51" s="20" t="inlineStr">
        <is>
          <t>FTE</t>
        </is>
      </c>
      <c r="C51" s="21" t="n"/>
      <c r="D51" s="22">
        <f>Control!$C$52</f>
        <v/>
      </c>
      <c r="E51" s="22">
        <f>D49</f>
        <v/>
      </c>
      <c r="F51" s="22">
        <f>E49</f>
        <v/>
      </c>
      <c r="G51" s="22">
        <f>F49</f>
        <v/>
      </c>
      <c r="H51" s="22">
        <f>G49</f>
        <v/>
      </c>
      <c r="I51" s="22">
        <f>H49</f>
        <v/>
      </c>
      <c r="J51" s="22">
        <f>I49</f>
        <v/>
      </c>
      <c r="K51" s="22">
        <f>J49</f>
        <v/>
      </c>
      <c r="L51" s="22">
        <f>K49</f>
        <v/>
      </c>
      <c r="M51" s="22">
        <f>L49</f>
        <v/>
      </c>
      <c r="N51" s="22">
        <f>M49</f>
        <v/>
      </c>
      <c r="O51" s="22">
        <f>N49</f>
        <v/>
      </c>
    </row>
    <row r="52">
      <c r="A52" s="7" t="inlineStr">
        <is>
          <t>New FTE onboarded</t>
        </is>
      </c>
      <c r="B52" s="5" t="inlineStr">
        <is>
          <t>FTE</t>
        </is>
      </c>
      <c r="D52" s="14">
        <f>MAX(D49-D51,0)</f>
        <v/>
      </c>
      <c r="E52" s="14">
        <f>MAX(E49-E51,0)</f>
        <v/>
      </c>
      <c r="F52" s="14">
        <f>MAX(F49-F51,0)</f>
        <v/>
      </c>
      <c r="G52" s="14">
        <f>MAX(G49-G51,0)</f>
        <v/>
      </c>
      <c r="H52" s="14">
        <f>MAX(H49-H51,0)</f>
        <v/>
      </c>
      <c r="I52" s="14">
        <f>MAX(I49-I51,0)</f>
        <v/>
      </c>
      <c r="J52" s="14">
        <f>MAX(J49-J51,0)</f>
        <v/>
      </c>
      <c r="K52" s="14">
        <f>MAX(K49-K51,0)</f>
        <v/>
      </c>
      <c r="L52" s="14">
        <f>MAX(L49-L51,0)</f>
        <v/>
      </c>
      <c r="M52" s="14">
        <f>MAX(M49-M51,0)</f>
        <v/>
      </c>
      <c r="N52" s="14">
        <f>MAX(N49-N51,0)</f>
        <v/>
      </c>
      <c r="O52" s="14">
        <f>MAX(O49-O51,0)</f>
        <v/>
      </c>
    </row>
    <row r="54">
      <c r="A54" s="7" t="inlineStr">
        <is>
          <t>Grootvlei average miners</t>
        </is>
      </c>
      <c r="B54" s="5" t="inlineStr">
        <is>
          <t>miners</t>
        </is>
      </c>
      <c r="D54" s="14">
        <f>(D16/(1+Control!$C$34))*1000000/Control!$C$32</f>
        <v/>
      </c>
      <c r="E54" s="14">
        <f>(E16/(1+Control!$C$34))*1000000/Control!$C$32</f>
        <v/>
      </c>
      <c r="F54" s="14">
        <f>(F16/(1+Control!$C$34))*1000000/Control!$C$32</f>
        <v/>
      </c>
      <c r="G54" s="14">
        <f>(G16/(1+Control!$C$34))*1000000/Control!$C$32</f>
        <v/>
      </c>
      <c r="H54" s="14">
        <f>(H16/(1+Control!$C$34))*1000000/Control!$C$32</f>
        <v/>
      </c>
      <c r="I54" s="14">
        <f>(I16/(1+Control!$C$34))*1000000/Control!$C$32</f>
        <v/>
      </c>
      <c r="J54" s="14">
        <f>(J16/(1+Control!$C$34))*1000000/Control!$C$32</f>
        <v/>
      </c>
      <c r="K54" s="14">
        <f>(K16/(1+Control!$C$34))*1000000/Control!$C$32</f>
        <v/>
      </c>
      <c r="L54" s="14">
        <f>(L16/(1+Control!$C$34))*1000000/Control!$C$32</f>
        <v/>
      </c>
      <c r="M54" s="14">
        <f>(M16/(1+Control!$C$34))*1000000/Control!$C$32</f>
        <v/>
      </c>
      <c r="N54" s="14">
        <f>(N16/(1+Control!$C$34))*1000000/Control!$C$32</f>
        <v/>
      </c>
      <c r="O54" s="14">
        <f>(O16/(1+Control!$C$34))*1000000/Control!$C$32</f>
        <v/>
      </c>
    </row>
    <row r="55">
      <c r="A55" s="7" t="inlineStr">
        <is>
          <t>AMSA average miners</t>
        </is>
      </c>
      <c r="B55" s="5" t="inlineStr">
        <is>
          <t>miners</t>
        </is>
      </c>
      <c r="D55" s="14">
        <f>(D17/(1+Control!$C$34))*1000000/Control!$C$32</f>
        <v/>
      </c>
      <c r="E55" s="14">
        <f>(E17/(1+Control!$C$34))*1000000/Control!$C$32</f>
        <v/>
      </c>
      <c r="F55" s="14">
        <f>(F17/(1+Control!$C$34))*1000000/Control!$C$32</f>
        <v/>
      </c>
      <c r="G55" s="14">
        <f>(G17/(1+Control!$C$34))*1000000/Control!$C$32</f>
        <v/>
      </c>
      <c r="H55" s="14">
        <f>(H17/(1+Control!$C$34))*1000000/Control!$C$32</f>
        <v/>
      </c>
      <c r="I55" s="14">
        <f>(I17/(1+Control!$C$34))*1000000/Control!$C$32</f>
        <v/>
      </c>
      <c r="J55" s="14">
        <f>(J17/(1+Control!$C$34))*1000000/Control!$C$32</f>
        <v/>
      </c>
      <c r="K55" s="14">
        <f>(K17/(1+Control!$C$34))*1000000/Control!$C$32</f>
        <v/>
      </c>
      <c r="L55" s="14">
        <f>(L17/(1+Control!$C$34))*1000000/Control!$C$32</f>
        <v/>
      </c>
      <c r="M55" s="14">
        <f>(M17/(1+Control!$C$34))*1000000/Control!$C$32</f>
        <v/>
      </c>
      <c r="N55" s="14">
        <f>(N17/(1+Control!$C$34))*1000000/Control!$C$32</f>
        <v/>
      </c>
      <c r="O55" s="14">
        <f>(O17/(1+Control!$C$34))*1000000/Control!$C$32</f>
        <v/>
      </c>
    </row>
    <row r="56">
      <c r="A56" s="19" t="inlineStr">
        <is>
          <t>Total average miners</t>
        </is>
      </c>
      <c r="B56" s="20" t="inlineStr">
        <is>
          <t>miners</t>
        </is>
      </c>
      <c r="C56" s="21" t="n"/>
      <c r="D56" s="22">
        <f>D54+D55</f>
        <v/>
      </c>
      <c r="E56" s="22">
        <f>E54+E55</f>
        <v/>
      </c>
      <c r="F56" s="22">
        <f>F54+F55</f>
        <v/>
      </c>
      <c r="G56" s="22">
        <f>G54+G55</f>
        <v/>
      </c>
      <c r="H56" s="22">
        <f>H54+H55</f>
        <v/>
      </c>
      <c r="I56" s="22">
        <f>I54+I55</f>
        <v/>
      </c>
      <c r="J56" s="22">
        <f>J54+J55</f>
        <v/>
      </c>
      <c r="K56" s="22">
        <f>K54+K55</f>
        <v/>
      </c>
      <c r="L56" s="22">
        <f>L54+L55</f>
        <v/>
      </c>
      <c r="M56" s="22">
        <f>M54+M55</f>
        <v/>
      </c>
      <c r="N56" s="22">
        <f>N54+N55</f>
        <v/>
      </c>
      <c r="O56" s="22">
        <f>O54+O55</f>
        <v/>
      </c>
    </row>
    <row r="58">
      <c r="A58" s="7" t="inlineStr">
        <is>
          <t>Grootvlei effective hashrate</t>
        </is>
      </c>
      <c r="B58" s="5" t="inlineStr">
        <is>
          <t>TH/s</t>
        </is>
      </c>
      <c r="D58" s="14">
        <f>D54*Control!$C$30*(Control!$C$21/24)*Control!$C$14</f>
        <v/>
      </c>
      <c r="E58" s="14">
        <f>E54*Control!$C$30*(Control!$C$21/24)*Control!$C$14</f>
        <v/>
      </c>
      <c r="F58" s="14">
        <f>F54*Control!$C$30*(Control!$C$21/24)*Control!$C$14</f>
        <v/>
      </c>
      <c r="G58" s="14">
        <f>G54*Control!$C$30*(Control!$C$21/24)*Control!$C$14</f>
        <v/>
      </c>
      <c r="H58" s="14">
        <f>H54*Control!$C$30*(Control!$C$21/24)*Control!$C$14</f>
        <v/>
      </c>
      <c r="I58" s="14">
        <f>I54*Control!$C$30*(Control!$C$21/24)*Control!$C$14</f>
        <v/>
      </c>
      <c r="J58" s="14">
        <f>J54*Control!$C$30*(Control!$C$21/24)*Control!$C$14</f>
        <v/>
      </c>
      <c r="K58" s="14">
        <f>K54*Control!$C$30*(Control!$C$21/24)*Control!$C$14</f>
        <v/>
      </c>
      <c r="L58" s="14">
        <f>L54*Control!$C$30*(Control!$C$21/24)*Control!$C$14</f>
        <v/>
      </c>
      <c r="M58" s="14">
        <f>M54*Control!$C$30*(Control!$C$21/24)*Control!$C$14</f>
        <v/>
      </c>
      <c r="N58" s="14">
        <f>N54*Control!$C$30*(Control!$C$21/24)*Control!$C$14</f>
        <v/>
      </c>
      <c r="O58" s="14">
        <f>O54*Control!$C$30*(Control!$C$21/24)*Control!$C$14</f>
        <v/>
      </c>
    </row>
    <row r="59">
      <c r="A59" s="7" t="inlineStr">
        <is>
          <t>AMSA effective hashrate</t>
        </is>
      </c>
      <c r="B59" s="5" t="inlineStr">
        <is>
          <t>TH/s</t>
        </is>
      </c>
      <c r="D59" s="14">
        <f>D55*Control!$C$30*((Control!$C$22+Control!$C$23)/24)*Control!$C$14</f>
        <v/>
      </c>
      <c r="E59" s="14">
        <f>E55*Control!$C$30*((Control!$C$22+Control!$C$23)/24)*Control!$C$14</f>
        <v/>
      </c>
      <c r="F59" s="14">
        <f>F55*Control!$C$30*((Control!$C$22+Control!$C$23)/24)*Control!$C$14</f>
        <v/>
      </c>
      <c r="G59" s="14">
        <f>G55*Control!$C$30*((Control!$C$22+Control!$C$23)/24)*Control!$C$14</f>
        <v/>
      </c>
      <c r="H59" s="14">
        <f>H55*Control!$C$30*((Control!$C$22+Control!$C$23)/24)*Control!$C$14</f>
        <v/>
      </c>
      <c r="I59" s="14">
        <f>I55*Control!$C$30*((Control!$C$22+Control!$C$23)/24)*Control!$C$14</f>
        <v/>
      </c>
      <c r="J59" s="14">
        <f>J55*Control!$C$30*((Control!$C$22+Control!$C$23)/24)*Control!$C$14</f>
        <v/>
      </c>
      <c r="K59" s="14">
        <f>K55*Control!$C$30*((Control!$C$22+Control!$C$23)/24)*Control!$C$14</f>
        <v/>
      </c>
      <c r="L59" s="14">
        <f>L55*Control!$C$30*((Control!$C$22+Control!$C$23)/24)*Control!$C$14</f>
        <v/>
      </c>
      <c r="M59" s="14">
        <f>M55*Control!$C$30*((Control!$C$22+Control!$C$23)/24)*Control!$C$14</f>
        <v/>
      </c>
      <c r="N59" s="14">
        <f>N55*Control!$C$30*((Control!$C$22+Control!$C$23)/24)*Control!$C$14</f>
        <v/>
      </c>
      <c r="O59" s="14">
        <f>O55*Control!$C$30*((Control!$C$22+Control!$C$23)/24)*Control!$C$14</f>
        <v/>
      </c>
    </row>
    <row r="60">
      <c r="A60" s="19" t="inlineStr">
        <is>
          <t>Total effective hashrate</t>
        </is>
      </c>
      <c r="B60" s="20" t="inlineStr">
        <is>
          <t>TH/s</t>
        </is>
      </c>
      <c r="C60" s="21" t="n"/>
      <c r="D60" s="22">
        <f>D58+D59</f>
        <v/>
      </c>
      <c r="E60" s="22">
        <f>E58+E59</f>
        <v/>
      </c>
      <c r="F60" s="22">
        <f>F58+F59</f>
        <v/>
      </c>
      <c r="G60" s="22">
        <f>G58+G59</f>
        <v/>
      </c>
      <c r="H60" s="22">
        <f>H58+H59</f>
        <v/>
      </c>
      <c r="I60" s="22">
        <f>I58+I59</f>
        <v/>
      </c>
      <c r="J60" s="22">
        <f>J58+J59</f>
        <v/>
      </c>
      <c r="K60" s="22">
        <f>K58+K59</f>
        <v/>
      </c>
      <c r="L60" s="22">
        <f>L58+L59</f>
        <v/>
      </c>
      <c r="M60" s="22">
        <f>M58+M59</f>
        <v/>
      </c>
      <c r="N60" s="22">
        <f>N58+N59</f>
        <v/>
      </c>
      <c r="O60" s="22">
        <f>O58+O59</f>
        <v/>
      </c>
    </row>
    <row r="62">
      <c r="A62" s="7" t="inlineStr">
        <is>
          <t>Grootvlei Eskom energy</t>
        </is>
      </c>
      <c r="B62" s="5" t="inlineStr">
        <is>
          <t>MWh</t>
        </is>
      </c>
      <c r="D62" s="14">
        <f>D16*Control!$C$21*D5*Control!$C$14</f>
        <v/>
      </c>
      <c r="E62" s="14">
        <f>E16*Control!$C$21*E5*Control!$C$14</f>
        <v/>
      </c>
      <c r="F62" s="14">
        <f>F16*Control!$C$21*F5*Control!$C$14</f>
        <v/>
      </c>
      <c r="G62" s="14">
        <f>G16*Control!$C$21*G5*Control!$C$14</f>
        <v/>
      </c>
      <c r="H62" s="14">
        <f>H16*Control!$C$21*H5*Control!$C$14</f>
        <v/>
      </c>
      <c r="I62" s="14">
        <f>I16*Control!$C$21*I5*Control!$C$14</f>
        <v/>
      </c>
      <c r="J62" s="14">
        <f>J16*Control!$C$21*J5*Control!$C$14</f>
        <v/>
      </c>
      <c r="K62" s="14">
        <f>K16*Control!$C$21*K5*Control!$C$14</f>
        <v/>
      </c>
      <c r="L62" s="14">
        <f>L16*Control!$C$21*L5*Control!$C$14</f>
        <v/>
      </c>
      <c r="M62" s="14">
        <f>M16*Control!$C$21*M5*Control!$C$14</f>
        <v/>
      </c>
      <c r="N62" s="14">
        <f>N16*Control!$C$21*N5*Control!$C$14</f>
        <v/>
      </c>
      <c r="O62" s="14">
        <f>O16*Control!$C$21*O5*Control!$C$14</f>
        <v/>
      </c>
    </row>
    <row r="63">
      <c r="A63" s="7" t="inlineStr">
        <is>
          <t>AMSA total energy</t>
        </is>
      </c>
      <c r="B63" s="5" t="inlineStr">
        <is>
          <t>MWh</t>
        </is>
      </c>
      <c r="D63" s="14">
        <f>D17*(Control!$C$22+Control!$C$23)*D5*Control!$C$14</f>
        <v/>
      </c>
      <c r="E63" s="14">
        <f>E17*(Control!$C$22+Control!$C$23)*E5*Control!$C$14</f>
        <v/>
      </c>
      <c r="F63" s="14">
        <f>F17*(Control!$C$22+Control!$C$23)*F5*Control!$C$14</f>
        <v/>
      </c>
      <c r="G63" s="14">
        <f>G17*(Control!$C$22+Control!$C$23)*G5*Control!$C$14</f>
        <v/>
      </c>
      <c r="H63" s="14">
        <f>H17*(Control!$C$22+Control!$C$23)*H5*Control!$C$14</f>
        <v/>
      </c>
      <c r="I63" s="14">
        <f>I17*(Control!$C$22+Control!$C$23)*I5*Control!$C$14</f>
        <v/>
      </c>
      <c r="J63" s="14">
        <f>J17*(Control!$C$22+Control!$C$23)*J5*Control!$C$14</f>
        <v/>
      </c>
      <c r="K63" s="14">
        <f>K17*(Control!$C$22+Control!$C$23)*K5*Control!$C$14</f>
        <v/>
      </c>
      <c r="L63" s="14">
        <f>L17*(Control!$C$22+Control!$C$23)*L5*Control!$C$14</f>
        <v/>
      </c>
      <c r="M63" s="14">
        <f>M17*(Control!$C$22+Control!$C$23)*M5*Control!$C$14</f>
        <v/>
      </c>
      <c r="N63" s="14">
        <f>N17*(Control!$C$22+Control!$C$23)*N5*Control!$C$14</f>
        <v/>
      </c>
      <c r="O63" s="14">
        <f>O17*(Control!$C$22+Control!$C$23)*O5*Control!$C$14</f>
        <v/>
      </c>
    </row>
    <row r="64">
      <c r="A64" s="7" t="inlineStr">
        <is>
          <t>AMSA solar energy used</t>
        </is>
      </c>
      <c r="B64" s="5" t="inlineStr">
        <is>
          <t>MWh</t>
        </is>
      </c>
      <c r="D64" s="14">
        <f>MIN(D17,D18)*Control!$C$23*D5*Control!$C$14</f>
        <v/>
      </c>
      <c r="E64" s="14">
        <f>MIN(E17,E18)*Control!$C$23*E5*Control!$C$14</f>
        <v/>
      </c>
      <c r="F64" s="14">
        <f>MIN(F17,F18)*Control!$C$23*F5*Control!$C$14</f>
        <v/>
      </c>
      <c r="G64" s="14">
        <f>MIN(G17,G18)*Control!$C$23*G5*Control!$C$14</f>
        <v/>
      </c>
      <c r="H64" s="14">
        <f>MIN(H17,H18)*Control!$C$23*H5*Control!$C$14</f>
        <v/>
      </c>
      <c r="I64" s="14">
        <f>MIN(I17,I18)*Control!$C$23*I5*Control!$C$14</f>
        <v/>
      </c>
      <c r="J64" s="14">
        <f>MIN(J17,J18)*Control!$C$23*J5*Control!$C$14</f>
        <v/>
      </c>
      <c r="K64" s="14">
        <f>MIN(K17,K18)*Control!$C$23*K5*Control!$C$14</f>
        <v/>
      </c>
      <c r="L64" s="14">
        <f>MIN(L17,L18)*Control!$C$23*L5*Control!$C$14</f>
        <v/>
      </c>
      <c r="M64" s="14">
        <f>MIN(M17,M18)*Control!$C$23*M5*Control!$C$14</f>
        <v/>
      </c>
      <c r="N64" s="14">
        <f>MIN(N17,N18)*Control!$C$23*N5*Control!$C$14</f>
        <v/>
      </c>
      <c r="O64" s="14">
        <f>MIN(O17,O18)*Control!$C$23*O5*Control!$C$14</f>
        <v/>
      </c>
    </row>
    <row r="65">
      <c r="A65" s="7" t="inlineStr">
        <is>
          <t>AMSA Eskom energy</t>
        </is>
      </c>
      <c r="B65" s="5" t="inlineStr">
        <is>
          <t>MWh</t>
        </is>
      </c>
      <c r="D65" s="14">
        <f>D63-D64</f>
        <v/>
      </c>
      <c r="E65" s="14">
        <f>E63-E64</f>
        <v/>
      </c>
      <c r="F65" s="14">
        <f>F63-F64</f>
        <v/>
      </c>
      <c r="G65" s="14">
        <f>G63-G64</f>
        <v/>
      </c>
      <c r="H65" s="14">
        <f>H63-H64</f>
        <v/>
      </c>
      <c r="I65" s="14">
        <f>I63-I64</f>
        <v/>
      </c>
      <c r="J65" s="14">
        <f>J63-J64</f>
        <v/>
      </c>
      <c r="K65" s="14">
        <f>K63-K64</f>
        <v/>
      </c>
      <c r="L65" s="14">
        <f>L63-L64</f>
        <v/>
      </c>
      <c r="M65" s="14">
        <f>M63-M64</f>
        <v/>
      </c>
      <c r="N65" s="14">
        <f>N63-N64</f>
        <v/>
      </c>
      <c r="O65" s="14">
        <f>O63-O64</f>
        <v/>
      </c>
    </row>
    <row r="66">
      <c r="A66" s="19" t="inlineStr">
        <is>
          <t>Total energy used</t>
        </is>
      </c>
      <c r="B66" s="20" t="inlineStr">
        <is>
          <t>MWh</t>
        </is>
      </c>
      <c r="C66" s="21" t="n"/>
      <c r="D66" s="22">
        <f>D62+D63</f>
        <v/>
      </c>
      <c r="E66" s="22">
        <f>E62+E63</f>
        <v/>
      </c>
      <c r="F66" s="22">
        <f>F62+F63</f>
        <v/>
      </c>
      <c r="G66" s="22">
        <f>G62+G63</f>
        <v/>
      </c>
      <c r="H66" s="22">
        <f>H62+H63</f>
        <v/>
      </c>
      <c r="I66" s="22">
        <f>I62+I63</f>
        <v/>
      </c>
      <c r="J66" s="22">
        <f>J62+J63</f>
        <v/>
      </c>
      <c r="K66" s="22">
        <f>K62+K63</f>
        <v/>
      </c>
      <c r="L66" s="22">
        <f>L62+L63</f>
        <v/>
      </c>
      <c r="M66" s="22">
        <f>M62+M63</f>
        <v/>
      </c>
      <c r="N66" s="22">
        <f>N62+N63</f>
        <v/>
      </c>
      <c r="O66" s="22">
        <f>O62+O63</f>
        <v/>
      </c>
    </row>
    <row r="67">
      <c r="A67" s="19" t="inlineStr">
        <is>
          <t>Total Eskom energy used</t>
        </is>
      </c>
      <c r="B67" s="20" t="inlineStr">
        <is>
          <t>MWh</t>
        </is>
      </c>
      <c r="C67" s="21" t="n"/>
      <c r="D67" s="22">
        <f>D62+D65</f>
        <v/>
      </c>
      <c r="E67" s="22">
        <f>E62+E65</f>
        <v/>
      </c>
      <c r="F67" s="22">
        <f>F62+F65</f>
        <v/>
      </c>
      <c r="G67" s="22">
        <f>G62+G65</f>
        <v/>
      </c>
      <c r="H67" s="22">
        <f>H62+H65</f>
        <v/>
      </c>
      <c r="I67" s="22">
        <f>I62+I65</f>
        <v/>
      </c>
      <c r="J67" s="22">
        <f>J62+J65</f>
        <v/>
      </c>
      <c r="K67" s="22">
        <f>K62+K65</f>
        <v/>
      </c>
      <c r="L67" s="22">
        <f>L62+L65</f>
        <v/>
      </c>
      <c r="M67" s="22">
        <f>M62+M65</f>
        <v/>
      </c>
      <c r="N67" s="22">
        <f>N62+N65</f>
        <v/>
      </c>
      <c r="O67" s="22">
        <f>O62+O65</f>
        <v/>
      </c>
    </row>
    <row r="68">
      <c r="A68" s="19" t="inlineStr">
        <is>
          <t>Total solar energy used</t>
        </is>
      </c>
      <c r="B68" s="20" t="inlineStr">
        <is>
          <t>MWh</t>
        </is>
      </c>
      <c r="C68" s="21" t="n"/>
      <c r="D68" s="22">
        <f>D64</f>
        <v/>
      </c>
      <c r="E68" s="22">
        <f>E64</f>
        <v/>
      </c>
      <c r="F68" s="22">
        <f>F64</f>
        <v/>
      </c>
      <c r="G68" s="22">
        <f>G64</f>
        <v/>
      </c>
      <c r="H68" s="22">
        <f>H64</f>
        <v/>
      </c>
      <c r="I68" s="22">
        <f>I64</f>
        <v/>
      </c>
      <c r="J68" s="22">
        <f>J64</f>
        <v/>
      </c>
      <c r="K68" s="22">
        <f>K64</f>
        <v/>
      </c>
      <c r="L68" s="22">
        <f>L64</f>
        <v/>
      </c>
      <c r="M68" s="22">
        <f>M64</f>
        <v/>
      </c>
      <c r="N68" s="22">
        <f>N64</f>
        <v/>
      </c>
      <c r="O68" s="22">
        <f>O64</f>
        <v/>
      </c>
    </row>
  </sheetData>
  <mergeCells count="1">
    <mergeCell ref="A1:O1"/>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22"/>
  <sheetViews>
    <sheetView showGridLines="0" workbookViewId="0">
      <selection activeCell="A1" sqref="A1"/>
    </sheetView>
  </sheetViews>
  <sheetFormatPr baseColWidth="8" defaultRowHeight="15"/>
  <cols>
    <col width="32" customWidth="1" min="1" max="1"/>
    <col width="16"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12-Month Revenue Build</t>
        </is>
      </c>
    </row>
    <row r="2">
      <c r="A2" s="5" t="inlineStr">
        <is>
          <t>BTC revenue is base case. Demand response and hyperscaler rows are built, but default to OFF in base case.</t>
        </is>
      </c>
    </row>
    <row r="3">
      <c r="D3" s="16" t="n">
        <v>1</v>
      </c>
      <c r="E3" s="16" t="n">
        <v>2</v>
      </c>
      <c r="F3" s="16" t="n">
        <v>3</v>
      </c>
      <c r="G3" s="16" t="n">
        <v>4</v>
      </c>
      <c r="H3" s="16" t="n">
        <v>5</v>
      </c>
      <c r="I3" s="16" t="n">
        <v>6</v>
      </c>
      <c r="J3" s="16" t="n">
        <v>7</v>
      </c>
      <c r="K3" s="16" t="n">
        <v>8</v>
      </c>
      <c r="L3" s="16" t="n">
        <v>9</v>
      </c>
      <c r="M3" s="16" t="n">
        <v>10</v>
      </c>
      <c r="N3" s="16" t="n">
        <v>11</v>
      </c>
      <c r="O3" s="16" t="n">
        <v>12</v>
      </c>
    </row>
    <row r="4">
      <c r="D4" s="17" t="inlineStr">
        <is>
          <t>Jan-26</t>
        </is>
      </c>
      <c r="E4" s="17" t="inlineStr">
        <is>
          <t>Feb-26</t>
        </is>
      </c>
      <c r="F4" s="17" t="inlineStr">
        <is>
          <t>Mar-26</t>
        </is>
      </c>
      <c r="G4" s="17" t="inlineStr">
        <is>
          <t>Apr-26</t>
        </is>
      </c>
      <c r="H4" s="17" t="inlineStr">
        <is>
          <t>May-26</t>
        </is>
      </c>
      <c r="I4" s="17" t="inlineStr">
        <is>
          <t>Jun-26</t>
        </is>
      </c>
      <c r="J4" s="17" t="inlineStr">
        <is>
          <t>Jul-26</t>
        </is>
      </c>
      <c r="K4" s="17" t="inlineStr">
        <is>
          <t>Aug-26</t>
        </is>
      </c>
      <c r="L4" s="17" t="inlineStr">
        <is>
          <t>Sep-26</t>
        </is>
      </c>
      <c r="M4" s="17" t="inlineStr">
        <is>
          <t>Oct-26</t>
        </is>
      </c>
      <c r="N4" s="17" t="inlineStr">
        <is>
          <t>Nov-26</t>
        </is>
      </c>
      <c r="O4" s="17" t="inlineStr">
        <is>
          <t>Dec-26</t>
        </is>
      </c>
    </row>
    <row r="5">
      <c r="A5" s="7" t="inlineStr">
        <is>
          <t>BTC price (USD)</t>
        </is>
      </c>
      <c r="B5" s="5" t="inlineStr">
        <is>
          <t>USD/BTC</t>
        </is>
      </c>
      <c r="D5" s="26">
        <f>Control!$C$6</f>
        <v/>
      </c>
      <c r="E5" s="26">
        <f>D5*(1+Control!$C$7)^(1/12)</f>
        <v/>
      </c>
      <c r="F5" s="26">
        <f>E5*(1+Control!$C$7)^(1/12)</f>
        <v/>
      </c>
      <c r="G5" s="26">
        <f>F5*(1+Control!$C$7)^(1/12)</f>
        <v/>
      </c>
      <c r="H5" s="26">
        <f>G5*(1+Control!$C$7)^(1/12)</f>
        <v/>
      </c>
      <c r="I5" s="26">
        <f>H5*(1+Control!$C$7)^(1/12)</f>
        <v/>
      </c>
      <c r="J5" s="26">
        <f>I5*(1+Control!$C$7)^(1/12)</f>
        <v/>
      </c>
      <c r="K5" s="26">
        <f>J5*(1+Control!$C$7)^(1/12)</f>
        <v/>
      </c>
      <c r="L5" s="26">
        <f>K5*(1+Control!$C$7)^(1/12)</f>
        <v/>
      </c>
      <c r="M5" s="26">
        <f>L5*(1+Control!$C$7)^(1/12)</f>
        <v/>
      </c>
      <c r="N5" s="26">
        <f>M5*(1+Control!$C$7)^(1/12)</f>
        <v/>
      </c>
      <c r="O5" s="26">
        <f>N5*(1+Control!$C$7)^(1/12)</f>
        <v/>
      </c>
    </row>
    <row r="6">
      <c r="A6" s="7" t="inlineStr">
        <is>
          <t>BTC price (ZAR)</t>
        </is>
      </c>
      <c r="B6" s="5" t="inlineStr">
        <is>
          <t>ZAR/BTC</t>
        </is>
      </c>
      <c r="D6" s="27">
        <f>D5*Control!$C$4</f>
        <v/>
      </c>
      <c r="E6" s="27">
        <f>E5*Control!$C$4</f>
        <v/>
      </c>
      <c r="F6" s="27">
        <f>F5*Control!$C$4</f>
        <v/>
      </c>
      <c r="G6" s="27">
        <f>G5*Control!$C$4</f>
        <v/>
      </c>
      <c r="H6" s="27">
        <f>H5*Control!$C$4</f>
        <v/>
      </c>
      <c r="I6" s="27">
        <f>I5*Control!$C$4</f>
        <v/>
      </c>
      <c r="J6" s="27">
        <f>J5*Control!$C$4</f>
        <v/>
      </c>
      <c r="K6" s="27">
        <f>K5*Control!$C$4</f>
        <v/>
      </c>
      <c r="L6" s="27">
        <f>L5*Control!$C$4</f>
        <v/>
      </c>
      <c r="M6" s="27">
        <f>M5*Control!$C$4</f>
        <v/>
      </c>
      <c r="N6" s="27">
        <f>N5*Control!$C$4</f>
        <v/>
      </c>
      <c r="O6" s="27">
        <f>O5*Control!$C$4</f>
        <v/>
      </c>
    </row>
    <row r="7">
      <c r="A7" s="7" t="inlineStr">
        <is>
          <t>Network hash (TH/s)</t>
        </is>
      </c>
      <c r="B7" s="5" t="inlineStr">
        <is>
          <t>TH/s</t>
        </is>
      </c>
      <c r="D7" s="27">
        <f>Control!$C$8</f>
        <v/>
      </c>
      <c r="E7" s="27">
        <f>D7*(1+Control!$C$9)^(1/12)</f>
        <v/>
      </c>
      <c r="F7" s="27">
        <f>E7*(1+Control!$C$9)^(1/12)</f>
        <v/>
      </c>
      <c r="G7" s="27">
        <f>F7*(1+Control!$C$9)^(1/12)</f>
        <v/>
      </c>
      <c r="H7" s="27">
        <f>G7*(1+Control!$C$9)^(1/12)</f>
        <v/>
      </c>
      <c r="I7" s="27">
        <f>H7*(1+Control!$C$9)^(1/12)</f>
        <v/>
      </c>
      <c r="J7" s="27">
        <f>I7*(1+Control!$C$9)^(1/12)</f>
        <v/>
      </c>
      <c r="K7" s="27">
        <f>J7*(1+Control!$C$9)^(1/12)</f>
        <v/>
      </c>
      <c r="L7" s="27">
        <f>K7*(1+Control!$C$9)^(1/12)</f>
        <v/>
      </c>
      <c r="M7" s="27">
        <f>L7*(1+Control!$C$9)^(1/12)</f>
        <v/>
      </c>
      <c r="N7" s="27">
        <f>M7*(1+Control!$C$9)^(1/12)</f>
        <v/>
      </c>
      <c r="O7" s="27">
        <f>N7*(1+Control!$C$9)^(1/12)</f>
        <v/>
      </c>
    </row>
    <row r="8">
      <c r="A8" s="7" t="inlineStr">
        <is>
          <t>Network BTC mined</t>
        </is>
      </c>
      <c r="B8" s="5" t="inlineStr">
        <is>
          <t>BTC/month</t>
        </is>
      </c>
      <c r="D8" s="14">
        <f>'12M_Deployment'!D5*Control!$C$12*Control!$C$10*(1+Control!$C$11)</f>
        <v/>
      </c>
      <c r="E8" s="14">
        <f>'12M_Deployment'!E5*Control!$C$12*Control!$C$10*(1+Control!$C$11)</f>
        <v/>
      </c>
      <c r="F8" s="14">
        <f>'12M_Deployment'!F5*Control!$C$12*Control!$C$10*(1+Control!$C$11)</f>
        <v/>
      </c>
      <c r="G8" s="14">
        <f>'12M_Deployment'!G5*Control!$C$12*Control!$C$10*(1+Control!$C$11)</f>
        <v/>
      </c>
      <c r="H8" s="14">
        <f>'12M_Deployment'!H5*Control!$C$12*Control!$C$10*(1+Control!$C$11)</f>
        <v/>
      </c>
      <c r="I8" s="14">
        <f>'12M_Deployment'!I5*Control!$C$12*Control!$C$10*(1+Control!$C$11)</f>
        <v/>
      </c>
      <c r="J8" s="14">
        <f>'12M_Deployment'!J5*Control!$C$12*Control!$C$10*(1+Control!$C$11)</f>
        <v/>
      </c>
      <c r="K8" s="14">
        <f>'12M_Deployment'!K5*Control!$C$12*Control!$C$10*(1+Control!$C$11)</f>
        <v/>
      </c>
      <c r="L8" s="14">
        <f>'12M_Deployment'!L5*Control!$C$12*Control!$C$10*(1+Control!$C$11)</f>
        <v/>
      </c>
      <c r="M8" s="14">
        <f>'12M_Deployment'!M5*Control!$C$12*Control!$C$10*(1+Control!$C$11)</f>
        <v/>
      </c>
      <c r="N8" s="14">
        <f>'12M_Deployment'!N5*Control!$C$12*Control!$C$10*(1+Control!$C$11)</f>
        <v/>
      </c>
      <c r="O8" s="14">
        <f>'12M_Deployment'!O5*Control!$C$12*Control!$C$10*(1+Control!$C$11)</f>
        <v/>
      </c>
    </row>
    <row r="10">
      <c r="A10" s="7" t="inlineStr">
        <is>
          <t>Grootvlei BTC mined</t>
        </is>
      </c>
      <c r="B10" s="5" t="inlineStr">
        <is>
          <t>BTC/month</t>
        </is>
      </c>
      <c r="D10" s="14">
        <f>'12M_Deployment'!D58/D7*D8</f>
        <v/>
      </c>
      <c r="E10" s="14">
        <f>'12M_Deployment'!E58/E7*E8</f>
        <v/>
      </c>
      <c r="F10" s="14">
        <f>'12M_Deployment'!F58/F7*F8</f>
        <v/>
      </c>
      <c r="G10" s="14">
        <f>'12M_Deployment'!G58/G7*G8</f>
        <v/>
      </c>
      <c r="H10" s="14">
        <f>'12M_Deployment'!H58/H7*H8</f>
        <v/>
      </c>
      <c r="I10" s="14">
        <f>'12M_Deployment'!I58/I7*I8</f>
        <v/>
      </c>
      <c r="J10" s="14">
        <f>'12M_Deployment'!J58/J7*J8</f>
        <v/>
      </c>
      <c r="K10" s="14">
        <f>'12M_Deployment'!K58/K7*K8</f>
        <v/>
      </c>
      <c r="L10" s="14">
        <f>'12M_Deployment'!L58/L7*L8</f>
        <v/>
      </c>
      <c r="M10" s="14">
        <f>'12M_Deployment'!M58/M7*M8</f>
        <v/>
      </c>
      <c r="N10" s="14">
        <f>'12M_Deployment'!N58/N7*N8</f>
        <v/>
      </c>
      <c r="O10" s="14">
        <f>'12M_Deployment'!O58/O7*O8</f>
        <v/>
      </c>
    </row>
    <row r="11">
      <c r="A11" s="7" t="inlineStr">
        <is>
          <t>AMSA BTC mined</t>
        </is>
      </c>
      <c r="B11" s="5" t="inlineStr">
        <is>
          <t>BTC/month</t>
        </is>
      </c>
      <c r="D11" s="14">
        <f>'12M_Deployment'!D59/D7*D8</f>
        <v/>
      </c>
      <c r="E11" s="14">
        <f>'12M_Deployment'!E59/E7*E8</f>
        <v/>
      </c>
      <c r="F11" s="14">
        <f>'12M_Deployment'!F59/F7*F8</f>
        <v/>
      </c>
      <c r="G11" s="14">
        <f>'12M_Deployment'!G59/G7*G8</f>
        <v/>
      </c>
      <c r="H11" s="14">
        <f>'12M_Deployment'!H59/H7*H8</f>
        <v/>
      </c>
      <c r="I11" s="14">
        <f>'12M_Deployment'!I59/I7*I8</f>
        <v/>
      </c>
      <c r="J11" s="14">
        <f>'12M_Deployment'!J59/J7*J8</f>
        <v/>
      </c>
      <c r="K11" s="14">
        <f>'12M_Deployment'!K59/K7*K8</f>
        <v/>
      </c>
      <c r="L11" s="14">
        <f>'12M_Deployment'!L59/L7*L8</f>
        <v/>
      </c>
      <c r="M11" s="14">
        <f>'12M_Deployment'!M59/M7*M8</f>
        <v/>
      </c>
      <c r="N11" s="14">
        <f>'12M_Deployment'!N59/N7*N8</f>
        <v/>
      </c>
      <c r="O11" s="14">
        <f>'12M_Deployment'!O59/O7*O8</f>
        <v/>
      </c>
    </row>
    <row r="12">
      <c r="A12" s="19" t="inlineStr">
        <is>
          <t>Total BTC mined</t>
        </is>
      </c>
      <c r="B12" s="20" t="inlineStr">
        <is>
          <t>BTC/month</t>
        </is>
      </c>
      <c r="C12" s="21" t="n"/>
      <c r="D12" s="22">
        <f>D10+D11</f>
        <v/>
      </c>
      <c r="E12" s="22">
        <f>E10+E11</f>
        <v/>
      </c>
      <c r="F12" s="22">
        <f>F10+F11</f>
        <v/>
      </c>
      <c r="G12" s="22">
        <f>G10+G11</f>
        <v/>
      </c>
      <c r="H12" s="22">
        <f>H10+H11</f>
        <v/>
      </c>
      <c r="I12" s="22">
        <f>I10+I11</f>
        <v/>
      </c>
      <c r="J12" s="22">
        <f>J10+J11</f>
        <v/>
      </c>
      <c r="K12" s="22">
        <f>K10+K11</f>
        <v/>
      </c>
      <c r="L12" s="22">
        <f>L10+L11</f>
        <v/>
      </c>
      <c r="M12" s="22">
        <f>M10+M11</f>
        <v/>
      </c>
      <c r="N12" s="22">
        <f>N10+N11</f>
        <v/>
      </c>
      <c r="O12" s="22">
        <f>O10+O11</f>
        <v/>
      </c>
    </row>
    <row r="13">
      <c r="A13" s="2" t="inlineStr">
        <is>
          <t>BTC revenue</t>
        </is>
      </c>
      <c r="B13" s="5" t="inlineStr">
        <is>
          <t>ZAR'000</t>
        </is>
      </c>
      <c r="D13" s="14">
        <f>D12*D6/1000</f>
        <v/>
      </c>
      <c r="E13" s="14">
        <f>E12*E6/1000</f>
        <v/>
      </c>
      <c r="F13" s="14">
        <f>F12*F6/1000</f>
        <v/>
      </c>
      <c r="G13" s="14">
        <f>G12*G6/1000</f>
        <v/>
      </c>
      <c r="H13" s="14">
        <f>H12*H6/1000</f>
        <v/>
      </c>
      <c r="I13" s="14">
        <f>I12*I6/1000</f>
        <v/>
      </c>
      <c r="J13" s="14">
        <f>J12*J6/1000</f>
        <v/>
      </c>
      <c r="K13" s="14">
        <f>K12*K6/1000</f>
        <v/>
      </c>
      <c r="L13" s="14">
        <f>L12*L6/1000</f>
        <v/>
      </c>
      <c r="M13" s="14">
        <f>M12*M6/1000</f>
        <v/>
      </c>
      <c r="N13" s="14">
        <f>N12*N6/1000</f>
        <v/>
      </c>
      <c r="O13" s="14">
        <f>O12*O6/1000</f>
        <v/>
      </c>
    </row>
    <row r="15">
      <c r="A15" s="7" t="inlineStr">
        <is>
          <t>Demand response revenue - base case</t>
        </is>
      </c>
      <c r="B15" s="5" t="inlineStr">
        <is>
          <t>ZAR'000</t>
        </is>
      </c>
      <c r="D15" s="14">
        <f>IF(Control!$C$71=1,D16,0)</f>
        <v/>
      </c>
      <c r="E15" s="14">
        <f>IF(Control!$C$71=1,E16,0)</f>
        <v/>
      </c>
      <c r="F15" s="14">
        <f>IF(Control!$C$71=1,F16,0)</f>
        <v/>
      </c>
      <c r="G15" s="14">
        <f>IF(Control!$C$71=1,G16,0)</f>
        <v/>
      </c>
      <c r="H15" s="14">
        <f>IF(Control!$C$71=1,H16,0)</f>
        <v/>
      </c>
      <c r="I15" s="14">
        <f>IF(Control!$C$71=1,I16,0)</f>
        <v/>
      </c>
      <c r="J15" s="14">
        <f>IF(Control!$C$71=1,J16,0)</f>
        <v/>
      </c>
      <c r="K15" s="14">
        <f>IF(Control!$C$71=1,K16,0)</f>
        <v/>
      </c>
      <c r="L15" s="14">
        <f>IF(Control!$C$71=1,L16,0)</f>
        <v/>
      </c>
      <c r="M15" s="14">
        <f>IF(Control!$C$71=1,M16,0)</f>
        <v/>
      </c>
      <c r="N15" s="14">
        <f>IF(Control!$C$71=1,N16,0)</f>
        <v/>
      </c>
      <c r="O15" s="14">
        <f>IF(Control!$C$71=1,O16,0)</f>
        <v/>
      </c>
    </row>
    <row r="16">
      <c r="A16" s="7" t="inlineStr">
        <is>
          <t>Demand response revenue - upside</t>
        </is>
      </c>
      <c r="B16" s="5" t="inlineStr">
        <is>
          <t>ZAR'000</t>
        </is>
      </c>
      <c r="D16" s="14">
        <f>IF(D$3&gt;=Control!$C$72,'12M_Deployment'!D19*Control!$C$74*'12M_Deployment'!D5*Control!$C$75*Control!$C$73,0)</f>
        <v/>
      </c>
      <c r="E16" s="14">
        <f>IF(E$3&gt;=Control!$C$72,'12M_Deployment'!E19*Control!$C$74*'12M_Deployment'!E5*Control!$C$75*Control!$C$73,0)</f>
        <v/>
      </c>
      <c r="F16" s="14">
        <f>IF(F$3&gt;=Control!$C$72,'12M_Deployment'!F19*Control!$C$74*'12M_Deployment'!F5*Control!$C$75*Control!$C$73,0)</f>
        <v/>
      </c>
      <c r="G16" s="14">
        <f>IF(G$3&gt;=Control!$C$72,'12M_Deployment'!G19*Control!$C$74*'12M_Deployment'!G5*Control!$C$75*Control!$C$73,0)</f>
        <v/>
      </c>
      <c r="H16" s="14">
        <f>IF(H$3&gt;=Control!$C$72,'12M_Deployment'!H19*Control!$C$74*'12M_Deployment'!H5*Control!$C$75*Control!$C$73,0)</f>
        <v/>
      </c>
      <c r="I16" s="14">
        <f>IF(I$3&gt;=Control!$C$72,'12M_Deployment'!I19*Control!$C$74*'12M_Deployment'!I5*Control!$C$75*Control!$C$73,0)</f>
        <v/>
      </c>
      <c r="J16" s="14">
        <f>IF(J$3&gt;=Control!$C$72,'12M_Deployment'!J19*Control!$C$74*'12M_Deployment'!J5*Control!$C$75*Control!$C$73,0)</f>
        <v/>
      </c>
      <c r="K16" s="14">
        <f>IF(K$3&gt;=Control!$C$72,'12M_Deployment'!K19*Control!$C$74*'12M_Deployment'!K5*Control!$C$75*Control!$C$73,0)</f>
        <v/>
      </c>
      <c r="L16" s="14">
        <f>IF(L$3&gt;=Control!$C$72,'12M_Deployment'!L19*Control!$C$74*'12M_Deployment'!L5*Control!$C$75*Control!$C$73,0)</f>
        <v/>
      </c>
      <c r="M16" s="14">
        <f>IF(M$3&gt;=Control!$C$72,'12M_Deployment'!M19*Control!$C$74*'12M_Deployment'!M5*Control!$C$75*Control!$C$73,0)</f>
        <v/>
      </c>
      <c r="N16" s="14">
        <f>IF(N$3&gt;=Control!$C$72,'12M_Deployment'!N19*Control!$C$74*'12M_Deployment'!N5*Control!$C$75*Control!$C$73,0)</f>
        <v/>
      </c>
      <c r="O16" s="14">
        <f>IF(O$3&gt;=Control!$C$72,'12M_Deployment'!O19*Control!$C$74*'12M_Deployment'!O5*Control!$C$75*Control!$C$73,0)</f>
        <v/>
      </c>
    </row>
    <row r="18">
      <c r="A18" s="7" t="inlineStr">
        <is>
          <t>Hyperscaler revenue - base case</t>
        </is>
      </c>
      <c r="B18" s="5" t="inlineStr">
        <is>
          <t>ZAR'000</t>
        </is>
      </c>
      <c r="D18" s="14">
        <f>IF(Control!$C$76=1,D19,0)</f>
        <v/>
      </c>
      <c r="E18" s="14">
        <f>IF(Control!$C$76=1,E19,0)</f>
        <v/>
      </c>
      <c r="F18" s="14">
        <f>IF(Control!$C$76=1,F19,0)</f>
        <v/>
      </c>
      <c r="G18" s="14">
        <f>IF(Control!$C$76=1,G19,0)</f>
        <v/>
      </c>
      <c r="H18" s="14">
        <f>IF(Control!$C$76=1,H19,0)</f>
        <v/>
      </c>
      <c r="I18" s="14">
        <f>IF(Control!$C$76=1,I19,0)</f>
        <v/>
      </c>
      <c r="J18" s="14">
        <f>IF(Control!$C$76=1,J19,0)</f>
        <v/>
      </c>
      <c r="K18" s="14">
        <f>IF(Control!$C$76=1,K19,0)</f>
        <v/>
      </c>
      <c r="L18" s="14">
        <f>IF(Control!$C$76=1,L19,0)</f>
        <v/>
      </c>
      <c r="M18" s="14">
        <f>IF(Control!$C$76=1,M19,0)</f>
        <v/>
      </c>
      <c r="N18" s="14">
        <f>IF(Control!$C$76=1,N19,0)</f>
        <v/>
      </c>
      <c r="O18" s="14">
        <f>IF(Control!$C$76=1,O19,0)</f>
        <v/>
      </c>
    </row>
    <row r="19">
      <c r="A19" s="7" t="inlineStr">
        <is>
          <t>Hyperscaler revenue - upside</t>
        </is>
      </c>
      <c r="B19" s="5" t="inlineStr">
        <is>
          <t>ZAR'000</t>
        </is>
      </c>
      <c r="D19" s="14">
        <f>IF(D$3&gt;=Control!$C$77,Control!$C$78*Control!$C$79*'12M_Deployment'!D5*Control!$C$80*Control!$C$4/1000,0)</f>
        <v/>
      </c>
      <c r="E19" s="14">
        <f>IF(E$3&gt;=Control!$C$77,Control!$C$78*Control!$C$79*'12M_Deployment'!E5*Control!$C$80*Control!$C$4/1000,0)</f>
        <v/>
      </c>
      <c r="F19" s="14">
        <f>IF(F$3&gt;=Control!$C$77,Control!$C$78*Control!$C$79*'12M_Deployment'!F5*Control!$C$80*Control!$C$4/1000,0)</f>
        <v/>
      </c>
      <c r="G19" s="14">
        <f>IF(G$3&gt;=Control!$C$77,Control!$C$78*Control!$C$79*'12M_Deployment'!G5*Control!$C$80*Control!$C$4/1000,0)</f>
        <v/>
      </c>
      <c r="H19" s="14">
        <f>IF(H$3&gt;=Control!$C$77,Control!$C$78*Control!$C$79*'12M_Deployment'!H5*Control!$C$80*Control!$C$4/1000,0)</f>
        <v/>
      </c>
      <c r="I19" s="14">
        <f>IF(I$3&gt;=Control!$C$77,Control!$C$78*Control!$C$79*'12M_Deployment'!I5*Control!$C$80*Control!$C$4/1000,0)</f>
        <v/>
      </c>
      <c r="J19" s="14">
        <f>IF(J$3&gt;=Control!$C$77,Control!$C$78*Control!$C$79*'12M_Deployment'!J5*Control!$C$80*Control!$C$4/1000,0)</f>
        <v/>
      </c>
      <c r="K19" s="14">
        <f>IF(K$3&gt;=Control!$C$77,Control!$C$78*Control!$C$79*'12M_Deployment'!K5*Control!$C$80*Control!$C$4/1000,0)</f>
        <v/>
      </c>
      <c r="L19" s="14">
        <f>IF(L$3&gt;=Control!$C$77,Control!$C$78*Control!$C$79*'12M_Deployment'!L5*Control!$C$80*Control!$C$4/1000,0)</f>
        <v/>
      </c>
      <c r="M19" s="14">
        <f>IF(M$3&gt;=Control!$C$77,Control!$C$78*Control!$C$79*'12M_Deployment'!M5*Control!$C$80*Control!$C$4/1000,0)</f>
        <v/>
      </c>
      <c r="N19" s="14">
        <f>IF(N$3&gt;=Control!$C$77,Control!$C$78*Control!$C$79*'12M_Deployment'!N5*Control!$C$80*Control!$C$4/1000,0)</f>
        <v/>
      </c>
      <c r="O19" s="14">
        <f>IF(O$3&gt;=Control!$C$77,Control!$C$78*Control!$C$79*'12M_Deployment'!O5*Control!$C$80*Control!$C$4/1000,0)</f>
        <v/>
      </c>
    </row>
    <row r="21">
      <c r="A21" s="19" t="inlineStr">
        <is>
          <t>Total revenue - base case</t>
        </is>
      </c>
      <c r="B21" s="20" t="inlineStr">
        <is>
          <t>ZAR'000</t>
        </is>
      </c>
      <c r="C21" s="21" t="n"/>
      <c r="D21" s="22">
        <f>D13+D15+D18</f>
        <v/>
      </c>
      <c r="E21" s="22">
        <f>E13+E15+E18</f>
        <v/>
      </c>
      <c r="F21" s="22">
        <f>F13+F15+F18</f>
        <v/>
      </c>
      <c r="G21" s="22">
        <f>G13+G15+G18</f>
        <v/>
      </c>
      <c r="H21" s="22">
        <f>H13+H15+H18</f>
        <v/>
      </c>
      <c r="I21" s="22">
        <f>I13+I15+I18</f>
        <v/>
      </c>
      <c r="J21" s="22">
        <f>J13+J15+J18</f>
        <v/>
      </c>
      <c r="K21" s="22">
        <f>K13+K15+K18</f>
        <v/>
      </c>
      <c r="L21" s="22">
        <f>L13+L15+L18</f>
        <v/>
      </c>
      <c r="M21" s="22">
        <f>M13+M15+M18</f>
        <v/>
      </c>
      <c r="N21" s="22">
        <f>N13+N15+N18</f>
        <v/>
      </c>
      <c r="O21" s="22">
        <f>O13+O15+O18</f>
        <v/>
      </c>
    </row>
    <row r="22">
      <c r="A22" s="19" t="inlineStr">
        <is>
          <t>Total revenue - with upside</t>
        </is>
      </c>
      <c r="B22" s="20" t="inlineStr">
        <is>
          <t>ZAR'000</t>
        </is>
      </c>
      <c r="C22" s="21" t="n"/>
      <c r="D22" s="22">
        <f>D13+D16+D19</f>
        <v/>
      </c>
      <c r="E22" s="22">
        <f>E13+E16+E19</f>
        <v/>
      </c>
      <c r="F22" s="22">
        <f>F13+F16+F19</f>
        <v/>
      </c>
      <c r="G22" s="22">
        <f>G13+G16+G19</f>
        <v/>
      </c>
      <c r="H22" s="22">
        <f>H13+H16+H19</f>
        <v/>
      </c>
      <c r="I22" s="22">
        <f>I13+I16+I19</f>
        <v/>
      </c>
      <c r="J22" s="22">
        <f>J13+J16+J19</f>
        <v/>
      </c>
      <c r="K22" s="22">
        <f>K13+K16+K19</f>
        <v/>
      </c>
      <c r="L22" s="22">
        <f>L13+L16+L19</f>
        <v/>
      </c>
      <c r="M22" s="22">
        <f>M13+M16+M19</f>
        <v/>
      </c>
      <c r="N22" s="22">
        <f>N13+N16+N19</f>
        <v/>
      </c>
      <c r="O22" s="22">
        <f>O13+O16+O19</f>
        <v/>
      </c>
    </row>
  </sheetData>
  <mergeCells count="1">
    <mergeCell ref="A1:O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O26"/>
  <sheetViews>
    <sheetView showGridLines="0" workbookViewId="0">
      <selection activeCell="A1" sqref="A1"/>
    </sheetView>
  </sheetViews>
  <sheetFormatPr baseColWidth="8" defaultRowHeight="15"/>
  <cols>
    <col width="32" customWidth="1" min="1" max="1"/>
    <col width="16"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12-Month Operating Cost Build</t>
        </is>
      </c>
    </row>
    <row r="2">
      <c r="A2" s="5" t="inlineStr">
        <is>
          <t>Covers site energy cost, payroll, benefits, travel, software, legal, office, tools, security, insurance and utilities.</t>
        </is>
      </c>
    </row>
    <row r="3">
      <c r="D3" s="16" t="n">
        <v>1</v>
      </c>
      <c r="E3" s="16" t="n">
        <v>2</v>
      </c>
      <c r="F3" s="16" t="n">
        <v>3</v>
      </c>
      <c r="G3" s="16" t="n">
        <v>4</v>
      </c>
      <c r="H3" s="16" t="n">
        <v>5</v>
      </c>
      <c r="I3" s="16" t="n">
        <v>6</v>
      </c>
      <c r="J3" s="16" t="n">
        <v>7</v>
      </c>
      <c r="K3" s="16" t="n">
        <v>8</v>
      </c>
      <c r="L3" s="16" t="n">
        <v>9</v>
      </c>
      <c r="M3" s="16" t="n">
        <v>10</v>
      </c>
      <c r="N3" s="16" t="n">
        <v>11</v>
      </c>
      <c r="O3" s="16" t="n">
        <v>12</v>
      </c>
    </row>
    <row r="4">
      <c r="D4" s="17" t="inlineStr">
        <is>
          <t>Jan-26</t>
        </is>
      </c>
      <c r="E4" s="17" t="inlineStr">
        <is>
          <t>Feb-26</t>
        </is>
      </c>
      <c r="F4" s="17" t="inlineStr">
        <is>
          <t>Mar-26</t>
        </is>
      </c>
      <c r="G4" s="17" t="inlineStr">
        <is>
          <t>Apr-26</t>
        </is>
      </c>
      <c r="H4" s="17" t="inlineStr">
        <is>
          <t>May-26</t>
        </is>
      </c>
      <c r="I4" s="17" t="inlineStr">
        <is>
          <t>Jun-26</t>
        </is>
      </c>
      <c r="J4" s="17" t="inlineStr">
        <is>
          <t>Jul-26</t>
        </is>
      </c>
      <c r="K4" s="17" t="inlineStr">
        <is>
          <t>Aug-26</t>
        </is>
      </c>
      <c r="L4" s="17" t="inlineStr">
        <is>
          <t>Sep-26</t>
        </is>
      </c>
      <c r="M4" s="17" t="inlineStr">
        <is>
          <t>Oct-26</t>
        </is>
      </c>
      <c r="N4" s="17" t="inlineStr">
        <is>
          <t>Nov-26</t>
        </is>
      </c>
      <c r="O4" s="17" t="inlineStr">
        <is>
          <t>Dec-26</t>
        </is>
      </c>
    </row>
    <row r="5">
      <c r="A5" s="7" t="inlineStr">
        <is>
          <t>Grootvlei electricity cost</t>
        </is>
      </c>
      <c r="B5" s="5" t="inlineStr">
        <is>
          <t>ZAR'000</t>
        </is>
      </c>
      <c r="D5" s="14">
        <f>'12M_Deployment'!D62*Control!$C$25</f>
        <v/>
      </c>
      <c r="E5" s="14">
        <f>'12M_Deployment'!E62*Control!$C$25</f>
        <v/>
      </c>
      <c r="F5" s="14">
        <f>'12M_Deployment'!F62*Control!$C$25</f>
        <v/>
      </c>
      <c r="G5" s="14">
        <f>'12M_Deployment'!G62*Control!$C$25</f>
        <v/>
      </c>
      <c r="H5" s="14">
        <f>'12M_Deployment'!H62*Control!$C$25</f>
        <v/>
      </c>
      <c r="I5" s="14">
        <f>'12M_Deployment'!I62*Control!$C$25</f>
        <v/>
      </c>
      <c r="J5" s="14">
        <f>'12M_Deployment'!J62*Control!$C$25</f>
        <v/>
      </c>
      <c r="K5" s="14">
        <f>'12M_Deployment'!K62*Control!$C$25</f>
        <v/>
      </c>
      <c r="L5" s="14">
        <f>'12M_Deployment'!L62*Control!$C$25</f>
        <v/>
      </c>
      <c r="M5" s="14">
        <f>'12M_Deployment'!M62*Control!$C$25</f>
        <v/>
      </c>
      <c r="N5" s="14">
        <f>'12M_Deployment'!N62*Control!$C$25</f>
        <v/>
      </c>
      <c r="O5" s="14">
        <f>'12M_Deployment'!O62*Control!$C$25</f>
        <v/>
      </c>
    </row>
    <row r="6">
      <c r="A6" s="7" t="inlineStr">
        <is>
          <t>AMSA Eskom electricity cost</t>
        </is>
      </c>
      <c r="B6" s="5" t="inlineStr">
        <is>
          <t>ZAR'000</t>
        </is>
      </c>
      <c r="D6" s="14">
        <f>'12M_Deployment'!D65*Control!$C$26</f>
        <v/>
      </c>
      <c r="E6" s="14">
        <f>'12M_Deployment'!E65*Control!$C$26</f>
        <v/>
      </c>
      <c r="F6" s="14">
        <f>'12M_Deployment'!F65*Control!$C$26</f>
        <v/>
      </c>
      <c r="G6" s="14">
        <f>'12M_Deployment'!G65*Control!$C$26</f>
        <v/>
      </c>
      <c r="H6" s="14">
        <f>'12M_Deployment'!H65*Control!$C$26</f>
        <v/>
      </c>
      <c r="I6" s="14">
        <f>'12M_Deployment'!I65*Control!$C$26</f>
        <v/>
      </c>
      <c r="J6" s="14">
        <f>'12M_Deployment'!J65*Control!$C$26</f>
        <v/>
      </c>
      <c r="K6" s="14">
        <f>'12M_Deployment'!K65*Control!$C$26</f>
        <v/>
      </c>
      <c r="L6" s="14">
        <f>'12M_Deployment'!L65*Control!$C$26</f>
        <v/>
      </c>
      <c r="M6" s="14">
        <f>'12M_Deployment'!M65*Control!$C$26</f>
        <v/>
      </c>
      <c r="N6" s="14">
        <f>'12M_Deployment'!N65*Control!$C$26</f>
        <v/>
      </c>
      <c r="O6" s="14">
        <f>'12M_Deployment'!O65*Control!$C$26</f>
        <v/>
      </c>
    </row>
    <row r="7">
      <c r="A7" s="7" t="inlineStr">
        <is>
          <t>AMSA solar O&amp;M</t>
        </is>
      </c>
      <c r="B7" s="5" t="inlineStr">
        <is>
          <t>ZAR'000</t>
        </is>
      </c>
      <c r="D7" s="14">
        <f>'12M_Deployment'!D18*Control!$C$27*Control!$C$28/12</f>
        <v/>
      </c>
      <c r="E7" s="14">
        <f>'12M_Deployment'!E18*Control!$C$27*Control!$C$28/12</f>
        <v/>
      </c>
      <c r="F7" s="14">
        <f>'12M_Deployment'!F18*Control!$C$27*Control!$C$28/12</f>
        <v/>
      </c>
      <c r="G7" s="14">
        <f>'12M_Deployment'!G18*Control!$C$27*Control!$C$28/12</f>
        <v/>
      </c>
      <c r="H7" s="14">
        <f>'12M_Deployment'!H18*Control!$C$27*Control!$C$28/12</f>
        <v/>
      </c>
      <c r="I7" s="14">
        <f>'12M_Deployment'!I18*Control!$C$27*Control!$C$28/12</f>
        <v/>
      </c>
      <c r="J7" s="14">
        <f>'12M_Deployment'!J18*Control!$C$27*Control!$C$28/12</f>
        <v/>
      </c>
      <c r="K7" s="14">
        <f>'12M_Deployment'!K18*Control!$C$27*Control!$C$28/12</f>
        <v/>
      </c>
      <c r="L7" s="14">
        <f>'12M_Deployment'!L18*Control!$C$27*Control!$C$28/12</f>
        <v/>
      </c>
      <c r="M7" s="14">
        <f>'12M_Deployment'!M18*Control!$C$27*Control!$C$28/12</f>
        <v/>
      </c>
      <c r="N7" s="14">
        <f>'12M_Deployment'!N18*Control!$C$27*Control!$C$28/12</f>
        <v/>
      </c>
      <c r="O7" s="14">
        <f>'12M_Deployment'!O18*Control!$C$27*Control!$C$28/12</f>
        <v/>
      </c>
    </row>
    <row r="8">
      <c r="A8" s="19" t="inlineStr">
        <is>
          <t>Total energy cost</t>
        </is>
      </c>
      <c r="B8" s="20" t="inlineStr">
        <is>
          <t>ZAR'000</t>
        </is>
      </c>
      <c r="C8" s="21" t="n"/>
      <c r="D8" s="22">
        <f>D5+D6+D7</f>
        <v/>
      </c>
      <c r="E8" s="22">
        <f>E5+E6+E7</f>
        <v/>
      </c>
      <c r="F8" s="22">
        <f>F5+F6+F7</f>
        <v/>
      </c>
      <c r="G8" s="22">
        <f>G5+G6+G7</f>
        <v/>
      </c>
      <c r="H8" s="22">
        <f>H5+H6+H7</f>
        <v/>
      </c>
      <c r="I8" s="22">
        <f>I5+I6+I7</f>
        <v/>
      </c>
      <c r="J8" s="22">
        <f>J5+J6+J7</f>
        <v/>
      </c>
      <c r="K8" s="22">
        <f>K5+K6+K7</f>
        <v/>
      </c>
      <c r="L8" s="22">
        <f>L5+L6+L7</f>
        <v/>
      </c>
      <c r="M8" s="22">
        <f>M5+M6+M7</f>
        <v/>
      </c>
      <c r="N8" s="22">
        <f>N5+N6+N7</f>
        <v/>
      </c>
      <c r="O8" s="22">
        <f>O5+O6+O7</f>
        <v/>
      </c>
    </row>
    <row r="9">
      <c r="D9" s="14" t="n"/>
      <c r="E9" s="14" t="n"/>
      <c r="F9" s="14" t="n"/>
      <c r="G9" s="14" t="n"/>
      <c r="H9" s="14" t="n"/>
      <c r="I9" s="14" t="n"/>
      <c r="J9" s="14" t="n"/>
      <c r="K9" s="14" t="n"/>
      <c r="L9" s="14" t="n"/>
      <c r="M9" s="14" t="n"/>
      <c r="N9" s="14" t="n"/>
      <c r="O9" s="14" t="n"/>
    </row>
    <row r="10">
      <c r="A10" s="7" t="inlineStr">
        <is>
          <t>Corporate payroll</t>
        </is>
      </c>
      <c r="B10" s="5" t="inlineStr">
        <is>
          <t>ZAR'000</t>
        </is>
      </c>
      <c r="D10" s="14">
        <f>Control!$C$52*Control!$C$53/12</f>
        <v/>
      </c>
      <c r="E10" s="14">
        <f>Control!$C$52*Control!$C$53/12</f>
        <v/>
      </c>
      <c r="F10" s="14">
        <f>Control!$C$52*Control!$C$53/12</f>
        <v/>
      </c>
      <c r="G10" s="14">
        <f>Control!$C$52*Control!$C$53/12</f>
        <v/>
      </c>
      <c r="H10" s="14">
        <f>Control!$C$52*Control!$C$53/12</f>
        <v/>
      </c>
      <c r="I10" s="14">
        <f>Control!$C$52*Control!$C$53/12</f>
        <v/>
      </c>
      <c r="J10" s="14">
        <f>Control!$C$52*Control!$C$53/12</f>
        <v/>
      </c>
      <c r="K10" s="14">
        <f>Control!$C$52*Control!$C$53/12</f>
        <v/>
      </c>
      <c r="L10" s="14">
        <f>Control!$C$52*Control!$C$53/12</f>
        <v/>
      </c>
      <c r="M10" s="14">
        <f>Control!$C$52*Control!$C$53/12</f>
        <v/>
      </c>
      <c r="N10" s="14">
        <f>Control!$C$52*Control!$C$53/12</f>
        <v/>
      </c>
      <c r="O10" s="14">
        <f>Control!$C$52*Control!$C$53/12</f>
        <v/>
      </c>
    </row>
    <row r="11">
      <c r="A11" s="7" t="inlineStr">
        <is>
          <t>Site management payroll</t>
        </is>
      </c>
      <c r="B11" s="5" t="inlineStr">
        <is>
          <t>ZAR'000</t>
        </is>
      </c>
      <c r="D11" s="14">
        <f>'12M_Deployment'!D28*Control!$C$54*Control!$C$55/12</f>
        <v/>
      </c>
      <c r="E11" s="14">
        <f>'12M_Deployment'!E28*Control!$C$54*Control!$C$55/12</f>
        <v/>
      </c>
      <c r="F11" s="14">
        <f>'12M_Deployment'!F28*Control!$C$54*Control!$C$55/12</f>
        <v/>
      </c>
      <c r="G11" s="14">
        <f>'12M_Deployment'!G28*Control!$C$54*Control!$C$55/12</f>
        <v/>
      </c>
      <c r="H11" s="14">
        <f>'12M_Deployment'!H28*Control!$C$54*Control!$C$55/12</f>
        <v/>
      </c>
      <c r="I11" s="14">
        <f>'12M_Deployment'!I28*Control!$C$54*Control!$C$55/12</f>
        <v/>
      </c>
      <c r="J11" s="14">
        <f>'12M_Deployment'!J28*Control!$C$54*Control!$C$55/12</f>
        <v/>
      </c>
      <c r="K11" s="14">
        <f>'12M_Deployment'!K28*Control!$C$54*Control!$C$55/12</f>
        <v/>
      </c>
      <c r="L11" s="14">
        <f>'12M_Deployment'!L28*Control!$C$54*Control!$C$55/12</f>
        <v/>
      </c>
      <c r="M11" s="14">
        <f>'12M_Deployment'!M28*Control!$C$54*Control!$C$55/12</f>
        <v/>
      </c>
      <c r="N11" s="14">
        <f>'12M_Deployment'!N28*Control!$C$54*Control!$C$55/12</f>
        <v/>
      </c>
      <c r="O11" s="14">
        <f>'12M_Deployment'!O28*Control!$C$54*Control!$C$55/12</f>
        <v/>
      </c>
    </row>
    <row r="12">
      <c r="A12" s="7" t="inlineStr">
        <is>
          <t>Technician payroll</t>
        </is>
      </c>
      <c r="B12" s="5" t="inlineStr">
        <is>
          <t>ZAR'000</t>
        </is>
      </c>
      <c r="D12" s="14">
        <f>'12M_Deployment'!D19*Control!$C$56*Control!$C$57/12</f>
        <v/>
      </c>
      <c r="E12" s="14">
        <f>'12M_Deployment'!E19*Control!$C$56*Control!$C$57/12</f>
        <v/>
      </c>
      <c r="F12" s="14">
        <f>'12M_Deployment'!F19*Control!$C$56*Control!$C$57/12</f>
        <v/>
      </c>
      <c r="G12" s="14">
        <f>'12M_Deployment'!G19*Control!$C$56*Control!$C$57/12</f>
        <v/>
      </c>
      <c r="H12" s="14">
        <f>'12M_Deployment'!H19*Control!$C$56*Control!$C$57/12</f>
        <v/>
      </c>
      <c r="I12" s="14">
        <f>'12M_Deployment'!I19*Control!$C$56*Control!$C$57/12</f>
        <v/>
      </c>
      <c r="J12" s="14">
        <f>'12M_Deployment'!J19*Control!$C$56*Control!$C$57/12</f>
        <v/>
      </c>
      <c r="K12" s="14">
        <f>'12M_Deployment'!K19*Control!$C$56*Control!$C$57/12</f>
        <v/>
      </c>
      <c r="L12" s="14">
        <f>'12M_Deployment'!L19*Control!$C$56*Control!$C$57/12</f>
        <v/>
      </c>
      <c r="M12" s="14">
        <f>'12M_Deployment'!M19*Control!$C$56*Control!$C$57/12</f>
        <v/>
      </c>
      <c r="N12" s="14">
        <f>'12M_Deployment'!N19*Control!$C$56*Control!$C$57/12</f>
        <v/>
      </c>
      <c r="O12" s="14">
        <f>'12M_Deployment'!O19*Control!$C$56*Control!$C$57/12</f>
        <v/>
      </c>
    </row>
    <row r="13">
      <c r="A13" s="7" t="inlineStr">
        <is>
          <t>Electrician payroll</t>
        </is>
      </c>
      <c r="B13" s="5" t="inlineStr">
        <is>
          <t>ZAR'000</t>
        </is>
      </c>
      <c r="D13" s="14">
        <f>'12M_Deployment'!D19*Control!$C$58*Control!$C$59/12</f>
        <v/>
      </c>
      <c r="E13" s="14">
        <f>'12M_Deployment'!E19*Control!$C$58*Control!$C$59/12</f>
        <v/>
      </c>
      <c r="F13" s="14">
        <f>'12M_Deployment'!F19*Control!$C$58*Control!$C$59/12</f>
        <v/>
      </c>
      <c r="G13" s="14">
        <f>'12M_Deployment'!G19*Control!$C$58*Control!$C$59/12</f>
        <v/>
      </c>
      <c r="H13" s="14">
        <f>'12M_Deployment'!H19*Control!$C$58*Control!$C$59/12</f>
        <v/>
      </c>
      <c r="I13" s="14">
        <f>'12M_Deployment'!I19*Control!$C$58*Control!$C$59/12</f>
        <v/>
      </c>
      <c r="J13" s="14">
        <f>'12M_Deployment'!J19*Control!$C$58*Control!$C$59/12</f>
        <v/>
      </c>
      <c r="K13" s="14">
        <f>'12M_Deployment'!K19*Control!$C$58*Control!$C$59/12</f>
        <v/>
      </c>
      <c r="L13" s="14">
        <f>'12M_Deployment'!L19*Control!$C$58*Control!$C$59/12</f>
        <v/>
      </c>
      <c r="M13" s="14">
        <f>'12M_Deployment'!M19*Control!$C$58*Control!$C$59/12</f>
        <v/>
      </c>
      <c r="N13" s="14">
        <f>'12M_Deployment'!N19*Control!$C$58*Control!$C$59/12</f>
        <v/>
      </c>
      <c r="O13" s="14">
        <f>'12M_Deployment'!O19*Control!$C$58*Control!$C$59/12</f>
        <v/>
      </c>
    </row>
    <row r="14">
      <c r="A14" s="7" t="inlineStr">
        <is>
          <t>Gross payroll</t>
        </is>
      </c>
      <c r="B14" s="5" t="inlineStr">
        <is>
          <t>ZAR'000</t>
        </is>
      </c>
      <c r="D14" s="14">
        <f>SUM(D10:D13)</f>
        <v/>
      </c>
      <c r="E14" s="14">
        <f>SUM(E10:E13)</f>
        <v/>
      </c>
      <c r="F14" s="14">
        <f>SUM(F10:F13)</f>
        <v/>
      </c>
      <c r="G14" s="14">
        <f>SUM(G10:G13)</f>
        <v/>
      </c>
      <c r="H14" s="14">
        <f>SUM(H10:H13)</f>
        <v/>
      </c>
      <c r="I14" s="14">
        <f>SUM(I10:I13)</f>
        <v/>
      </c>
      <c r="J14" s="14">
        <f>SUM(J10:J13)</f>
        <v/>
      </c>
      <c r="K14" s="14">
        <f>SUM(K10:K13)</f>
        <v/>
      </c>
      <c r="L14" s="14">
        <f>SUM(L10:L13)</f>
        <v/>
      </c>
      <c r="M14" s="14">
        <f>SUM(M10:M13)</f>
        <v/>
      </c>
      <c r="N14" s="14">
        <f>SUM(N10:N13)</f>
        <v/>
      </c>
      <c r="O14" s="14">
        <f>SUM(O10:O13)</f>
        <v/>
      </c>
    </row>
    <row r="15">
      <c r="A15" s="7" t="inlineStr">
        <is>
          <t>Benefits</t>
        </is>
      </c>
      <c r="B15" s="5" t="inlineStr">
        <is>
          <t>ZAR'000</t>
        </is>
      </c>
      <c r="D15" s="14">
        <f>D14*Control!$C$60</f>
        <v/>
      </c>
      <c r="E15" s="14">
        <f>E14*Control!$C$60</f>
        <v/>
      </c>
      <c r="F15" s="14">
        <f>F14*Control!$C$60</f>
        <v/>
      </c>
      <c r="G15" s="14">
        <f>G14*Control!$C$60</f>
        <v/>
      </c>
      <c r="H15" s="14">
        <f>H14*Control!$C$60</f>
        <v/>
      </c>
      <c r="I15" s="14">
        <f>I14*Control!$C$60</f>
        <v/>
      </c>
      <c r="J15" s="14">
        <f>J14*Control!$C$60</f>
        <v/>
      </c>
      <c r="K15" s="14">
        <f>K14*Control!$C$60</f>
        <v/>
      </c>
      <c r="L15" s="14">
        <f>L14*Control!$C$60</f>
        <v/>
      </c>
      <c r="M15" s="14">
        <f>M14*Control!$C$60</f>
        <v/>
      </c>
      <c r="N15" s="14">
        <f>N14*Control!$C$60</f>
        <v/>
      </c>
      <c r="O15" s="14">
        <f>O14*Control!$C$60</f>
        <v/>
      </c>
    </row>
    <row r="16">
      <c r="A16" s="2" t="inlineStr">
        <is>
          <t>Salaries &amp; benefits</t>
        </is>
      </c>
      <c r="B16" s="5" t="inlineStr">
        <is>
          <t>ZAR'000</t>
        </is>
      </c>
      <c r="D16" s="14">
        <f>D14+D15</f>
        <v/>
      </c>
      <c r="E16" s="14">
        <f>E14+E15</f>
        <v/>
      </c>
      <c r="F16" s="14">
        <f>F14+F15</f>
        <v/>
      </c>
      <c r="G16" s="14">
        <f>G14+G15</f>
        <v/>
      </c>
      <c r="H16" s="14">
        <f>H14+H15</f>
        <v/>
      </c>
      <c r="I16" s="14">
        <f>I14+I15</f>
        <v/>
      </c>
      <c r="J16" s="14">
        <f>J14+J15</f>
        <v/>
      </c>
      <c r="K16" s="14">
        <f>K14+K15</f>
        <v/>
      </c>
      <c r="L16" s="14">
        <f>L14+L15</f>
        <v/>
      </c>
      <c r="M16" s="14">
        <f>M14+M15</f>
        <v/>
      </c>
      <c r="N16" s="14">
        <f>N14+N15</f>
        <v/>
      </c>
      <c r="O16" s="14">
        <f>O14+O15</f>
        <v/>
      </c>
    </row>
    <row r="17">
      <c r="A17" s="7" t="inlineStr">
        <is>
          <t>Travel / accommodation</t>
        </is>
      </c>
      <c r="B17" s="5" t="inlineStr">
        <is>
          <t>ZAR'000</t>
        </is>
      </c>
      <c r="D17" s="14">
        <f>D14*Control!$C$61+'12M_Deployment'!D32*Control!$C$62</f>
        <v/>
      </c>
      <c r="E17" s="14">
        <f>E14*Control!$C$61+'12M_Deployment'!E32*Control!$C$62</f>
        <v/>
      </c>
      <c r="F17" s="14">
        <f>F14*Control!$C$61+'12M_Deployment'!F32*Control!$C$62</f>
        <v/>
      </c>
      <c r="G17" s="14">
        <f>G14*Control!$C$61+'12M_Deployment'!G32*Control!$C$62</f>
        <v/>
      </c>
      <c r="H17" s="14">
        <f>H14*Control!$C$61+'12M_Deployment'!H32*Control!$C$62</f>
        <v/>
      </c>
      <c r="I17" s="14">
        <f>I14*Control!$C$61+'12M_Deployment'!I32*Control!$C$62</f>
        <v/>
      </c>
      <c r="J17" s="14">
        <f>J14*Control!$C$61+'12M_Deployment'!J32*Control!$C$62</f>
        <v/>
      </c>
      <c r="K17" s="14">
        <f>K14*Control!$C$61+'12M_Deployment'!K32*Control!$C$62</f>
        <v/>
      </c>
      <c r="L17" s="14">
        <f>L14*Control!$C$61+'12M_Deployment'!L32*Control!$C$62</f>
        <v/>
      </c>
      <c r="M17" s="14">
        <f>M14*Control!$C$61+'12M_Deployment'!M32*Control!$C$62</f>
        <v/>
      </c>
      <c r="N17" s="14">
        <f>N14*Control!$C$61+'12M_Deployment'!N32*Control!$C$62</f>
        <v/>
      </c>
      <c r="O17" s="14">
        <f>O14*Control!$C$61+'12M_Deployment'!O32*Control!$C$62</f>
        <v/>
      </c>
    </row>
    <row r="18">
      <c r="A18" s="7" t="inlineStr">
        <is>
          <t>Software / storage / monitoring</t>
        </is>
      </c>
      <c r="B18" s="5" t="inlineStr">
        <is>
          <t>ZAR'000</t>
        </is>
      </c>
      <c r="D18" s="14">
        <f>'12M_Deployment'!D49*Control!$C$63+'12M_Deployment'!D28*Control!$C$64+Control!$C$67</f>
        <v/>
      </c>
      <c r="E18" s="14">
        <f>'12M_Deployment'!E49*Control!$C$63+'12M_Deployment'!E28*Control!$C$64+Control!$C$67</f>
        <v/>
      </c>
      <c r="F18" s="14">
        <f>'12M_Deployment'!F49*Control!$C$63+'12M_Deployment'!F28*Control!$C$64+Control!$C$67</f>
        <v/>
      </c>
      <c r="G18" s="14">
        <f>'12M_Deployment'!G49*Control!$C$63+'12M_Deployment'!G28*Control!$C$64+Control!$C$67</f>
        <v/>
      </c>
      <c r="H18" s="14">
        <f>'12M_Deployment'!H49*Control!$C$63+'12M_Deployment'!H28*Control!$C$64+Control!$C$67</f>
        <v/>
      </c>
      <c r="I18" s="14">
        <f>'12M_Deployment'!I49*Control!$C$63+'12M_Deployment'!I28*Control!$C$64+Control!$C$67</f>
        <v/>
      </c>
      <c r="J18" s="14">
        <f>'12M_Deployment'!J49*Control!$C$63+'12M_Deployment'!J28*Control!$C$64+Control!$C$67</f>
        <v/>
      </c>
      <c r="K18" s="14">
        <f>'12M_Deployment'!K49*Control!$C$63+'12M_Deployment'!K28*Control!$C$64+Control!$C$67</f>
        <v/>
      </c>
      <c r="L18" s="14">
        <f>'12M_Deployment'!L49*Control!$C$63+'12M_Deployment'!L28*Control!$C$64+Control!$C$67</f>
        <v/>
      </c>
      <c r="M18" s="14">
        <f>'12M_Deployment'!M49*Control!$C$63+'12M_Deployment'!M28*Control!$C$64+Control!$C$67</f>
        <v/>
      </c>
      <c r="N18" s="14">
        <f>'12M_Deployment'!N49*Control!$C$63+'12M_Deployment'!N28*Control!$C$64+Control!$C$67</f>
        <v/>
      </c>
      <c r="O18" s="14">
        <f>'12M_Deployment'!O49*Control!$C$63+'12M_Deployment'!O28*Control!$C$64+Control!$C$67</f>
        <v/>
      </c>
    </row>
    <row r="19">
      <c r="A19" s="7" t="inlineStr">
        <is>
          <t>Legal fees</t>
        </is>
      </c>
      <c r="B19" s="5" t="inlineStr">
        <is>
          <t>ZAR'000</t>
        </is>
      </c>
      <c r="D19" s="14">
        <f>Control!$C$65</f>
        <v/>
      </c>
      <c r="E19" s="14">
        <f>Control!$C$65</f>
        <v/>
      </c>
      <c r="F19" s="14">
        <f>Control!$C$65</f>
        <v/>
      </c>
      <c r="G19" s="14">
        <f>Control!$C$65</f>
        <v/>
      </c>
      <c r="H19" s="14">
        <f>Control!$C$65</f>
        <v/>
      </c>
      <c r="I19" s="14">
        <f>Control!$C$65</f>
        <v/>
      </c>
      <c r="J19" s="14">
        <f>Control!$C$65</f>
        <v/>
      </c>
      <c r="K19" s="14">
        <f>Control!$C$65</f>
        <v/>
      </c>
      <c r="L19" s="14">
        <f>Control!$C$65</f>
        <v/>
      </c>
      <c r="M19" s="14">
        <f>Control!$C$65</f>
        <v/>
      </c>
      <c r="N19" s="14">
        <f>Control!$C$65</f>
        <v/>
      </c>
      <c r="O19" s="14">
        <f>Control!$C$65</f>
        <v/>
      </c>
    </row>
    <row r="20">
      <c r="A20" s="7" t="inlineStr">
        <is>
          <t>Office rent</t>
        </is>
      </c>
      <c r="B20" s="5" t="inlineStr">
        <is>
          <t>ZAR'000</t>
        </is>
      </c>
      <c r="D20" s="14">
        <f>Control!$C$66</f>
        <v/>
      </c>
      <c r="E20" s="14">
        <f>Control!$C$66</f>
        <v/>
      </c>
      <c r="F20" s="14">
        <f>Control!$C$66</f>
        <v/>
      </c>
      <c r="G20" s="14">
        <f>Control!$C$66</f>
        <v/>
      </c>
      <c r="H20" s="14">
        <f>Control!$C$66</f>
        <v/>
      </c>
      <c r="I20" s="14">
        <f>Control!$C$66</f>
        <v/>
      </c>
      <c r="J20" s="14">
        <f>Control!$C$66</f>
        <v/>
      </c>
      <c r="K20" s="14">
        <f>Control!$C$66</f>
        <v/>
      </c>
      <c r="L20" s="14">
        <f>Control!$C$66</f>
        <v/>
      </c>
      <c r="M20" s="14">
        <f>Control!$C$66</f>
        <v/>
      </c>
      <c r="N20" s="14">
        <f>Control!$C$66</f>
        <v/>
      </c>
      <c r="O20" s="14">
        <f>Control!$C$66</f>
        <v/>
      </c>
    </row>
    <row r="21">
      <c r="A21" s="7" t="inlineStr">
        <is>
          <t>Tools / consumables recurring</t>
        </is>
      </c>
      <c r="B21" s="5" t="inlineStr">
        <is>
          <t>ZAR'000</t>
        </is>
      </c>
      <c r="D21" s="14">
        <f>'12M_Deployment'!D19*Control!$C$68</f>
        <v/>
      </c>
      <c r="E21" s="14">
        <f>'12M_Deployment'!E19*Control!$C$68</f>
        <v/>
      </c>
      <c r="F21" s="14">
        <f>'12M_Deployment'!F19*Control!$C$68</f>
        <v/>
      </c>
      <c r="G21" s="14">
        <f>'12M_Deployment'!G19*Control!$C$68</f>
        <v/>
      </c>
      <c r="H21" s="14">
        <f>'12M_Deployment'!H19*Control!$C$68</f>
        <v/>
      </c>
      <c r="I21" s="14">
        <f>'12M_Deployment'!I19*Control!$C$68</f>
        <v/>
      </c>
      <c r="J21" s="14">
        <f>'12M_Deployment'!J19*Control!$C$68</f>
        <v/>
      </c>
      <c r="K21" s="14">
        <f>'12M_Deployment'!K19*Control!$C$68</f>
        <v/>
      </c>
      <c r="L21" s="14">
        <f>'12M_Deployment'!L19*Control!$C$68</f>
        <v/>
      </c>
      <c r="M21" s="14">
        <f>'12M_Deployment'!M19*Control!$C$68</f>
        <v/>
      </c>
      <c r="N21" s="14">
        <f>'12M_Deployment'!N19*Control!$C$68</f>
        <v/>
      </c>
      <c r="O21" s="14">
        <f>'12M_Deployment'!O19*Control!$C$68</f>
        <v/>
      </c>
    </row>
    <row r="22">
      <c r="A22" s="7" t="inlineStr">
        <is>
          <t>Security &amp; operating insurance</t>
        </is>
      </c>
      <c r="B22" s="5" t="inlineStr">
        <is>
          <t>ZAR'000</t>
        </is>
      </c>
      <c r="D22" s="14">
        <f>'12M_Deployment'!D28*Control!$C$69</f>
        <v/>
      </c>
      <c r="E22" s="14">
        <f>'12M_Deployment'!E28*Control!$C$69</f>
        <v/>
      </c>
      <c r="F22" s="14">
        <f>'12M_Deployment'!F28*Control!$C$69</f>
        <v/>
      </c>
      <c r="G22" s="14">
        <f>'12M_Deployment'!G28*Control!$C$69</f>
        <v/>
      </c>
      <c r="H22" s="14">
        <f>'12M_Deployment'!H28*Control!$C$69</f>
        <v/>
      </c>
      <c r="I22" s="14">
        <f>'12M_Deployment'!I28*Control!$C$69</f>
        <v/>
      </c>
      <c r="J22" s="14">
        <f>'12M_Deployment'!J28*Control!$C$69</f>
        <v/>
      </c>
      <c r="K22" s="14">
        <f>'12M_Deployment'!K28*Control!$C$69</f>
        <v/>
      </c>
      <c r="L22" s="14">
        <f>'12M_Deployment'!L28*Control!$C$69</f>
        <v/>
      </c>
      <c r="M22" s="14">
        <f>'12M_Deployment'!M28*Control!$C$69</f>
        <v/>
      </c>
      <c r="N22" s="14">
        <f>'12M_Deployment'!N28*Control!$C$69</f>
        <v/>
      </c>
      <c r="O22" s="14">
        <f>'12M_Deployment'!O28*Control!$C$69</f>
        <v/>
      </c>
    </row>
    <row r="23">
      <c r="A23" s="7" t="inlineStr">
        <is>
          <t>Other utilities / water</t>
        </is>
      </c>
      <c r="B23" s="5" t="inlineStr">
        <is>
          <t>ZAR'000</t>
        </is>
      </c>
      <c r="D23" s="14">
        <f>'12M_Deployment'!D19*Control!$C$70</f>
        <v/>
      </c>
      <c r="E23" s="14">
        <f>'12M_Deployment'!E19*Control!$C$70</f>
        <v/>
      </c>
      <c r="F23" s="14">
        <f>'12M_Deployment'!F19*Control!$C$70</f>
        <v/>
      </c>
      <c r="G23" s="14">
        <f>'12M_Deployment'!G19*Control!$C$70</f>
        <v/>
      </c>
      <c r="H23" s="14">
        <f>'12M_Deployment'!H19*Control!$C$70</f>
        <v/>
      </c>
      <c r="I23" s="14">
        <f>'12M_Deployment'!I19*Control!$C$70</f>
        <v/>
      </c>
      <c r="J23" s="14">
        <f>'12M_Deployment'!J19*Control!$C$70</f>
        <v/>
      </c>
      <c r="K23" s="14">
        <f>'12M_Deployment'!K19*Control!$C$70</f>
        <v/>
      </c>
      <c r="L23" s="14">
        <f>'12M_Deployment'!L19*Control!$C$70</f>
        <v/>
      </c>
      <c r="M23" s="14">
        <f>'12M_Deployment'!M19*Control!$C$70</f>
        <v/>
      </c>
      <c r="N23" s="14">
        <f>'12M_Deployment'!N19*Control!$C$70</f>
        <v/>
      </c>
      <c r="O23" s="14">
        <f>'12M_Deployment'!O19*Control!$C$70</f>
        <v/>
      </c>
    </row>
    <row r="24">
      <c r="A24" s="19" t="inlineStr">
        <is>
          <t>Total cash opex</t>
        </is>
      </c>
      <c r="B24" s="20" t="inlineStr">
        <is>
          <t>ZAR'000</t>
        </is>
      </c>
      <c r="C24" s="21" t="n"/>
      <c r="D24" s="22">
        <f>SUM(D8,D16:D23)</f>
        <v/>
      </c>
      <c r="E24" s="22">
        <f>SUM(E8,E16:E23)</f>
        <v/>
      </c>
      <c r="F24" s="22">
        <f>SUM(F8,F16:F23)</f>
        <v/>
      </c>
      <c r="G24" s="22">
        <f>SUM(G8,G16:G23)</f>
        <v/>
      </c>
      <c r="H24" s="22">
        <f>SUM(H8,H16:H23)</f>
        <v/>
      </c>
      <c r="I24" s="22">
        <f>SUM(I8,I16:I23)</f>
        <v/>
      </c>
      <c r="J24" s="22">
        <f>SUM(J8,J16:J23)</f>
        <v/>
      </c>
      <c r="K24" s="22">
        <f>SUM(K8,K16:K23)</f>
        <v/>
      </c>
      <c r="L24" s="22">
        <f>SUM(L8,L16:L23)</f>
        <v/>
      </c>
      <c r="M24" s="22">
        <f>SUM(M8,M16:M23)</f>
        <v/>
      </c>
      <c r="N24" s="22">
        <f>SUM(N8,N16:N23)</f>
        <v/>
      </c>
      <c r="O24" s="22">
        <f>SUM(O8,O16:O23)</f>
        <v/>
      </c>
    </row>
    <row r="25">
      <c r="A25" s="19" t="inlineStr">
        <is>
          <t>EBITDA - base case</t>
        </is>
      </c>
      <c r="B25" s="20" t="inlineStr">
        <is>
          <t>ZAR'000</t>
        </is>
      </c>
      <c r="C25" s="21" t="n"/>
      <c r="D25" s="22">
        <f>'12M_Revenue'!D21-D24</f>
        <v/>
      </c>
      <c r="E25" s="22">
        <f>'12M_Revenue'!E21-E24</f>
        <v/>
      </c>
      <c r="F25" s="22">
        <f>'12M_Revenue'!F21-F24</f>
        <v/>
      </c>
      <c r="G25" s="22">
        <f>'12M_Revenue'!G21-G24</f>
        <v/>
      </c>
      <c r="H25" s="22">
        <f>'12M_Revenue'!H21-H24</f>
        <v/>
      </c>
      <c r="I25" s="22">
        <f>'12M_Revenue'!I21-I24</f>
        <v/>
      </c>
      <c r="J25" s="22">
        <f>'12M_Revenue'!J21-J24</f>
        <v/>
      </c>
      <c r="K25" s="22">
        <f>'12M_Revenue'!K21-K24</f>
        <v/>
      </c>
      <c r="L25" s="22">
        <f>'12M_Revenue'!L21-L24</f>
        <v/>
      </c>
      <c r="M25" s="22">
        <f>'12M_Revenue'!M21-M24</f>
        <v/>
      </c>
      <c r="N25" s="22">
        <f>'12M_Revenue'!N21-N24</f>
        <v/>
      </c>
      <c r="O25" s="22">
        <f>'12M_Revenue'!O21-O24</f>
        <v/>
      </c>
    </row>
    <row r="26">
      <c r="A26" s="19" t="inlineStr">
        <is>
          <t>EBITDA - with upside</t>
        </is>
      </c>
      <c r="B26" s="20" t="inlineStr">
        <is>
          <t>ZAR'000</t>
        </is>
      </c>
      <c r="C26" s="21" t="n"/>
      <c r="D26" s="22">
        <f>'12M_Revenue'!D22-D24</f>
        <v/>
      </c>
      <c r="E26" s="22">
        <f>'12M_Revenue'!E22-E24</f>
        <v/>
      </c>
      <c r="F26" s="22">
        <f>'12M_Revenue'!F22-F24</f>
        <v/>
      </c>
      <c r="G26" s="22">
        <f>'12M_Revenue'!G22-G24</f>
        <v/>
      </c>
      <c r="H26" s="22">
        <f>'12M_Revenue'!H22-H24</f>
        <v/>
      </c>
      <c r="I26" s="22">
        <f>'12M_Revenue'!I22-I24</f>
        <v/>
      </c>
      <c r="J26" s="22">
        <f>'12M_Revenue'!J22-J24</f>
        <v/>
      </c>
      <c r="K26" s="22">
        <f>'12M_Revenue'!K22-K24</f>
        <v/>
      </c>
      <c r="L26" s="22">
        <f>'12M_Revenue'!L22-L24</f>
        <v/>
      </c>
      <c r="M26" s="22">
        <f>'12M_Revenue'!M22-M24</f>
        <v/>
      </c>
      <c r="N26" s="22">
        <f>'12M_Revenue'!N22-N24</f>
        <v/>
      </c>
      <c r="O26" s="22">
        <f>'12M_Revenue'!O22-O24</f>
        <v/>
      </c>
    </row>
  </sheetData>
  <mergeCells count="1">
    <mergeCell ref="A1:O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41"/>
  <sheetViews>
    <sheetView showGridLines="0" workbookViewId="0">
      <selection activeCell="A1" sqref="A1"/>
    </sheetView>
  </sheetViews>
  <sheetFormatPr baseColWidth="8" defaultRowHeight="15"/>
  <cols>
    <col width="32" customWidth="1" min="1" max="1"/>
    <col width="16"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12-Month Capex &amp; Deployment Spend</t>
        </is>
      </c>
    </row>
    <row r="2">
      <c r="A2" s="5" t="inlineStr">
        <is>
          <t>This sheet now pulls detailed electrical EPC and miner vendor finance logic from dedicated tabs. Edit a few assumptions in Control and the full cash-timing logic updates.</t>
        </is>
      </c>
    </row>
    <row r="3">
      <c r="D3" s="44" t="n">
        <v>1</v>
      </c>
      <c r="E3" s="44" t="n">
        <v>2</v>
      </c>
      <c r="F3" s="44" t="n">
        <v>3</v>
      </c>
      <c r="G3" s="44" t="n">
        <v>4</v>
      </c>
      <c r="H3" s="44" t="n">
        <v>5</v>
      </c>
      <c r="I3" s="44" t="n">
        <v>6</v>
      </c>
      <c r="J3" s="44" t="n">
        <v>7</v>
      </c>
      <c r="K3" s="44" t="n">
        <v>8</v>
      </c>
      <c r="L3" s="44" t="n">
        <v>9</v>
      </c>
      <c r="M3" s="44" t="n">
        <v>10</v>
      </c>
      <c r="N3" s="44" t="n">
        <v>11</v>
      </c>
      <c r="O3" s="44" t="n">
        <v>12</v>
      </c>
    </row>
    <row r="4">
      <c r="D4" s="17" t="inlineStr">
        <is>
          <t>Jan-26</t>
        </is>
      </c>
      <c r="E4" s="17" t="inlineStr">
        <is>
          <t>Feb-26</t>
        </is>
      </c>
      <c r="F4" s="17" t="inlineStr">
        <is>
          <t>Mar-26</t>
        </is>
      </c>
      <c r="G4" s="17" t="inlineStr">
        <is>
          <t>Apr-26</t>
        </is>
      </c>
      <c r="H4" s="17" t="inlineStr">
        <is>
          <t>May-26</t>
        </is>
      </c>
      <c r="I4" s="17" t="inlineStr">
        <is>
          <t>Jun-26</t>
        </is>
      </c>
      <c r="J4" s="17" t="inlineStr">
        <is>
          <t>Jul-26</t>
        </is>
      </c>
      <c r="K4" s="17" t="inlineStr">
        <is>
          <t>Aug-26</t>
        </is>
      </c>
      <c r="L4" s="17" t="inlineStr">
        <is>
          <t>Sep-26</t>
        </is>
      </c>
      <c r="M4" s="17" t="inlineStr">
        <is>
          <t>Oct-26</t>
        </is>
      </c>
      <c r="N4" s="17" t="inlineStr">
        <is>
          <t>Nov-26</t>
        </is>
      </c>
      <c r="O4" s="17" t="inlineStr">
        <is>
          <t>Dec-26</t>
        </is>
      </c>
    </row>
    <row r="5">
      <c r="A5" s="7" t="inlineStr">
        <is>
          <t>New MW commissioned</t>
        </is>
      </c>
      <c r="B5" s="5" t="inlineStr">
        <is>
          <t>MW</t>
        </is>
      </c>
      <c r="D5" s="14">
        <f>'12M_Deployment'!D24</f>
        <v/>
      </c>
      <c r="E5" s="14">
        <f>'12M_Deployment'!E24</f>
        <v/>
      </c>
      <c r="F5" s="14">
        <f>'12M_Deployment'!F24</f>
        <v/>
      </c>
      <c r="G5" s="14">
        <f>'12M_Deployment'!G24</f>
        <v/>
      </c>
      <c r="H5" s="14">
        <f>'12M_Deployment'!H24</f>
        <v/>
      </c>
      <c r="I5" s="14">
        <f>'12M_Deployment'!I24</f>
        <v/>
      </c>
      <c r="J5" s="14">
        <f>'12M_Deployment'!J24</f>
        <v/>
      </c>
      <c r="K5" s="14">
        <f>'12M_Deployment'!K24</f>
        <v/>
      </c>
      <c r="L5" s="14">
        <f>'12M_Deployment'!L24</f>
        <v/>
      </c>
      <c r="M5" s="14">
        <f>'12M_Deployment'!M24</f>
        <v/>
      </c>
      <c r="N5" s="14">
        <f>'12M_Deployment'!N24</f>
        <v/>
      </c>
      <c r="O5" s="14">
        <f>'12M_Deployment'!O24</f>
        <v/>
      </c>
    </row>
    <row r="6">
      <c r="A6" s="7" t="inlineStr">
        <is>
          <t>New containers commissioned</t>
        </is>
      </c>
      <c r="B6" s="5" t="inlineStr">
        <is>
          <t>containers</t>
        </is>
      </c>
      <c r="D6" s="14">
        <f>'12M_Deployment'!D44</f>
        <v/>
      </c>
      <c r="E6" s="14">
        <f>'12M_Deployment'!E44</f>
        <v/>
      </c>
      <c r="F6" s="14">
        <f>'12M_Deployment'!F44</f>
        <v/>
      </c>
      <c r="G6" s="14">
        <f>'12M_Deployment'!G44</f>
        <v/>
      </c>
      <c r="H6" s="14">
        <f>'12M_Deployment'!H44</f>
        <v/>
      </c>
      <c r="I6" s="14">
        <f>'12M_Deployment'!I44</f>
        <v/>
      </c>
      <c r="J6" s="14">
        <f>'12M_Deployment'!J44</f>
        <v/>
      </c>
      <c r="K6" s="14">
        <f>'12M_Deployment'!K44</f>
        <v/>
      </c>
      <c r="L6" s="14">
        <f>'12M_Deployment'!L44</f>
        <v/>
      </c>
      <c r="M6" s="14">
        <f>'12M_Deployment'!M44</f>
        <v/>
      </c>
      <c r="N6" s="14">
        <f>'12M_Deployment'!N44</f>
        <v/>
      </c>
      <c r="O6" s="14">
        <f>'12M_Deployment'!O44</f>
        <v/>
      </c>
    </row>
    <row r="7">
      <c r="A7" s="7" t="inlineStr">
        <is>
          <t>New solar MW</t>
        </is>
      </c>
      <c r="B7" s="5" t="inlineStr">
        <is>
          <t>MW</t>
        </is>
      </c>
      <c r="D7" s="14">
        <f>'12M_Deployment'!D23</f>
        <v/>
      </c>
      <c r="E7" s="14">
        <f>'12M_Deployment'!E23</f>
        <v/>
      </c>
      <c r="F7" s="14">
        <f>'12M_Deployment'!F23</f>
        <v/>
      </c>
      <c r="G7" s="14">
        <f>'12M_Deployment'!G23</f>
        <v/>
      </c>
      <c r="H7" s="14">
        <f>'12M_Deployment'!H23</f>
        <v/>
      </c>
      <c r="I7" s="14">
        <f>'12M_Deployment'!I23</f>
        <v/>
      </c>
      <c r="J7" s="14">
        <f>'12M_Deployment'!J23</f>
        <v/>
      </c>
      <c r="K7" s="14">
        <f>'12M_Deployment'!K23</f>
        <v/>
      </c>
      <c r="L7" s="14">
        <f>'12M_Deployment'!L23</f>
        <v/>
      </c>
      <c r="M7" s="14">
        <f>'12M_Deployment'!M23</f>
        <v/>
      </c>
      <c r="N7" s="14">
        <f>'12M_Deployment'!N23</f>
        <v/>
      </c>
      <c r="O7" s="14">
        <f>'12M_Deployment'!O23</f>
        <v/>
      </c>
    </row>
    <row r="8">
      <c r="A8" s="7" t="inlineStr">
        <is>
          <t>New FTE onboarded</t>
        </is>
      </c>
      <c r="B8" s="5" t="inlineStr">
        <is>
          <t>FTE</t>
        </is>
      </c>
      <c r="D8" s="14">
        <f>'12M_Deployment'!D52</f>
        <v/>
      </c>
      <c r="E8" s="14">
        <f>'12M_Deployment'!E52</f>
        <v/>
      </c>
      <c r="F8" s="14">
        <f>'12M_Deployment'!F52</f>
        <v/>
      </c>
      <c r="G8" s="14">
        <f>'12M_Deployment'!G52</f>
        <v/>
      </c>
      <c r="H8" s="14">
        <f>'12M_Deployment'!H52</f>
        <v/>
      </c>
      <c r="I8" s="14">
        <f>'12M_Deployment'!I52</f>
        <v/>
      </c>
      <c r="J8" s="14">
        <f>'12M_Deployment'!J52</f>
        <v/>
      </c>
      <c r="K8" s="14">
        <f>'12M_Deployment'!K52</f>
        <v/>
      </c>
      <c r="L8" s="14">
        <f>'12M_Deployment'!L52</f>
        <v/>
      </c>
      <c r="M8" s="14">
        <f>'12M_Deployment'!M52</f>
        <v/>
      </c>
      <c r="N8" s="14">
        <f>'12M_Deployment'!N52</f>
        <v/>
      </c>
      <c r="O8" s="14">
        <f>'12M_Deployment'!O52</f>
        <v/>
      </c>
    </row>
    <row r="10">
      <c r="A10" s="7" t="inlineStr">
        <is>
          <t>ASIC hardware capex basis</t>
        </is>
      </c>
      <c r="B10" s="5" t="inlineStr">
        <is>
          <t>ZAR'000</t>
        </is>
      </c>
      <c r="D10" s="14">
        <f>('12M_Deployment'!D24/(1+Control!$C$34))*1000000/Control!$C$32*Control!$C$33*Control!$C$4/1000</f>
        <v/>
      </c>
      <c r="E10" s="14">
        <f>('12M_Deployment'!E24/(1+Control!$C$34))*1000000/Control!$C$32*Control!$C$33*Control!$C$4/1000</f>
        <v/>
      </c>
      <c r="F10" s="14">
        <f>('12M_Deployment'!F24/(1+Control!$C$34))*1000000/Control!$C$32*Control!$C$33*Control!$C$4/1000</f>
        <v/>
      </c>
      <c r="G10" s="14">
        <f>('12M_Deployment'!G24/(1+Control!$C$34))*1000000/Control!$C$32*Control!$C$33*Control!$C$4/1000</f>
        <v/>
      </c>
      <c r="H10" s="14">
        <f>('12M_Deployment'!H24/(1+Control!$C$34))*1000000/Control!$C$32*Control!$C$33*Control!$C$4/1000</f>
        <v/>
      </c>
      <c r="I10" s="14">
        <f>('12M_Deployment'!I24/(1+Control!$C$34))*1000000/Control!$C$32*Control!$C$33*Control!$C$4/1000</f>
        <v/>
      </c>
      <c r="J10" s="14">
        <f>('12M_Deployment'!J24/(1+Control!$C$34))*1000000/Control!$C$32*Control!$C$33*Control!$C$4/1000</f>
        <v/>
      </c>
      <c r="K10" s="14">
        <f>('12M_Deployment'!K24/(1+Control!$C$34))*1000000/Control!$C$32*Control!$C$33*Control!$C$4/1000</f>
        <v/>
      </c>
      <c r="L10" s="14">
        <f>('12M_Deployment'!L24/(1+Control!$C$34))*1000000/Control!$C$32*Control!$C$33*Control!$C$4/1000</f>
        <v/>
      </c>
      <c r="M10" s="14">
        <f>('12M_Deployment'!M24/(1+Control!$C$34))*1000000/Control!$C$32*Control!$C$33*Control!$C$4/1000</f>
        <v/>
      </c>
      <c r="N10" s="14">
        <f>('12M_Deployment'!N24/(1+Control!$C$34))*1000000/Control!$C$32*Control!$C$33*Control!$C$4/1000</f>
        <v/>
      </c>
      <c r="O10" s="14">
        <f>('12M_Deployment'!O24/(1+Control!$C$34))*1000000/Control!$C$32*Control!$C$33*Control!$C$4/1000</f>
        <v/>
      </c>
    </row>
    <row r="11">
      <c r="A11" s="7" t="inlineStr">
        <is>
          <t>Hydro container capex basis</t>
        </is>
      </c>
      <c r="B11" s="5" t="inlineStr">
        <is>
          <t>ZAR'000</t>
        </is>
      </c>
      <c r="D11" s="14">
        <f>'12M_Deployment'!D44*Control!$C$36*Control!$C$4/1000</f>
        <v/>
      </c>
      <c r="E11" s="14">
        <f>'12M_Deployment'!E44*Control!$C$36*Control!$C$4/1000</f>
        <v/>
      </c>
      <c r="F11" s="14">
        <f>'12M_Deployment'!F44*Control!$C$36*Control!$C$4/1000</f>
        <v/>
      </c>
      <c r="G11" s="14">
        <f>'12M_Deployment'!G44*Control!$C$36*Control!$C$4/1000</f>
        <v/>
      </c>
      <c r="H11" s="14">
        <f>'12M_Deployment'!H44*Control!$C$36*Control!$C$4/1000</f>
        <v/>
      </c>
      <c r="I11" s="14">
        <f>'12M_Deployment'!I44*Control!$C$36*Control!$C$4/1000</f>
        <v/>
      </c>
      <c r="J11" s="14">
        <f>'12M_Deployment'!J44*Control!$C$36*Control!$C$4/1000</f>
        <v/>
      </c>
      <c r="K11" s="14">
        <f>'12M_Deployment'!K44*Control!$C$36*Control!$C$4/1000</f>
        <v/>
      </c>
      <c r="L11" s="14">
        <f>'12M_Deployment'!L44*Control!$C$36*Control!$C$4/1000</f>
        <v/>
      </c>
      <c r="M11" s="14">
        <f>'12M_Deployment'!M44*Control!$C$36*Control!$C$4/1000</f>
        <v/>
      </c>
      <c r="N11" s="14">
        <f>'12M_Deployment'!N44*Control!$C$36*Control!$C$4/1000</f>
        <v/>
      </c>
      <c r="O11" s="14">
        <f>'12M_Deployment'!O44*Control!$C$36*Control!$C$4/1000</f>
        <v/>
      </c>
    </row>
    <row r="12">
      <c r="A12" s="7" t="inlineStr">
        <is>
          <t>Electrical EPC basis (fixed/site + variable/MW)</t>
        </is>
      </c>
      <c r="B12" s="5" t="inlineStr">
        <is>
          <t>ZAR'000</t>
        </is>
      </c>
      <c r="D12" s="14">
        <f>'12M_Deployment'!D32*CAPEX_Electrical_Detail!$C$26+'12M_Deployment'!D24*CAPEX_Electrical_Detail!$C$27</f>
        <v/>
      </c>
      <c r="E12" s="14">
        <f>'12M_Deployment'!E32*CAPEX_Electrical_Detail!$C$26+'12M_Deployment'!E24*CAPEX_Electrical_Detail!$C$27</f>
        <v/>
      </c>
      <c r="F12" s="14">
        <f>'12M_Deployment'!F32*CAPEX_Electrical_Detail!$C$26+'12M_Deployment'!F24*CAPEX_Electrical_Detail!$C$27</f>
        <v/>
      </c>
      <c r="G12" s="14">
        <f>'12M_Deployment'!G32*CAPEX_Electrical_Detail!$C$26+'12M_Deployment'!G24*CAPEX_Electrical_Detail!$C$27</f>
        <v/>
      </c>
      <c r="H12" s="14">
        <f>'12M_Deployment'!H32*CAPEX_Electrical_Detail!$C$26+'12M_Deployment'!H24*CAPEX_Electrical_Detail!$C$27</f>
        <v/>
      </c>
      <c r="I12" s="14">
        <f>'12M_Deployment'!I32*CAPEX_Electrical_Detail!$C$26+'12M_Deployment'!I24*CAPEX_Electrical_Detail!$C$27</f>
        <v/>
      </c>
      <c r="J12" s="14">
        <f>'12M_Deployment'!J32*CAPEX_Electrical_Detail!$C$26+'12M_Deployment'!J24*CAPEX_Electrical_Detail!$C$27</f>
        <v/>
      </c>
      <c r="K12" s="14">
        <f>'12M_Deployment'!K32*CAPEX_Electrical_Detail!$C$26+'12M_Deployment'!K24*CAPEX_Electrical_Detail!$C$27</f>
        <v/>
      </c>
      <c r="L12" s="14">
        <f>'12M_Deployment'!L32*CAPEX_Electrical_Detail!$C$26+'12M_Deployment'!L24*CAPEX_Electrical_Detail!$C$27</f>
        <v/>
      </c>
      <c r="M12" s="14">
        <f>'12M_Deployment'!M32*CAPEX_Electrical_Detail!$C$26+'12M_Deployment'!M24*CAPEX_Electrical_Detail!$C$27</f>
        <v/>
      </c>
      <c r="N12" s="14">
        <f>'12M_Deployment'!N32*CAPEX_Electrical_Detail!$C$26+'12M_Deployment'!N24*CAPEX_Electrical_Detail!$C$27</f>
        <v/>
      </c>
      <c r="O12" s="14">
        <f>'12M_Deployment'!O32*CAPEX_Electrical_Detail!$C$26+'12M_Deployment'!O24*CAPEX_Electrical_Detail!$C$27</f>
        <v/>
      </c>
    </row>
    <row r="13">
      <c r="A13" s="7" t="inlineStr">
        <is>
          <t>Solar PV capex basis</t>
        </is>
      </c>
      <c r="B13" s="5" t="inlineStr">
        <is>
          <t>ZAR'000</t>
        </is>
      </c>
      <c r="D13" s="14">
        <f>'12M_Deployment'!D23*Control!$C$27</f>
        <v/>
      </c>
      <c r="E13" s="14">
        <f>'12M_Deployment'!E23*Control!$C$27</f>
        <v/>
      </c>
      <c r="F13" s="14">
        <f>'12M_Deployment'!F23*Control!$C$27</f>
        <v/>
      </c>
      <c r="G13" s="14">
        <f>'12M_Deployment'!G23*Control!$C$27</f>
        <v/>
      </c>
      <c r="H13" s="14">
        <f>'12M_Deployment'!H23*Control!$C$27</f>
        <v/>
      </c>
      <c r="I13" s="14">
        <f>'12M_Deployment'!I23*Control!$C$27</f>
        <v/>
      </c>
      <c r="J13" s="14">
        <f>'12M_Deployment'!J23*Control!$C$27</f>
        <v/>
      </c>
      <c r="K13" s="14">
        <f>'12M_Deployment'!K23*Control!$C$27</f>
        <v/>
      </c>
      <c r="L13" s="14">
        <f>'12M_Deployment'!L23*Control!$C$27</f>
        <v/>
      </c>
      <c r="M13" s="14">
        <f>'12M_Deployment'!M23*Control!$C$27</f>
        <v/>
      </c>
      <c r="N13" s="14">
        <f>'12M_Deployment'!N23*Control!$C$27</f>
        <v/>
      </c>
      <c r="O13" s="14">
        <f>'12M_Deployment'!O23*Control!$C$27</f>
        <v/>
      </c>
    </row>
    <row r="14">
      <c r="A14" s="7" t="inlineStr">
        <is>
          <t>Initial spare parts basis</t>
        </is>
      </c>
      <c r="B14" s="5" t="inlineStr">
        <is>
          <t>ZAR'000</t>
        </is>
      </c>
      <c r="D14" s="14">
        <f>D10*Control!$C$46</f>
        <v/>
      </c>
      <c r="E14" s="14">
        <f>E10*Control!$C$46</f>
        <v/>
      </c>
      <c r="F14" s="14">
        <f>F10*Control!$C$46</f>
        <v/>
      </c>
      <c r="G14" s="14">
        <f>G10*Control!$C$46</f>
        <v/>
      </c>
      <c r="H14" s="14">
        <f>H10*Control!$C$46</f>
        <v/>
      </c>
      <c r="I14" s="14">
        <f>I10*Control!$C$46</f>
        <v/>
      </c>
      <c r="J14" s="14">
        <f>J10*Control!$C$46</f>
        <v/>
      </c>
      <c r="K14" s="14">
        <f>K10*Control!$C$46</f>
        <v/>
      </c>
      <c r="L14" s="14">
        <f>L10*Control!$C$46</f>
        <v/>
      </c>
      <c r="M14" s="14">
        <f>M10*Control!$C$46</f>
        <v/>
      </c>
      <c r="N14" s="14">
        <f>N10*Control!$C$46</f>
        <v/>
      </c>
      <c r="O14" s="14">
        <f>O10*Control!$C$46</f>
        <v/>
      </c>
    </row>
    <row r="15">
      <c r="A15" s="7" t="inlineStr">
        <is>
          <t>Tools/equipment initial basis</t>
        </is>
      </c>
      <c r="B15" s="5" t="inlineStr">
        <is>
          <t>ZAR'000</t>
        </is>
      </c>
      <c r="D15" s="14">
        <f>'12M_Deployment'!D32*Control!$C$47</f>
        <v/>
      </c>
      <c r="E15" s="14">
        <f>'12M_Deployment'!E32*Control!$C$47</f>
        <v/>
      </c>
      <c r="F15" s="14">
        <f>'12M_Deployment'!F32*Control!$C$47</f>
        <v/>
      </c>
      <c r="G15" s="14">
        <f>'12M_Deployment'!G32*Control!$C$47</f>
        <v/>
      </c>
      <c r="H15" s="14">
        <f>'12M_Deployment'!H32*Control!$C$47</f>
        <v/>
      </c>
      <c r="I15" s="14">
        <f>'12M_Deployment'!I32*Control!$C$47</f>
        <v/>
      </c>
      <c r="J15" s="14">
        <f>'12M_Deployment'!J32*Control!$C$47</f>
        <v/>
      </c>
      <c r="K15" s="14">
        <f>'12M_Deployment'!K32*Control!$C$47</f>
        <v/>
      </c>
      <c r="L15" s="14">
        <f>'12M_Deployment'!L32*Control!$C$47</f>
        <v/>
      </c>
      <c r="M15" s="14">
        <f>'12M_Deployment'!M32*Control!$C$47</f>
        <v/>
      </c>
      <c r="N15" s="14">
        <f>'12M_Deployment'!N32*Control!$C$47</f>
        <v/>
      </c>
      <c r="O15" s="14">
        <f>'12M_Deployment'!O32*Control!$C$47</f>
        <v/>
      </c>
    </row>
    <row r="16">
      <c r="A16" s="7" t="inlineStr">
        <is>
          <t>Staff hardware basis</t>
        </is>
      </c>
      <c r="B16" s="5" t="inlineStr">
        <is>
          <t>ZAR'000</t>
        </is>
      </c>
      <c r="D16" s="14">
        <f>'12M_Deployment'!D52*Control!$C$51</f>
        <v/>
      </c>
      <c r="E16" s="14">
        <f>'12M_Deployment'!E52*Control!$C$51</f>
        <v/>
      </c>
      <c r="F16" s="14">
        <f>'12M_Deployment'!F52*Control!$C$51</f>
        <v/>
      </c>
      <c r="G16" s="14">
        <f>'12M_Deployment'!G52*Control!$C$51</f>
        <v/>
      </c>
      <c r="H16" s="14">
        <f>'12M_Deployment'!H52*Control!$C$51</f>
        <v/>
      </c>
      <c r="I16" s="14">
        <f>'12M_Deployment'!I52*Control!$C$51</f>
        <v/>
      </c>
      <c r="J16" s="14">
        <f>'12M_Deployment'!J52*Control!$C$51</f>
        <v/>
      </c>
      <c r="K16" s="14">
        <f>'12M_Deployment'!K52*Control!$C$51</f>
        <v/>
      </c>
      <c r="L16" s="14">
        <f>'12M_Deployment'!L52*Control!$C$51</f>
        <v/>
      </c>
      <c r="M16" s="14">
        <f>'12M_Deployment'!M52*Control!$C$51</f>
        <v/>
      </c>
      <c r="N16" s="14">
        <f>'12M_Deployment'!N52*Control!$C$51</f>
        <v/>
      </c>
      <c r="O16" s="14">
        <f>'12M_Deployment'!O52*Control!$C$51</f>
        <v/>
      </c>
    </row>
    <row r="17">
      <c r="A17" s="7" t="inlineStr">
        <is>
          <t>Freight basis</t>
        </is>
      </c>
      <c r="B17" s="5" t="inlineStr">
        <is>
          <t>ZAR'000</t>
        </is>
      </c>
      <c r="D17" s="14">
        <f>'12M_Deployment'!D44*Control!$C$40*Control!$C$4/1000</f>
        <v/>
      </c>
      <c r="E17" s="14">
        <f>'12M_Deployment'!E44*Control!$C$40*Control!$C$4/1000</f>
        <v/>
      </c>
      <c r="F17" s="14">
        <f>'12M_Deployment'!F44*Control!$C$40*Control!$C$4/1000</f>
        <v/>
      </c>
      <c r="G17" s="14">
        <f>'12M_Deployment'!G44*Control!$C$40*Control!$C$4/1000</f>
        <v/>
      </c>
      <c r="H17" s="14">
        <f>'12M_Deployment'!H44*Control!$C$40*Control!$C$4/1000</f>
        <v/>
      </c>
      <c r="I17" s="14">
        <f>'12M_Deployment'!I44*Control!$C$40*Control!$C$4/1000</f>
        <v/>
      </c>
      <c r="J17" s="14">
        <f>'12M_Deployment'!J44*Control!$C$40*Control!$C$4/1000</f>
        <v/>
      </c>
      <c r="K17" s="14">
        <f>'12M_Deployment'!K44*Control!$C$40*Control!$C$4/1000</f>
        <v/>
      </c>
      <c r="L17" s="14">
        <f>'12M_Deployment'!L44*Control!$C$40*Control!$C$4/1000</f>
        <v/>
      </c>
      <c r="M17" s="14">
        <f>'12M_Deployment'!M44*Control!$C$40*Control!$C$4/1000</f>
        <v/>
      </c>
      <c r="N17" s="14">
        <f>'12M_Deployment'!N44*Control!$C$40*Control!$C$4/1000</f>
        <v/>
      </c>
      <c r="O17" s="14">
        <f>'12M_Deployment'!O44*Control!$C$40*Control!$C$4/1000</f>
        <v/>
      </c>
    </row>
    <row r="18">
      <c r="A18" s="7" t="inlineStr">
        <is>
          <t>Port/clearing basis</t>
        </is>
      </c>
      <c r="B18" s="5" t="inlineStr">
        <is>
          <t>ZAR'000</t>
        </is>
      </c>
      <c r="D18" s="14">
        <f>'12M_Deployment'!D44*Control!$C$41</f>
        <v/>
      </c>
      <c r="E18" s="14">
        <f>'12M_Deployment'!E44*Control!$C$41</f>
        <v/>
      </c>
      <c r="F18" s="14">
        <f>'12M_Deployment'!F44*Control!$C$41</f>
        <v/>
      </c>
      <c r="G18" s="14">
        <f>'12M_Deployment'!G44*Control!$C$41</f>
        <v/>
      </c>
      <c r="H18" s="14">
        <f>'12M_Deployment'!H44*Control!$C$41</f>
        <v/>
      </c>
      <c r="I18" s="14">
        <f>'12M_Deployment'!I44*Control!$C$41</f>
        <v/>
      </c>
      <c r="J18" s="14">
        <f>'12M_Deployment'!J44*Control!$C$41</f>
        <v/>
      </c>
      <c r="K18" s="14">
        <f>'12M_Deployment'!K44*Control!$C$41</f>
        <v/>
      </c>
      <c r="L18" s="14">
        <f>'12M_Deployment'!L44*Control!$C$41</f>
        <v/>
      </c>
      <c r="M18" s="14">
        <f>'12M_Deployment'!M44*Control!$C$41</f>
        <v/>
      </c>
      <c r="N18" s="14">
        <f>'12M_Deployment'!N44*Control!$C$41</f>
        <v/>
      </c>
      <c r="O18" s="14">
        <f>'12M_Deployment'!O44*Control!$C$41</f>
        <v/>
      </c>
    </row>
    <row r="19">
      <c r="A19" s="7" t="inlineStr">
        <is>
          <t>Inland trucking basis</t>
        </is>
      </c>
      <c r="B19" s="5" t="inlineStr">
        <is>
          <t>ZAR'000</t>
        </is>
      </c>
      <c r="D19" s="14">
        <f>'12M_Deployment'!D44*Control!$C$42</f>
        <v/>
      </c>
      <c r="E19" s="14">
        <f>'12M_Deployment'!E44*Control!$C$42</f>
        <v/>
      </c>
      <c r="F19" s="14">
        <f>'12M_Deployment'!F44*Control!$C$42</f>
        <v/>
      </c>
      <c r="G19" s="14">
        <f>'12M_Deployment'!G44*Control!$C$42</f>
        <v/>
      </c>
      <c r="H19" s="14">
        <f>'12M_Deployment'!H44*Control!$C$42</f>
        <v/>
      </c>
      <c r="I19" s="14">
        <f>'12M_Deployment'!I44*Control!$C$42</f>
        <v/>
      </c>
      <c r="J19" s="14">
        <f>'12M_Deployment'!J44*Control!$C$42</f>
        <v/>
      </c>
      <c r="K19" s="14">
        <f>'12M_Deployment'!K44*Control!$C$42</f>
        <v/>
      </c>
      <c r="L19" s="14">
        <f>'12M_Deployment'!L44*Control!$C$42</f>
        <v/>
      </c>
      <c r="M19" s="14">
        <f>'12M_Deployment'!M44*Control!$C$42</f>
        <v/>
      </c>
      <c r="N19" s="14">
        <f>'12M_Deployment'!N44*Control!$C$42</f>
        <v/>
      </c>
      <c r="O19" s="14">
        <f>'12M_Deployment'!O44*Control!$C$42</f>
        <v/>
      </c>
    </row>
    <row r="20">
      <c r="A20" s="7" t="inlineStr">
        <is>
          <t>Crane/rigging basis</t>
        </is>
      </c>
      <c r="B20" s="5" t="inlineStr">
        <is>
          <t>ZAR'000</t>
        </is>
      </c>
      <c r="D20" s="14">
        <f>'12M_Deployment'!D44*Control!$C$43</f>
        <v/>
      </c>
      <c r="E20" s="14">
        <f>'12M_Deployment'!E44*Control!$C$43</f>
        <v/>
      </c>
      <c r="F20" s="14">
        <f>'12M_Deployment'!F44*Control!$C$43</f>
        <v/>
      </c>
      <c r="G20" s="14">
        <f>'12M_Deployment'!G44*Control!$C$43</f>
        <v/>
      </c>
      <c r="H20" s="14">
        <f>'12M_Deployment'!H44*Control!$C$43</f>
        <v/>
      </c>
      <c r="I20" s="14">
        <f>'12M_Deployment'!I44*Control!$C$43</f>
        <v/>
      </c>
      <c r="J20" s="14">
        <f>'12M_Deployment'!J44*Control!$C$43</f>
        <v/>
      </c>
      <c r="K20" s="14">
        <f>'12M_Deployment'!K44*Control!$C$43</f>
        <v/>
      </c>
      <c r="L20" s="14">
        <f>'12M_Deployment'!L44*Control!$C$43</f>
        <v/>
      </c>
      <c r="M20" s="14">
        <f>'12M_Deployment'!M44*Control!$C$43</f>
        <v/>
      </c>
      <c r="N20" s="14">
        <f>'12M_Deployment'!N44*Control!$C$43</f>
        <v/>
      </c>
      <c r="O20" s="14">
        <f>'12M_Deployment'!O44*Control!$C$43</f>
        <v/>
      </c>
    </row>
    <row r="21">
      <c r="A21" s="7" t="inlineStr">
        <is>
          <t>Cargo insurance basis</t>
        </is>
      </c>
      <c r="B21" s="5" t="inlineStr">
        <is>
          <t>ZAR'000</t>
        </is>
      </c>
      <c r="D21" s="14">
        <f>(D10+D11)*Control!$C$44</f>
        <v/>
      </c>
      <c r="E21" s="14">
        <f>(E10+E11)*Control!$C$44</f>
        <v/>
      </c>
      <c r="F21" s="14">
        <f>(F10+F11)*Control!$C$44</f>
        <v/>
      </c>
      <c r="G21" s="14">
        <f>(G10+G11)*Control!$C$44</f>
        <v/>
      </c>
      <c r="H21" s="14">
        <f>(H10+H11)*Control!$C$44</f>
        <v/>
      </c>
      <c r="I21" s="14">
        <f>(I10+I11)*Control!$C$44</f>
        <v/>
      </c>
      <c r="J21" s="14">
        <f>(J10+J11)*Control!$C$44</f>
        <v/>
      </c>
      <c r="K21" s="14">
        <f>(K10+K11)*Control!$C$44</f>
        <v/>
      </c>
      <c r="L21" s="14">
        <f>(L10+L11)*Control!$C$44</f>
        <v/>
      </c>
      <c r="M21" s="14">
        <f>(M10+M11)*Control!$C$44</f>
        <v/>
      </c>
      <c r="N21" s="14">
        <f>(N10+N11)*Control!$C$44</f>
        <v/>
      </c>
      <c r="O21" s="14">
        <f>(O10+O11)*Control!$C$44</f>
        <v/>
      </c>
    </row>
    <row r="22">
      <c r="A22" s="7" t="inlineStr">
        <is>
          <t>Import duty basis</t>
        </is>
      </c>
      <c r="B22" s="5" t="inlineStr">
        <is>
          <t>ZAR'000</t>
        </is>
      </c>
      <c r="D22" s="14">
        <f>(D10+D11)*Control!$C$45</f>
        <v/>
      </c>
      <c r="E22" s="14">
        <f>(E10+E11)*Control!$C$45</f>
        <v/>
      </c>
      <c r="F22" s="14">
        <f>(F10+F11)*Control!$C$45</f>
        <v/>
      </c>
      <c r="G22" s="14">
        <f>(G10+G11)*Control!$C$45</f>
        <v/>
      </c>
      <c r="H22" s="14">
        <f>(H10+H11)*Control!$C$45</f>
        <v/>
      </c>
      <c r="I22" s="14">
        <f>(I10+I11)*Control!$C$45</f>
        <v/>
      </c>
      <c r="J22" s="14">
        <f>(J10+J11)*Control!$C$45</f>
        <v/>
      </c>
      <c r="K22" s="14">
        <f>(K10+K11)*Control!$C$45</f>
        <v/>
      </c>
      <c r="L22" s="14">
        <f>(L10+L11)*Control!$C$45</f>
        <v/>
      </c>
      <c r="M22" s="14">
        <f>(M10+M11)*Control!$C$45</f>
        <v/>
      </c>
      <c r="N22" s="14">
        <f>(N10+N11)*Control!$C$45</f>
        <v/>
      </c>
      <c r="O22" s="14">
        <f>(O10+O11)*Control!$C$45</f>
        <v/>
      </c>
    </row>
    <row r="23">
      <c r="A23" s="7" t="inlineStr">
        <is>
          <t>Office/software/legal setup basis</t>
        </is>
      </c>
      <c r="B23" s="5" t="inlineStr">
        <is>
          <t>ZAR'000</t>
        </is>
      </c>
      <c r="D23" s="14">
        <f>IF(D$3=1,Control!$C$48+Control!$C$49+Control!$C$50,0)</f>
        <v/>
      </c>
      <c r="E23" s="14">
        <f>IF(E$3=1,Control!$C$48+Control!$C$49+Control!$C$50,0)</f>
        <v/>
      </c>
      <c r="F23" s="14">
        <f>IF(F$3=1,Control!$C$48+Control!$C$49+Control!$C$50,0)</f>
        <v/>
      </c>
      <c r="G23" s="14">
        <f>IF(G$3=1,Control!$C$48+Control!$C$49+Control!$C$50,0)</f>
        <v/>
      </c>
      <c r="H23" s="14">
        <f>IF(H$3=1,Control!$C$48+Control!$C$49+Control!$C$50,0)</f>
        <v/>
      </c>
      <c r="I23" s="14">
        <f>IF(I$3=1,Control!$C$48+Control!$C$49+Control!$C$50,0)</f>
        <v/>
      </c>
      <c r="J23" s="14">
        <f>IF(J$3=1,Control!$C$48+Control!$C$49+Control!$C$50,0)</f>
        <v/>
      </c>
      <c r="K23" s="14">
        <f>IF(K$3=1,Control!$C$48+Control!$C$49+Control!$C$50,0)</f>
        <v/>
      </c>
      <c r="L23" s="14">
        <f>IF(L$3=1,Control!$C$48+Control!$C$49+Control!$C$50,0)</f>
        <v/>
      </c>
      <c r="M23" s="14">
        <f>IF(M$3=1,Control!$C$48+Control!$C$49+Control!$C$50,0)</f>
        <v/>
      </c>
      <c r="N23" s="14">
        <f>IF(N$3=1,Control!$C$48+Control!$C$49+Control!$C$50,0)</f>
        <v/>
      </c>
      <c r="O23" s="14">
        <f>IF(O$3=1,Control!$C$48+Control!$C$49+Control!$C$50,0)</f>
        <v/>
      </c>
    </row>
    <row r="26">
      <c r="A26" s="7" t="inlineStr">
        <is>
          <t>ASIC hardware cash spend (deposit + vendor installments)</t>
        </is>
      </c>
      <c r="B26" s="5" t="inlineStr">
        <is>
          <t>ZAR'000</t>
        </is>
      </c>
      <c r="D26" s="14">
        <f>'12M_Miner_Vendor'!D14</f>
        <v/>
      </c>
      <c r="E26" s="14">
        <f>'12M_Miner_Vendor'!E14</f>
        <v/>
      </c>
      <c r="F26" s="14">
        <f>'12M_Miner_Vendor'!F14</f>
        <v/>
      </c>
      <c r="G26" s="14">
        <f>'12M_Miner_Vendor'!G14</f>
        <v/>
      </c>
      <c r="H26" s="14">
        <f>'12M_Miner_Vendor'!H14</f>
        <v/>
      </c>
      <c r="I26" s="14">
        <f>'12M_Miner_Vendor'!I14</f>
        <v/>
      </c>
      <c r="J26" s="14">
        <f>'12M_Miner_Vendor'!J14</f>
        <v/>
      </c>
      <c r="K26" s="14">
        <f>'12M_Miner_Vendor'!K14</f>
        <v/>
      </c>
      <c r="L26" s="14">
        <f>'12M_Miner_Vendor'!L14</f>
        <v/>
      </c>
      <c r="M26" s="14">
        <f>'12M_Miner_Vendor'!M14</f>
        <v/>
      </c>
      <c r="N26" s="14">
        <f>'12M_Miner_Vendor'!N14</f>
        <v/>
      </c>
      <c r="O26" s="14">
        <f>'12M_Miner_Vendor'!O14</f>
        <v/>
      </c>
    </row>
    <row r="27">
      <c r="A27" s="7" t="inlineStr">
        <is>
          <t>Hydro container cash spend (editable staged terms)</t>
        </is>
      </c>
      <c r="B27" s="5" t="inlineStr">
        <is>
          <t>ZAR'000</t>
        </is>
      </c>
      <c r="D27" s="14">
        <f>IFERROR(OFFSET(D11,0,Control!$C$117)*Control!$C$118,0)+IF(Control!$C$117&gt;0,IFERROR(OFFSET(D11,0,Control!$C$117-1)*Control!$C$119,0),0)+D11*Control!$C$120</f>
        <v/>
      </c>
      <c r="E27" s="14">
        <f>IFERROR(OFFSET(E11,0,Control!$C$117)*Control!$C$118,0)+IF(Control!$C$117&gt;0,IFERROR(OFFSET(E11,0,Control!$C$117-1)*Control!$C$119,0),0)+E11*Control!$C$120</f>
        <v/>
      </c>
      <c r="F27" s="14">
        <f>IFERROR(OFFSET(F11,0,Control!$C$117)*Control!$C$118,0)+IF(Control!$C$117&gt;0,IFERROR(OFFSET(F11,0,Control!$C$117-1)*Control!$C$119,0),0)+F11*Control!$C$120</f>
        <v/>
      </c>
      <c r="G27" s="14">
        <f>IFERROR(OFFSET(G11,0,Control!$C$117)*Control!$C$118,0)+IF(Control!$C$117&gt;0,IFERROR(OFFSET(G11,0,Control!$C$117-1)*Control!$C$119,0),0)+G11*Control!$C$120</f>
        <v/>
      </c>
      <c r="H27" s="14">
        <f>IFERROR(OFFSET(H11,0,Control!$C$117)*Control!$C$118,0)+IF(Control!$C$117&gt;0,IFERROR(OFFSET(H11,0,Control!$C$117-1)*Control!$C$119,0),0)+H11*Control!$C$120</f>
        <v/>
      </c>
      <c r="I27" s="14">
        <f>IFERROR(OFFSET(I11,0,Control!$C$117)*Control!$C$118,0)+IF(Control!$C$117&gt;0,IFERROR(OFFSET(I11,0,Control!$C$117-1)*Control!$C$119,0),0)+I11*Control!$C$120</f>
        <v/>
      </c>
      <c r="J27" s="14">
        <f>IFERROR(OFFSET(J11,0,Control!$C$117)*Control!$C$118,0)+IF(Control!$C$117&gt;0,IFERROR(OFFSET(J11,0,Control!$C$117-1)*Control!$C$119,0),0)+J11*Control!$C$120</f>
        <v/>
      </c>
      <c r="K27" s="14">
        <f>IFERROR(OFFSET(K11,0,Control!$C$117)*Control!$C$118,0)+IF(Control!$C$117&gt;0,IFERROR(OFFSET(K11,0,Control!$C$117-1)*Control!$C$119,0),0)+K11*Control!$C$120</f>
        <v/>
      </c>
      <c r="L27" s="14">
        <f>IFERROR(OFFSET(L11,0,Control!$C$117)*Control!$C$118,0)+IF(Control!$C$117&gt;0,IFERROR(OFFSET(L11,0,Control!$C$117-1)*Control!$C$119,0),0)+L11*Control!$C$120</f>
        <v/>
      </c>
      <c r="M27" s="14">
        <f>IFERROR(OFFSET(M11,0,Control!$C$117)*Control!$C$118,0)+IF(Control!$C$117&gt;0,IFERROR(OFFSET(M11,0,Control!$C$117-1)*Control!$C$119,0),0)+M11*Control!$C$120</f>
        <v/>
      </c>
      <c r="N27" s="14">
        <f>IFERROR(OFFSET(N11,0,Control!$C$117)*Control!$C$118,0)+IF(Control!$C$117&gt;0,IFERROR(OFFSET(N11,0,Control!$C$117-1)*Control!$C$119,0),0)+N11*Control!$C$120</f>
        <v/>
      </c>
      <c r="O27" s="14">
        <f>IFERROR(OFFSET(O11,0,Control!$C$117)*Control!$C$118,0)+IF(Control!$C$117&gt;0,IFERROR(OFFSET(O11,0,Control!$C$117-1)*Control!$C$119,0),0)+O11*Control!$C$120</f>
        <v/>
      </c>
    </row>
    <row r="28">
      <c r="A28" s="7" t="inlineStr">
        <is>
          <t>Electrical EPC cash spend (tranches + financed retention)</t>
        </is>
      </c>
      <c r="B28" s="5" t="inlineStr">
        <is>
          <t>ZAR'000</t>
        </is>
      </c>
      <c r="D28" s="14">
        <f>'12M_EPC_Tranches'!D14</f>
        <v/>
      </c>
      <c r="E28" s="14">
        <f>'12M_EPC_Tranches'!E14</f>
        <v/>
      </c>
      <c r="F28" s="14">
        <f>'12M_EPC_Tranches'!F14</f>
        <v/>
      </c>
      <c r="G28" s="14">
        <f>'12M_EPC_Tranches'!G14</f>
        <v/>
      </c>
      <c r="H28" s="14">
        <f>'12M_EPC_Tranches'!H14</f>
        <v/>
      </c>
      <c r="I28" s="14">
        <f>'12M_EPC_Tranches'!I14</f>
        <v/>
      </c>
      <c r="J28" s="14">
        <f>'12M_EPC_Tranches'!J14</f>
        <v/>
      </c>
      <c r="K28" s="14">
        <f>'12M_EPC_Tranches'!K14</f>
        <v/>
      </c>
      <c r="L28" s="14">
        <f>'12M_EPC_Tranches'!L14</f>
        <v/>
      </c>
      <c r="M28" s="14">
        <f>'12M_EPC_Tranches'!M14</f>
        <v/>
      </c>
      <c r="N28" s="14">
        <f>'12M_EPC_Tranches'!N14</f>
        <v/>
      </c>
      <c r="O28" s="14">
        <f>'12M_EPC_Tranches'!O14</f>
        <v/>
      </c>
    </row>
    <row r="29">
      <c r="A29" s="7" t="inlineStr">
        <is>
          <t>Solar PV cash spend</t>
        </is>
      </c>
      <c r="B29" s="5" t="inlineStr">
        <is>
          <t>ZAR'000</t>
        </is>
      </c>
      <c r="D29" s="14">
        <f>0.2*F13+0.5*E13+0.3*D13</f>
        <v/>
      </c>
      <c r="E29" s="14">
        <f>0.2*G13+0.5*F13+0.3*E13</f>
        <v/>
      </c>
      <c r="F29" s="14">
        <f>0.2*H13+0.5*G13+0.3*F13</f>
        <v/>
      </c>
      <c r="G29" s="14">
        <f>0.2*I13+0.5*H13+0.3*G13</f>
        <v/>
      </c>
      <c r="H29" s="14">
        <f>0.2*J13+0.5*I13+0.3*H13</f>
        <v/>
      </c>
      <c r="I29" s="14">
        <f>0.2*K13+0.5*J13+0.3*I13</f>
        <v/>
      </c>
      <c r="J29" s="14">
        <f>0.2*L13+0.5*K13+0.3*J13</f>
        <v/>
      </c>
      <c r="K29" s="14">
        <f>0.2*M13+0.5*L13+0.3*K13</f>
        <v/>
      </c>
      <c r="L29" s="14">
        <f>0.2*N13+0.5*M13+0.3*L13</f>
        <v/>
      </c>
      <c r="M29" s="14">
        <f>0.2*O13+0.5*N13+0.3*M13</f>
        <v/>
      </c>
      <c r="N29" s="14">
        <f>0.5*O13+0.3*N13</f>
        <v/>
      </c>
      <c r="O29" s="14">
        <f>0.3*O13</f>
        <v/>
      </c>
    </row>
    <row r="30">
      <c r="A30" s="7" t="inlineStr">
        <is>
          <t>Initial spare parts cash spend</t>
        </is>
      </c>
      <c r="B30" s="5" t="inlineStr">
        <is>
          <t>ZAR'000</t>
        </is>
      </c>
      <c r="D30" s="14">
        <f>D14</f>
        <v/>
      </c>
      <c r="E30" s="14">
        <f>E14</f>
        <v/>
      </c>
      <c r="F30" s="14">
        <f>F14</f>
        <v/>
      </c>
      <c r="G30" s="14">
        <f>G14</f>
        <v/>
      </c>
      <c r="H30" s="14">
        <f>H14</f>
        <v/>
      </c>
      <c r="I30" s="14">
        <f>I14</f>
        <v/>
      </c>
      <c r="J30" s="14">
        <f>J14</f>
        <v/>
      </c>
      <c r="K30" s="14">
        <f>K14</f>
        <v/>
      </c>
      <c r="L30" s="14">
        <f>L14</f>
        <v/>
      </c>
      <c r="M30" s="14">
        <f>M14</f>
        <v/>
      </c>
      <c r="N30" s="14">
        <f>N14</f>
        <v/>
      </c>
      <c r="O30" s="14">
        <f>O14</f>
        <v/>
      </c>
    </row>
    <row r="31">
      <c r="A31" s="7" t="inlineStr">
        <is>
          <t>Tools/equipment initial cash spend</t>
        </is>
      </c>
      <c r="B31" s="5" t="inlineStr">
        <is>
          <t>ZAR'000</t>
        </is>
      </c>
      <c r="D31" s="14">
        <f>D15</f>
        <v/>
      </c>
      <c r="E31" s="14">
        <f>E15</f>
        <v/>
      </c>
      <c r="F31" s="14">
        <f>F15</f>
        <v/>
      </c>
      <c r="G31" s="14">
        <f>G15</f>
        <v/>
      </c>
      <c r="H31" s="14">
        <f>H15</f>
        <v/>
      </c>
      <c r="I31" s="14">
        <f>I15</f>
        <v/>
      </c>
      <c r="J31" s="14">
        <f>J15</f>
        <v/>
      </c>
      <c r="K31" s="14">
        <f>K15</f>
        <v/>
      </c>
      <c r="L31" s="14">
        <f>L15</f>
        <v/>
      </c>
      <c r="M31" s="14">
        <f>M15</f>
        <v/>
      </c>
      <c r="N31" s="14">
        <f>N15</f>
        <v/>
      </c>
      <c r="O31" s="14">
        <f>O15</f>
        <v/>
      </c>
    </row>
    <row r="32">
      <c r="A32" s="7" t="inlineStr">
        <is>
          <t>Staff hardware cash spend</t>
        </is>
      </c>
      <c r="B32" s="5" t="inlineStr">
        <is>
          <t>ZAR'000</t>
        </is>
      </c>
      <c r="D32" s="14">
        <f>D16</f>
        <v/>
      </c>
      <c r="E32" s="14">
        <f>E16</f>
        <v/>
      </c>
      <c r="F32" s="14">
        <f>F16</f>
        <v/>
      </c>
      <c r="G32" s="14">
        <f>G16</f>
        <v/>
      </c>
      <c r="H32" s="14">
        <f>H16</f>
        <v/>
      </c>
      <c r="I32" s="14">
        <f>I16</f>
        <v/>
      </c>
      <c r="J32" s="14">
        <f>J16</f>
        <v/>
      </c>
      <c r="K32" s="14">
        <f>K16</f>
        <v/>
      </c>
      <c r="L32" s="14">
        <f>L16</f>
        <v/>
      </c>
      <c r="M32" s="14">
        <f>M16</f>
        <v/>
      </c>
      <c r="N32" s="14">
        <f>N16</f>
        <v/>
      </c>
      <c r="O32" s="14">
        <f>O16</f>
        <v/>
      </c>
    </row>
    <row r="33">
      <c r="A33" s="7" t="inlineStr">
        <is>
          <t>Freight cash spend</t>
        </is>
      </c>
      <c r="B33" s="5" t="inlineStr">
        <is>
          <t>ZAR'000</t>
        </is>
      </c>
      <c r="D33" s="14">
        <f>E17</f>
        <v/>
      </c>
      <c r="E33" s="14">
        <f>F17</f>
        <v/>
      </c>
      <c r="F33" s="14">
        <f>G17</f>
        <v/>
      </c>
      <c r="G33" s="14">
        <f>H17</f>
        <v/>
      </c>
      <c r="H33" s="14">
        <f>I17</f>
        <v/>
      </c>
      <c r="I33" s="14">
        <f>J17</f>
        <v/>
      </c>
      <c r="J33" s="14">
        <f>K17</f>
        <v/>
      </c>
      <c r="K33" s="14">
        <f>L17</f>
        <v/>
      </c>
      <c r="L33" s="14">
        <f>M17</f>
        <v/>
      </c>
      <c r="M33" s="14">
        <f>N17</f>
        <v/>
      </c>
      <c r="N33" s="14">
        <f>O17</f>
        <v/>
      </c>
      <c r="O33" s="45" t="n">
        <v>0</v>
      </c>
    </row>
    <row r="34">
      <c r="A34" s="7" t="inlineStr">
        <is>
          <t>Port/clearing cash spend</t>
        </is>
      </c>
      <c r="B34" s="5" t="inlineStr">
        <is>
          <t>ZAR'000</t>
        </is>
      </c>
      <c r="D34" s="14">
        <f>E18</f>
        <v/>
      </c>
      <c r="E34" s="14">
        <f>F18</f>
        <v/>
      </c>
      <c r="F34" s="14">
        <f>G18</f>
        <v/>
      </c>
      <c r="G34" s="14">
        <f>H18</f>
        <v/>
      </c>
      <c r="H34" s="14">
        <f>I18</f>
        <v/>
      </c>
      <c r="I34" s="14">
        <f>J18</f>
        <v/>
      </c>
      <c r="J34" s="14">
        <f>K18</f>
        <v/>
      </c>
      <c r="K34" s="14">
        <f>L18</f>
        <v/>
      </c>
      <c r="L34" s="14">
        <f>M18</f>
        <v/>
      </c>
      <c r="M34" s="14">
        <f>N18</f>
        <v/>
      </c>
      <c r="N34" s="14">
        <f>O18</f>
        <v/>
      </c>
      <c r="O34" s="45" t="n">
        <v>0</v>
      </c>
    </row>
    <row r="35">
      <c r="A35" s="7" t="inlineStr">
        <is>
          <t>Inland trucking cash spend</t>
        </is>
      </c>
      <c r="B35" s="5" t="inlineStr">
        <is>
          <t>ZAR'000</t>
        </is>
      </c>
      <c r="D35" s="14">
        <f>E19</f>
        <v/>
      </c>
      <c r="E35" s="14">
        <f>F19</f>
        <v/>
      </c>
      <c r="F35" s="14">
        <f>G19</f>
        <v/>
      </c>
      <c r="G35" s="14">
        <f>H19</f>
        <v/>
      </c>
      <c r="H35" s="14">
        <f>I19</f>
        <v/>
      </c>
      <c r="I35" s="14">
        <f>J19</f>
        <v/>
      </c>
      <c r="J35" s="14">
        <f>K19</f>
        <v/>
      </c>
      <c r="K35" s="14">
        <f>L19</f>
        <v/>
      </c>
      <c r="L35" s="14">
        <f>M19</f>
        <v/>
      </c>
      <c r="M35" s="14">
        <f>N19</f>
        <v/>
      </c>
      <c r="N35" s="14">
        <f>O19</f>
        <v/>
      </c>
      <c r="O35" s="45" t="n">
        <v>0</v>
      </c>
    </row>
    <row r="36">
      <c r="A36" s="7" t="inlineStr">
        <is>
          <t>Crane/rigging cash spend</t>
        </is>
      </c>
      <c r="B36" s="5" t="inlineStr">
        <is>
          <t>ZAR'000</t>
        </is>
      </c>
      <c r="D36" s="14">
        <f>D20</f>
        <v/>
      </c>
      <c r="E36" s="14">
        <f>E20</f>
        <v/>
      </c>
      <c r="F36" s="14">
        <f>F20</f>
        <v/>
      </c>
      <c r="G36" s="14">
        <f>G20</f>
        <v/>
      </c>
      <c r="H36" s="14">
        <f>H20</f>
        <v/>
      </c>
      <c r="I36" s="14">
        <f>I20</f>
        <v/>
      </c>
      <c r="J36" s="14">
        <f>J20</f>
        <v/>
      </c>
      <c r="K36" s="14">
        <f>K20</f>
        <v/>
      </c>
      <c r="L36" s="14">
        <f>L20</f>
        <v/>
      </c>
      <c r="M36" s="14">
        <f>M20</f>
        <v/>
      </c>
      <c r="N36" s="14">
        <f>N20</f>
        <v/>
      </c>
      <c r="O36" s="14">
        <f>O20</f>
        <v/>
      </c>
    </row>
    <row r="37">
      <c r="A37" s="7" t="inlineStr">
        <is>
          <t>Cargo insurance cash spend</t>
        </is>
      </c>
      <c r="B37" s="5" t="inlineStr">
        <is>
          <t>ZAR'000</t>
        </is>
      </c>
      <c r="D37" s="14">
        <f>E21</f>
        <v/>
      </c>
      <c r="E37" s="14">
        <f>F21</f>
        <v/>
      </c>
      <c r="F37" s="14">
        <f>G21</f>
        <v/>
      </c>
      <c r="G37" s="14">
        <f>H21</f>
        <v/>
      </c>
      <c r="H37" s="14">
        <f>I21</f>
        <v/>
      </c>
      <c r="I37" s="14">
        <f>J21</f>
        <v/>
      </c>
      <c r="J37" s="14">
        <f>K21</f>
        <v/>
      </c>
      <c r="K37" s="14">
        <f>L21</f>
        <v/>
      </c>
      <c r="L37" s="14">
        <f>M21</f>
        <v/>
      </c>
      <c r="M37" s="14">
        <f>N21</f>
        <v/>
      </c>
      <c r="N37" s="14">
        <f>O21</f>
        <v/>
      </c>
      <c r="O37" s="45" t="n">
        <v>0</v>
      </c>
    </row>
    <row r="38">
      <c r="A38" s="7" t="inlineStr">
        <is>
          <t>Import duty cash spend</t>
        </is>
      </c>
      <c r="B38" s="5" t="inlineStr">
        <is>
          <t>ZAR'000</t>
        </is>
      </c>
      <c r="D38" s="14">
        <f>E22</f>
        <v/>
      </c>
      <c r="E38" s="14">
        <f>F22</f>
        <v/>
      </c>
      <c r="F38" s="14">
        <f>G22</f>
        <v/>
      </c>
      <c r="G38" s="14">
        <f>H22</f>
        <v/>
      </c>
      <c r="H38" s="14">
        <f>I22</f>
        <v/>
      </c>
      <c r="I38" s="14">
        <f>J22</f>
        <v/>
      </c>
      <c r="J38" s="14">
        <f>K22</f>
        <v/>
      </c>
      <c r="K38" s="14">
        <f>L22</f>
        <v/>
      </c>
      <c r="L38" s="14">
        <f>M22</f>
        <v/>
      </c>
      <c r="M38" s="14">
        <f>N22</f>
        <v/>
      </c>
      <c r="N38" s="14">
        <f>O22</f>
        <v/>
      </c>
      <c r="O38" s="45" t="n">
        <v>0</v>
      </c>
    </row>
    <row r="39">
      <c r="A39" s="7" t="inlineStr">
        <is>
          <t>Office/software/legal setup cash spend</t>
        </is>
      </c>
      <c r="B39" s="5" t="inlineStr">
        <is>
          <t>ZAR'000</t>
        </is>
      </c>
      <c r="D39" s="14">
        <f>D23</f>
        <v/>
      </c>
      <c r="E39" s="14">
        <f>E23</f>
        <v/>
      </c>
      <c r="F39" s="14">
        <f>F23</f>
        <v/>
      </c>
      <c r="G39" s="14">
        <f>G23</f>
        <v/>
      </c>
      <c r="H39" s="14">
        <f>H23</f>
        <v/>
      </c>
      <c r="I39" s="14">
        <f>I23</f>
        <v/>
      </c>
      <c r="J39" s="14">
        <f>J23</f>
        <v/>
      </c>
      <c r="K39" s="14">
        <f>K23</f>
        <v/>
      </c>
      <c r="L39" s="14">
        <f>L23</f>
        <v/>
      </c>
      <c r="M39" s="14">
        <f>M23</f>
        <v/>
      </c>
      <c r="N39" s="14">
        <f>N23</f>
        <v/>
      </c>
      <c r="O39" s="14">
        <f>O23</f>
        <v/>
      </c>
    </row>
    <row r="40">
      <c r="A40" s="19" t="inlineStr">
        <is>
          <t>Total capex cash spend</t>
        </is>
      </c>
      <c r="B40" s="20" t="inlineStr">
        <is>
          <t>ZAR'000</t>
        </is>
      </c>
      <c r="C40" s="21" t="n"/>
      <c r="D40" s="22">
        <f>SUM(D26:D39)</f>
        <v/>
      </c>
      <c r="E40" s="22">
        <f>SUM(E26:E39)</f>
        <v/>
      </c>
      <c r="F40" s="22">
        <f>SUM(F26:F39)</f>
        <v/>
      </c>
      <c r="G40" s="22">
        <f>SUM(G26:G39)</f>
        <v/>
      </c>
      <c r="H40" s="22">
        <f>SUM(H26:H39)</f>
        <v/>
      </c>
      <c r="I40" s="22">
        <f>SUM(I26:I39)</f>
        <v/>
      </c>
      <c r="J40" s="22">
        <f>SUM(J26:J39)</f>
        <v/>
      </c>
      <c r="K40" s="22">
        <f>SUM(K26:K39)</f>
        <v/>
      </c>
      <c r="L40" s="22">
        <f>SUM(L26:L39)</f>
        <v/>
      </c>
      <c r="M40" s="22">
        <f>SUM(M26:M39)</f>
        <v/>
      </c>
      <c r="N40" s="22">
        <f>SUM(N26:N39)</f>
        <v/>
      </c>
      <c r="O40" s="22">
        <f>SUM(O26:O39)</f>
        <v/>
      </c>
    </row>
    <row r="41">
      <c r="A41" s="2" t="inlineStr">
        <is>
          <t>Cumulative capex spend</t>
        </is>
      </c>
      <c r="B41" s="5" t="inlineStr">
        <is>
          <t>ZAR'000</t>
        </is>
      </c>
      <c r="D41" s="14">
        <f>D40</f>
        <v/>
      </c>
      <c r="E41" s="14">
        <f>D41+E40</f>
        <v/>
      </c>
      <c r="F41" s="14">
        <f>E41+F40</f>
        <v/>
      </c>
      <c r="G41" s="14">
        <f>F41+G40</f>
        <v/>
      </c>
      <c r="H41" s="14">
        <f>G41+H40</f>
        <v/>
      </c>
      <c r="I41" s="14">
        <f>H41+I40</f>
        <v/>
      </c>
      <c r="J41" s="14">
        <f>I41+J40</f>
        <v/>
      </c>
      <c r="K41" s="14">
        <f>J41+K40</f>
        <v/>
      </c>
      <c r="L41" s="14">
        <f>K41+L40</f>
        <v/>
      </c>
      <c r="M41" s="14">
        <f>L41+M40</f>
        <v/>
      </c>
      <c r="N41" s="14">
        <f>M41+N40</f>
        <v/>
      </c>
      <c r="O41" s="14">
        <f>N41+O40</f>
        <v/>
      </c>
    </row>
  </sheetData>
  <mergeCells count="1">
    <mergeCell ref="A1:O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49"/>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2" customWidth="1" min="2" max="2"/>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34" t="inlineStr">
        <is>
          <t>12-Month Miner Commercial Schedule</t>
        </is>
      </c>
    </row>
    <row r="2">
      <c r="A2" s="35" t="inlineStr">
        <is>
          <t>Uses M7DS technical / price assumptions from the model, and applies supplier-style payment mechanics from the attached contract as a placeholder until a final M7DS-specific term sheet is inserted.</t>
        </is>
      </c>
    </row>
    <row r="3">
      <c r="A3" s="46" t="inlineStr"/>
      <c r="D3" s="47" t="n">
        <v>1</v>
      </c>
      <c r="E3" s="47" t="n">
        <v>2</v>
      </c>
      <c r="F3" s="47" t="n">
        <v>3</v>
      </c>
      <c r="G3" s="47" t="n">
        <v>4</v>
      </c>
      <c r="H3" s="47" t="n">
        <v>5</v>
      </c>
      <c r="I3" s="47" t="n">
        <v>6</v>
      </c>
      <c r="J3" s="47" t="n">
        <v>7</v>
      </c>
      <c r="K3" s="47" t="n">
        <v>8</v>
      </c>
      <c r="L3" s="47" t="n">
        <v>9</v>
      </c>
      <c r="M3" s="47" t="n">
        <v>10</v>
      </c>
      <c r="N3" s="47" t="n">
        <v>11</v>
      </c>
      <c r="O3" s="47" t="n">
        <v>12</v>
      </c>
    </row>
    <row r="4">
      <c r="A4" s="37" t="inlineStr"/>
      <c r="B4" s="40" t="n"/>
      <c r="C4" s="40" t="n"/>
      <c r="D4" s="37">
        <f>'12M_Deployment'!D4</f>
        <v/>
      </c>
      <c r="E4" s="37">
        <f>'12M_Deployment'!E4</f>
        <v/>
      </c>
      <c r="F4" s="37">
        <f>'12M_Deployment'!F4</f>
        <v/>
      </c>
      <c r="G4" s="37">
        <f>'12M_Deployment'!G4</f>
        <v/>
      </c>
      <c r="H4" s="37">
        <f>'12M_Deployment'!H4</f>
        <v/>
      </c>
      <c r="I4" s="37">
        <f>'12M_Deployment'!I4</f>
        <v/>
      </c>
      <c r="J4" s="37">
        <f>'12M_Deployment'!J4</f>
        <v/>
      </c>
      <c r="K4" s="37">
        <f>'12M_Deployment'!K4</f>
        <v/>
      </c>
      <c r="L4" s="37">
        <f>'12M_Deployment'!L4</f>
        <v/>
      </c>
      <c r="M4" s="37">
        <f>'12M_Deployment'!M4</f>
        <v/>
      </c>
      <c r="N4" s="37">
        <f>'12M_Deployment'!N4</f>
        <v/>
      </c>
      <c r="O4" s="37">
        <f>'12M_Deployment'!O4</f>
        <v/>
      </c>
    </row>
    <row r="5">
      <c r="A5" s="37" t="inlineStr">
        <is>
          <t>New MW commissioned</t>
        </is>
      </c>
      <c r="B5" s="37" t="inlineStr">
        <is>
          <t>MW</t>
        </is>
      </c>
      <c r="C5" s="40" t="n"/>
      <c r="D5" s="37">
        <f>'12M_Deployment'!D24</f>
        <v/>
      </c>
      <c r="E5" s="37">
        <f>'12M_Deployment'!E24</f>
        <v/>
      </c>
      <c r="F5" s="37">
        <f>'12M_Deployment'!F24</f>
        <v/>
      </c>
      <c r="G5" s="37">
        <f>'12M_Deployment'!G24</f>
        <v/>
      </c>
      <c r="H5" s="37">
        <f>'12M_Deployment'!H24</f>
        <v/>
      </c>
      <c r="I5" s="37">
        <f>'12M_Deployment'!I24</f>
        <v/>
      </c>
      <c r="J5" s="37">
        <f>'12M_Deployment'!J24</f>
        <v/>
      </c>
      <c r="K5" s="37">
        <f>'12M_Deployment'!K24</f>
        <v/>
      </c>
      <c r="L5" s="37">
        <f>'12M_Deployment'!L24</f>
        <v/>
      </c>
      <c r="M5" s="37">
        <f>'12M_Deployment'!M24</f>
        <v/>
      </c>
      <c r="N5" s="37">
        <f>'12M_Deployment'!N24</f>
        <v/>
      </c>
      <c r="O5" s="37">
        <f>'12M_Deployment'!O24</f>
        <v/>
      </c>
    </row>
    <row r="6">
      <c r="A6" s="37" t="inlineStr">
        <is>
          <t>Gross hardware capex basis</t>
        </is>
      </c>
      <c r="B6" s="37" t="inlineStr">
        <is>
          <t>ZAR'000</t>
        </is>
      </c>
      <c r="C6" s="40" t="n"/>
      <c r="D6" s="37">
        <f>(D5/(1+Control!$C$34))*1000000/Control!$C$32*Control!$C$33*Control!$C$4/1000</f>
        <v/>
      </c>
      <c r="E6" s="37">
        <f>(E5/(1+Control!$C$34))*1000000/Control!$C$32*Control!$C$33*Control!$C$4/1000</f>
        <v/>
      </c>
      <c r="F6" s="37">
        <f>(F5/(1+Control!$C$34))*1000000/Control!$C$32*Control!$C$33*Control!$C$4/1000</f>
        <v/>
      </c>
      <c r="G6" s="37">
        <f>(G5/(1+Control!$C$34))*1000000/Control!$C$32*Control!$C$33*Control!$C$4/1000</f>
        <v/>
      </c>
      <c r="H6" s="37">
        <f>(H5/(1+Control!$C$34))*1000000/Control!$C$32*Control!$C$33*Control!$C$4/1000</f>
        <v/>
      </c>
      <c r="I6" s="37">
        <f>(I5/(1+Control!$C$34))*1000000/Control!$C$32*Control!$C$33*Control!$C$4/1000</f>
        <v/>
      </c>
      <c r="J6" s="37">
        <f>(J5/(1+Control!$C$34))*1000000/Control!$C$32*Control!$C$33*Control!$C$4/1000</f>
        <v/>
      </c>
      <c r="K6" s="37">
        <f>(K5/(1+Control!$C$34))*1000000/Control!$C$32*Control!$C$33*Control!$C$4/1000</f>
        <v/>
      </c>
      <c r="L6" s="37">
        <f>(L5/(1+Control!$C$34))*1000000/Control!$C$32*Control!$C$33*Control!$C$4/1000</f>
        <v/>
      </c>
      <c r="M6" s="37">
        <f>(M5/(1+Control!$C$34))*1000000/Control!$C$32*Control!$C$33*Control!$C$4/1000</f>
        <v/>
      </c>
      <c r="N6" s="37">
        <f>(N5/(1+Control!$C$34))*1000000/Control!$C$32*Control!$C$33*Control!$C$4/1000</f>
        <v/>
      </c>
      <c r="O6" s="37">
        <f>(O5/(1+Control!$C$34))*1000000/Control!$C$32*Control!$C$33*Control!$C$4/1000</f>
        <v/>
      </c>
    </row>
    <row r="7">
      <c r="A7" s="37" t="inlineStr">
        <is>
          <t>New miners commissioned</t>
        </is>
      </c>
      <c r="B7" s="37" t="inlineStr">
        <is>
          <t>miners</t>
        </is>
      </c>
      <c r="C7" s="40" t="n"/>
      <c r="D7" s="37">
        <f>(D5/(1+Control!$C$34))*1000000/Control!$C$32</f>
        <v/>
      </c>
      <c r="E7" s="37">
        <f>(E5/(1+Control!$C$34))*1000000/Control!$C$32</f>
        <v/>
      </c>
      <c r="F7" s="37">
        <f>(F5/(1+Control!$C$34))*1000000/Control!$C$32</f>
        <v/>
      </c>
      <c r="G7" s="37">
        <f>(G5/(1+Control!$C$34))*1000000/Control!$C$32</f>
        <v/>
      </c>
      <c r="H7" s="37">
        <f>(H5/(1+Control!$C$34))*1000000/Control!$C$32</f>
        <v/>
      </c>
      <c r="I7" s="37">
        <f>(I5/(1+Control!$C$34))*1000000/Control!$C$32</f>
        <v/>
      </c>
      <c r="J7" s="37">
        <f>(J5/(1+Control!$C$34))*1000000/Control!$C$32</f>
        <v/>
      </c>
      <c r="K7" s="37">
        <f>(K5/(1+Control!$C$34))*1000000/Control!$C$32</f>
        <v/>
      </c>
      <c r="L7" s="37">
        <f>(L5/(1+Control!$C$34))*1000000/Control!$C$32</f>
        <v/>
      </c>
      <c r="M7" s="37">
        <f>(M5/(1+Control!$C$34))*1000000/Control!$C$32</f>
        <v/>
      </c>
      <c r="N7" s="37">
        <f>(N5/(1+Control!$C$34))*1000000/Control!$C$32</f>
        <v/>
      </c>
      <c r="O7" s="37">
        <f>(O5/(1+Control!$C$34))*1000000/Control!$C$32</f>
        <v/>
      </c>
    </row>
    <row r="8">
      <c r="A8" s="40" t="n"/>
      <c r="B8" s="40" t="n"/>
      <c r="C8" s="40" t="n"/>
      <c r="D8" s="40" t="n"/>
      <c r="E8" s="40" t="n"/>
      <c r="F8" s="40" t="n"/>
      <c r="G8" s="40" t="n"/>
      <c r="H8" s="40" t="n"/>
      <c r="I8" s="40" t="n"/>
      <c r="J8" s="40" t="n"/>
      <c r="K8" s="40" t="n"/>
      <c r="L8" s="40" t="n"/>
      <c r="M8" s="40" t="n"/>
      <c r="N8" s="40" t="n"/>
      <c r="O8" s="40" t="n"/>
    </row>
    <row r="9">
      <c r="A9" s="37" t="inlineStr">
        <is>
          <t>Deposit cash due</t>
        </is>
      </c>
      <c r="B9" s="37" t="inlineStr">
        <is>
          <t>ZAR'000</t>
        </is>
      </c>
      <c r="C9" s="40" t="n"/>
      <c r="D9" s="37">
        <f>IFERROR(OFFSET(D6,0,Control!$C$97)*Control!$C$98,0)</f>
        <v/>
      </c>
      <c r="E9" s="37">
        <f>IFERROR(OFFSET(E6,0,Control!$C$97)*Control!$C$98,0)</f>
        <v/>
      </c>
      <c r="F9" s="37">
        <f>IFERROR(OFFSET(F6,0,Control!$C$97)*Control!$C$98,0)</f>
        <v/>
      </c>
      <c r="G9" s="37">
        <f>IFERROR(OFFSET(G6,0,Control!$C$97)*Control!$C$98,0)</f>
        <v/>
      </c>
      <c r="H9" s="37">
        <f>IFERROR(OFFSET(H6,0,Control!$C$97)*Control!$C$98,0)</f>
        <v/>
      </c>
      <c r="I9" s="37">
        <f>IFERROR(OFFSET(I6,0,Control!$C$97)*Control!$C$98,0)</f>
        <v/>
      </c>
      <c r="J9" s="37">
        <f>IFERROR(OFFSET(J6,0,Control!$C$97)*Control!$C$98,0)</f>
        <v/>
      </c>
      <c r="K9" s="37">
        <f>IFERROR(OFFSET(K6,0,Control!$C$97)*Control!$C$98,0)</f>
        <v/>
      </c>
      <c r="L9" s="37">
        <f>IFERROR(OFFSET(L6,0,Control!$C$97)*Control!$C$98,0)</f>
        <v/>
      </c>
      <c r="M9" s="37">
        <f>IFERROR(OFFSET(M6,0,Control!$C$97)*Control!$C$98,0)</f>
        <v/>
      </c>
      <c r="N9" s="37">
        <f>IFERROR(OFFSET(N6,0,Control!$C$97)*Control!$C$98,0)</f>
        <v/>
      </c>
      <c r="O9" s="37">
        <f>IFERROR(OFFSET(O6,0,Control!$C$97)*Control!$C$98,0)</f>
        <v/>
      </c>
    </row>
    <row r="10">
      <c r="A10" s="37" t="inlineStr">
        <is>
          <t>Vendor-financed principal originated</t>
        </is>
      </c>
      <c r="B10" s="37" t="inlineStr">
        <is>
          <t>ZAR'000</t>
        </is>
      </c>
      <c r="C10" s="40" t="n"/>
      <c r="D10" s="37">
        <f>D6*Control!$C$99</f>
        <v/>
      </c>
      <c r="E10" s="37">
        <f>E6*Control!$C$99</f>
        <v/>
      </c>
      <c r="F10" s="37">
        <f>F6*Control!$C$99</f>
        <v/>
      </c>
      <c r="G10" s="37">
        <f>G6*Control!$C$99</f>
        <v/>
      </c>
      <c r="H10" s="37">
        <f>H6*Control!$C$99</f>
        <v/>
      </c>
      <c r="I10" s="37">
        <f>I6*Control!$C$99</f>
        <v/>
      </c>
      <c r="J10" s="37">
        <f>J6*Control!$C$99</f>
        <v/>
      </c>
      <c r="K10" s="37">
        <f>K6*Control!$C$99</f>
        <v/>
      </c>
      <c r="L10" s="37">
        <f>L6*Control!$C$99</f>
        <v/>
      </c>
      <c r="M10" s="37">
        <f>M6*Control!$C$99</f>
        <v/>
      </c>
      <c r="N10" s="37">
        <f>N6*Control!$C$99</f>
        <v/>
      </c>
      <c r="O10" s="37">
        <f>O6*Control!$C$99</f>
        <v/>
      </c>
    </row>
    <row r="11">
      <c r="A11" s="37" t="inlineStr">
        <is>
          <t>Opening vendor payable</t>
        </is>
      </c>
      <c r="B11" s="37" t="inlineStr">
        <is>
          <t>ZAR'000</t>
        </is>
      </c>
      <c r="C11" s="40" t="n"/>
      <c r="D11" s="37">
        <f>0</f>
        <v/>
      </c>
      <c r="E11" s="37">
        <f>D15</f>
        <v/>
      </c>
      <c r="F11" s="37">
        <f>E15</f>
        <v/>
      </c>
      <c r="G11" s="37">
        <f>F15</f>
        <v/>
      </c>
      <c r="H11" s="37">
        <f>G15</f>
        <v/>
      </c>
      <c r="I11" s="37">
        <f>H15</f>
        <v/>
      </c>
      <c r="J11" s="37">
        <f>I15</f>
        <v/>
      </c>
      <c r="K11" s="37">
        <f>J15</f>
        <v/>
      </c>
      <c r="L11" s="37">
        <f>K15</f>
        <v/>
      </c>
      <c r="M11" s="37">
        <f>L15</f>
        <v/>
      </c>
      <c r="N11" s="37">
        <f>M15</f>
        <v/>
      </c>
      <c r="O11" s="37">
        <f>N15</f>
        <v/>
      </c>
    </row>
    <row r="12">
      <c r="A12" s="37" t="inlineStr">
        <is>
          <t>Scheduled principal</t>
        </is>
      </c>
      <c r="B12" s="37" t="inlineStr">
        <is>
          <t>ZAR'000</t>
        </is>
      </c>
      <c r="C12" s="40" t="n"/>
      <c r="D12" s="37">
        <f>SUM(D20:D31)</f>
        <v/>
      </c>
      <c r="E12" s="37">
        <f>SUM(E20:E31)</f>
        <v/>
      </c>
      <c r="F12" s="37">
        <f>SUM(F20:F31)</f>
        <v/>
      </c>
      <c r="G12" s="37">
        <f>SUM(G20:G31)</f>
        <v/>
      </c>
      <c r="H12" s="37">
        <f>SUM(H20:H31)</f>
        <v/>
      </c>
      <c r="I12" s="37">
        <f>SUM(I20:I31)</f>
        <v/>
      </c>
      <c r="J12" s="37">
        <f>SUM(J20:J31)</f>
        <v/>
      </c>
      <c r="K12" s="37">
        <f>SUM(K20:K31)</f>
        <v/>
      </c>
      <c r="L12" s="37">
        <f>SUM(L20:L31)</f>
        <v/>
      </c>
      <c r="M12" s="37">
        <f>SUM(M20:M31)</f>
        <v/>
      </c>
      <c r="N12" s="37">
        <f>SUM(N20:N31)</f>
        <v/>
      </c>
      <c r="O12" s="37">
        <f>SUM(O20:O31)</f>
        <v/>
      </c>
    </row>
    <row r="13">
      <c r="A13" s="37" t="inlineStr">
        <is>
          <t>Scheduled interest</t>
        </is>
      </c>
      <c r="B13" s="37" t="inlineStr">
        <is>
          <t>ZAR'000</t>
        </is>
      </c>
      <c r="C13" s="40" t="n"/>
      <c r="D13" s="37">
        <f>SUM(D35:D46)</f>
        <v/>
      </c>
      <c r="E13" s="37">
        <f>SUM(E35:E46)</f>
        <v/>
      </c>
      <c r="F13" s="37">
        <f>SUM(F35:F46)</f>
        <v/>
      </c>
      <c r="G13" s="37">
        <f>SUM(G35:G46)</f>
        <v/>
      </c>
      <c r="H13" s="37">
        <f>SUM(H35:H46)</f>
        <v/>
      </c>
      <c r="I13" s="37">
        <f>SUM(I35:I46)</f>
        <v/>
      </c>
      <c r="J13" s="37">
        <f>SUM(J35:J46)</f>
        <v/>
      </c>
      <c r="K13" s="37">
        <f>SUM(K35:K46)</f>
        <v/>
      </c>
      <c r="L13" s="37">
        <f>SUM(L35:L46)</f>
        <v/>
      </c>
      <c r="M13" s="37">
        <f>SUM(M35:M46)</f>
        <v/>
      </c>
      <c r="N13" s="37">
        <f>SUM(N35:N46)</f>
        <v/>
      </c>
      <c r="O13" s="37">
        <f>SUM(O35:O46)</f>
        <v/>
      </c>
    </row>
    <row r="14">
      <c r="A14" s="37" t="inlineStr">
        <is>
          <t>Total hardware cash payment</t>
        </is>
      </c>
      <c r="B14" s="37" t="inlineStr">
        <is>
          <t>ZAR'000</t>
        </is>
      </c>
      <c r="C14" s="40" t="n"/>
      <c r="D14" s="37">
        <f>D9+D12+D13</f>
        <v/>
      </c>
      <c r="E14" s="37">
        <f>E9+E12+E13</f>
        <v/>
      </c>
      <c r="F14" s="37">
        <f>F9+F12+F13</f>
        <v/>
      </c>
      <c r="G14" s="37">
        <f>G9+G12+G13</f>
        <v/>
      </c>
      <c r="H14" s="37">
        <f>H9+H12+H13</f>
        <v/>
      </c>
      <c r="I14" s="37">
        <f>I9+I12+I13</f>
        <v/>
      </c>
      <c r="J14" s="37">
        <f>J9+J12+J13</f>
        <v/>
      </c>
      <c r="K14" s="37">
        <f>K9+K12+K13</f>
        <v/>
      </c>
      <c r="L14" s="37">
        <f>L9+L12+L13</f>
        <v/>
      </c>
      <c r="M14" s="37">
        <f>M9+M12+M13</f>
        <v/>
      </c>
      <c r="N14" s="37">
        <f>N9+N12+N13</f>
        <v/>
      </c>
      <c r="O14" s="37">
        <f>O9+O12+O13</f>
        <v/>
      </c>
    </row>
    <row r="15">
      <c r="A15" s="37" t="inlineStr">
        <is>
          <t>Closing vendor payable</t>
        </is>
      </c>
      <c r="B15" s="37" t="inlineStr">
        <is>
          <t>ZAR'000</t>
        </is>
      </c>
      <c r="C15" s="40" t="n"/>
      <c r="D15" s="37">
        <f>D11+D10-D12</f>
        <v/>
      </c>
      <c r="E15" s="37">
        <f>E11+E10-E12</f>
        <v/>
      </c>
      <c r="F15" s="37">
        <f>F11+F10-F12</f>
        <v/>
      </c>
      <c r="G15" s="37">
        <f>G11+G10-G12</f>
        <v/>
      </c>
      <c r="H15" s="37">
        <f>H11+H10-H12</f>
        <v/>
      </c>
      <c r="I15" s="37">
        <f>I11+I10-I12</f>
        <v/>
      </c>
      <c r="J15" s="37">
        <f>J11+J10-J12</f>
        <v/>
      </c>
      <c r="K15" s="37">
        <f>K11+K10-K12</f>
        <v/>
      </c>
      <c r="L15" s="37">
        <f>L11+L10-L12</f>
        <v/>
      </c>
      <c r="M15" s="37">
        <f>M11+M10-M12</f>
        <v/>
      </c>
      <c r="N15" s="37">
        <f>N11+N10-N12</f>
        <v/>
      </c>
      <c r="O15" s="37">
        <f>O11+O10-O12</f>
        <v/>
      </c>
    </row>
    <row r="16">
      <c r="A16" s="40" t="n"/>
      <c r="B16" s="40" t="n"/>
      <c r="C16" s="40" t="n"/>
      <c r="D16" s="40" t="n"/>
      <c r="E16" s="40" t="n"/>
      <c r="F16" s="40" t="n"/>
      <c r="G16" s="40" t="n"/>
      <c r="H16" s="40" t="n"/>
      <c r="I16" s="40" t="n"/>
      <c r="J16" s="40" t="n"/>
      <c r="K16" s="40" t="n"/>
      <c r="L16" s="40" t="n"/>
      <c r="M16" s="40" t="n"/>
      <c r="N16" s="40" t="n"/>
      <c r="O16" s="40" t="n"/>
    </row>
    <row r="17">
      <c r="A17" s="41" t="inlineStr">
        <is>
          <t>Principal by origination month</t>
        </is>
      </c>
      <c r="B17" s="51" t="n"/>
      <c r="C17" s="51" t="n"/>
      <c r="D17" s="51" t="n"/>
      <c r="E17" s="51" t="n"/>
      <c r="F17" s="51" t="n"/>
      <c r="G17" s="51" t="n"/>
      <c r="H17" s="51" t="n"/>
      <c r="I17" s="51" t="n"/>
      <c r="J17" s="51" t="n"/>
      <c r="K17" s="51" t="n"/>
      <c r="L17" s="51" t="n"/>
      <c r="M17" s="51" t="n"/>
      <c r="N17" s="51" t="n"/>
      <c r="O17" s="52" t="n"/>
    </row>
    <row r="18">
      <c r="A18" s="43" t="inlineStr">
        <is>
          <t>Origin month</t>
        </is>
      </c>
      <c r="B18" s="43" t="inlineStr">
        <is>
          <t>Source tranche</t>
        </is>
      </c>
      <c r="C18" s="43" t="n"/>
      <c r="D18" s="43" t="inlineStr">
        <is>
          <t>Month 1</t>
        </is>
      </c>
      <c r="E18" s="43" t="inlineStr">
        <is>
          <t>Month 2</t>
        </is>
      </c>
      <c r="F18" s="43" t="inlineStr">
        <is>
          <t>Month 3</t>
        </is>
      </c>
      <c r="G18" s="43" t="inlineStr">
        <is>
          <t>Month 4</t>
        </is>
      </c>
      <c r="H18" s="43" t="inlineStr">
        <is>
          <t>Month 5</t>
        </is>
      </c>
      <c r="I18" s="43" t="inlineStr">
        <is>
          <t>Month 6</t>
        </is>
      </c>
      <c r="J18" s="43" t="inlineStr">
        <is>
          <t>Month 7</t>
        </is>
      </c>
      <c r="K18" s="43" t="inlineStr">
        <is>
          <t>Month 8</t>
        </is>
      </c>
      <c r="L18" s="43" t="inlineStr">
        <is>
          <t>Month 9</t>
        </is>
      </c>
      <c r="M18" s="43" t="inlineStr">
        <is>
          <t>Month 10</t>
        </is>
      </c>
      <c r="N18" s="43" t="inlineStr">
        <is>
          <t>Month 11</t>
        </is>
      </c>
      <c r="O18" s="43" t="inlineStr">
        <is>
          <t>Month 12</t>
        </is>
      </c>
    </row>
    <row r="19">
      <c r="A19" s="40" t="n"/>
      <c r="B19" s="40" t="n"/>
      <c r="C19" s="40" t="n"/>
      <c r="D19" s="40" t="n"/>
      <c r="E19" s="40" t="n"/>
      <c r="F19" s="40" t="n"/>
      <c r="G19" s="40" t="n"/>
      <c r="H19" s="40" t="n"/>
      <c r="I19" s="40" t="n"/>
      <c r="J19" s="40" t="n"/>
      <c r="K19" s="40" t="n"/>
      <c r="L19" s="40" t="n"/>
      <c r="M19" s="40" t="n"/>
      <c r="N19" s="40" t="n"/>
      <c r="O19" s="40" t="n"/>
    </row>
    <row r="20">
      <c r="A20" s="37" t="inlineStr">
        <is>
          <t>Origin 1</t>
        </is>
      </c>
      <c r="B20" s="37">
        <f>D4</f>
        <v/>
      </c>
      <c r="C20" s="40" t="n"/>
      <c r="D20" s="37">
        <f>IF(AND(D$3&gt;=D$3,D$3&lt;D$3+Control!$C$100),D$10/Control!$C$100,0)</f>
        <v/>
      </c>
      <c r="E20" s="37">
        <f>IF(AND(E$3&gt;=D$3,E$3&lt;D$3+Control!$C$100),D$10/Control!$C$100,0)</f>
        <v/>
      </c>
      <c r="F20" s="37">
        <f>IF(AND(F$3&gt;=D$3,F$3&lt;D$3+Control!$C$100),D$10/Control!$C$100,0)</f>
        <v/>
      </c>
      <c r="G20" s="37">
        <f>IF(AND(G$3&gt;=D$3,G$3&lt;D$3+Control!$C$100),D$10/Control!$C$100,0)</f>
        <v/>
      </c>
      <c r="H20" s="37">
        <f>IF(AND(H$3&gt;=D$3,H$3&lt;D$3+Control!$C$100),D$10/Control!$C$100,0)</f>
        <v/>
      </c>
      <c r="I20" s="37">
        <f>IF(AND(I$3&gt;=D$3,I$3&lt;D$3+Control!$C$100),D$10/Control!$C$100,0)</f>
        <v/>
      </c>
      <c r="J20" s="37">
        <f>IF(AND(J$3&gt;=D$3,J$3&lt;D$3+Control!$C$100),D$10/Control!$C$100,0)</f>
        <v/>
      </c>
      <c r="K20" s="37">
        <f>IF(AND(K$3&gt;=D$3,K$3&lt;D$3+Control!$C$100),D$10/Control!$C$100,0)</f>
        <v/>
      </c>
      <c r="L20" s="37">
        <f>IF(AND(L$3&gt;=D$3,L$3&lt;D$3+Control!$C$100),D$10/Control!$C$100,0)</f>
        <v/>
      </c>
      <c r="M20" s="37">
        <f>IF(AND(M$3&gt;=D$3,M$3&lt;D$3+Control!$C$100),D$10/Control!$C$100,0)</f>
        <v/>
      </c>
      <c r="N20" s="37">
        <f>IF(AND(N$3&gt;=D$3,N$3&lt;D$3+Control!$C$100),D$10/Control!$C$100,0)</f>
        <v/>
      </c>
      <c r="O20" s="37">
        <f>IF(AND(O$3&gt;=D$3,O$3&lt;D$3+Control!$C$100),D$10/Control!$C$100,0)</f>
        <v/>
      </c>
    </row>
    <row r="21">
      <c r="A21" s="37" t="inlineStr">
        <is>
          <t>Origin 2</t>
        </is>
      </c>
      <c r="B21" s="37">
        <f>E4</f>
        <v/>
      </c>
      <c r="C21" s="40" t="n"/>
      <c r="D21" s="37">
        <f>IF(AND(D$3&gt;=E$3,D$3&lt;E$3+Control!$C$100),E$10/Control!$C$100,0)</f>
        <v/>
      </c>
      <c r="E21" s="37">
        <f>IF(AND(E$3&gt;=E$3,E$3&lt;E$3+Control!$C$100),E$10/Control!$C$100,0)</f>
        <v/>
      </c>
      <c r="F21" s="37">
        <f>IF(AND(F$3&gt;=E$3,F$3&lt;E$3+Control!$C$100),E$10/Control!$C$100,0)</f>
        <v/>
      </c>
      <c r="G21" s="37">
        <f>IF(AND(G$3&gt;=E$3,G$3&lt;E$3+Control!$C$100),E$10/Control!$C$100,0)</f>
        <v/>
      </c>
      <c r="H21" s="37">
        <f>IF(AND(H$3&gt;=E$3,H$3&lt;E$3+Control!$C$100),E$10/Control!$C$100,0)</f>
        <v/>
      </c>
      <c r="I21" s="37">
        <f>IF(AND(I$3&gt;=E$3,I$3&lt;E$3+Control!$C$100),E$10/Control!$C$100,0)</f>
        <v/>
      </c>
      <c r="J21" s="37">
        <f>IF(AND(J$3&gt;=E$3,J$3&lt;E$3+Control!$C$100),E$10/Control!$C$100,0)</f>
        <v/>
      </c>
      <c r="K21" s="37">
        <f>IF(AND(K$3&gt;=E$3,K$3&lt;E$3+Control!$C$100),E$10/Control!$C$100,0)</f>
        <v/>
      </c>
      <c r="L21" s="37">
        <f>IF(AND(L$3&gt;=E$3,L$3&lt;E$3+Control!$C$100),E$10/Control!$C$100,0)</f>
        <v/>
      </c>
      <c r="M21" s="37">
        <f>IF(AND(M$3&gt;=E$3,M$3&lt;E$3+Control!$C$100),E$10/Control!$C$100,0)</f>
        <v/>
      </c>
      <c r="N21" s="37">
        <f>IF(AND(N$3&gt;=E$3,N$3&lt;E$3+Control!$C$100),E$10/Control!$C$100,0)</f>
        <v/>
      </c>
      <c r="O21" s="37">
        <f>IF(AND(O$3&gt;=E$3,O$3&lt;E$3+Control!$C$100),E$10/Control!$C$100,0)</f>
        <v/>
      </c>
    </row>
    <row r="22">
      <c r="A22" s="37" t="inlineStr">
        <is>
          <t>Origin 3</t>
        </is>
      </c>
      <c r="B22" s="37">
        <f>F4</f>
        <v/>
      </c>
      <c r="C22" s="40" t="n"/>
      <c r="D22" s="37">
        <f>IF(AND(D$3&gt;=F$3,D$3&lt;F$3+Control!$C$100),F$10/Control!$C$100,0)</f>
        <v/>
      </c>
      <c r="E22" s="37">
        <f>IF(AND(E$3&gt;=F$3,E$3&lt;F$3+Control!$C$100),F$10/Control!$C$100,0)</f>
        <v/>
      </c>
      <c r="F22" s="37">
        <f>IF(AND(F$3&gt;=F$3,F$3&lt;F$3+Control!$C$100),F$10/Control!$C$100,0)</f>
        <v/>
      </c>
      <c r="G22" s="37">
        <f>IF(AND(G$3&gt;=F$3,G$3&lt;F$3+Control!$C$100),F$10/Control!$C$100,0)</f>
        <v/>
      </c>
      <c r="H22" s="37">
        <f>IF(AND(H$3&gt;=F$3,H$3&lt;F$3+Control!$C$100),F$10/Control!$C$100,0)</f>
        <v/>
      </c>
      <c r="I22" s="37">
        <f>IF(AND(I$3&gt;=F$3,I$3&lt;F$3+Control!$C$100),F$10/Control!$C$100,0)</f>
        <v/>
      </c>
      <c r="J22" s="37">
        <f>IF(AND(J$3&gt;=F$3,J$3&lt;F$3+Control!$C$100),F$10/Control!$C$100,0)</f>
        <v/>
      </c>
      <c r="K22" s="37">
        <f>IF(AND(K$3&gt;=F$3,K$3&lt;F$3+Control!$C$100),F$10/Control!$C$100,0)</f>
        <v/>
      </c>
      <c r="L22" s="37">
        <f>IF(AND(L$3&gt;=F$3,L$3&lt;F$3+Control!$C$100),F$10/Control!$C$100,0)</f>
        <v/>
      </c>
      <c r="M22" s="37">
        <f>IF(AND(M$3&gt;=F$3,M$3&lt;F$3+Control!$C$100),F$10/Control!$C$100,0)</f>
        <v/>
      </c>
      <c r="N22" s="37">
        <f>IF(AND(N$3&gt;=F$3,N$3&lt;F$3+Control!$C$100),F$10/Control!$C$100,0)</f>
        <v/>
      </c>
      <c r="O22" s="37">
        <f>IF(AND(O$3&gt;=F$3,O$3&lt;F$3+Control!$C$100),F$10/Control!$C$100,0)</f>
        <v/>
      </c>
    </row>
    <row r="23">
      <c r="A23" s="37" t="inlineStr">
        <is>
          <t>Origin 4</t>
        </is>
      </c>
      <c r="B23" s="37">
        <f>G4</f>
        <v/>
      </c>
      <c r="C23" s="40" t="n"/>
      <c r="D23" s="37">
        <f>IF(AND(D$3&gt;=G$3,D$3&lt;G$3+Control!$C$100),G$10/Control!$C$100,0)</f>
        <v/>
      </c>
      <c r="E23" s="37">
        <f>IF(AND(E$3&gt;=G$3,E$3&lt;G$3+Control!$C$100),G$10/Control!$C$100,0)</f>
        <v/>
      </c>
      <c r="F23" s="37">
        <f>IF(AND(F$3&gt;=G$3,F$3&lt;G$3+Control!$C$100),G$10/Control!$C$100,0)</f>
        <v/>
      </c>
      <c r="G23" s="37">
        <f>IF(AND(G$3&gt;=G$3,G$3&lt;G$3+Control!$C$100),G$10/Control!$C$100,0)</f>
        <v/>
      </c>
      <c r="H23" s="37">
        <f>IF(AND(H$3&gt;=G$3,H$3&lt;G$3+Control!$C$100),G$10/Control!$C$100,0)</f>
        <v/>
      </c>
      <c r="I23" s="37">
        <f>IF(AND(I$3&gt;=G$3,I$3&lt;G$3+Control!$C$100),G$10/Control!$C$100,0)</f>
        <v/>
      </c>
      <c r="J23" s="37">
        <f>IF(AND(J$3&gt;=G$3,J$3&lt;G$3+Control!$C$100),G$10/Control!$C$100,0)</f>
        <v/>
      </c>
      <c r="K23" s="37">
        <f>IF(AND(K$3&gt;=G$3,K$3&lt;G$3+Control!$C$100),G$10/Control!$C$100,0)</f>
        <v/>
      </c>
      <c r="L23" s="37">
        <f>IF(AND(L$3&gt;=G$3,L$3&lt;G$3+Control!$C$100),G$10/Control!$C$100,0)</f>
        <v/>
      </c>
      <c r="M23" s="37">
        <f>IF(AND(M$3&gt;=G$3,M$3&lt;G$3+Control!$C$100),G$10/Control!$C$100,0)</f>
        <v/>
      </c>
      <c r="N23" s="37">
        <f>IF(AND(N$3&gt;=G$3,N$3&lt;G$3+Control!$C$100),G$10/Control!$C$100,0)</f>
        <v/>
      </c>
      <c r="O23" s="37">
        <f>IF(AND(O$3&gt;=G$3,O$3&lt;G$3+Control!$C$100),G$10/Control!$C$100,0)</f>
        <v/>
      </c>
    </row>
    <row r="24">
      <c r="A24" s="37" t="inlineStr">
        <is>
          <t>Origin 5</t>
        </is>
      </c>
      <c r="B24" s="37">
        <f>H4</f>
        <v/>
      </c>
      <c r="C24" s="40" t="n"/>
      <c r="D24" s="37">
        <f>IF(AND(D$3&gt;=H$3,D$3&lt;H$3+Control!$C$100),H$10/Control!$C$100,0)</f>
        <v/>
      </c>
      <c r="E24" s="37">
        <f>IF(AND(E$3&gt;=H$3,E$3&lt;H$3+Control!$C$100),H$10/Control!$C$100,0)</f>
        <v/>
      </c>
      <c r="F24" s="37">
        <f>IF(AND(F$3&gt;=H$3,F$3&lt;H$3+Control!$C$100),H$10/Control!$C$100,0)</f>
        <v/>
      </c>
      <c r="G24" s="37">
        <f>IF(AND(G$3&gt;=H$3,G$3&lt;H$3+Control!$C$100),H$10/Control!$C$100,0)</f>
        <v/>
      </c>
      <c r="H24" s="37">
        <f>IF(AND(H$3&gt;=H$3,H$3&lt;H$3+Control!$C$100),H$10/Control!$C$100,0)</f>
        <v/>
      </c>
      <c r="I24" s="37">
        <f>IF(AND(I$3&gt;=H$3,I$3&lt;H$3+Control!$C$100),H$10/Control!$C$100,0)</f>
        <v/>
      </c>
      <c r="J24" s="37">
        <f>IF(AND(J$3&gt;=H$3,J$3&lt;H$3+Control!$C$100),H$10/Control!$C$100,0)</f>
        <v/>
      </c>
      <c r="K24" s="37">
        <f>IF(AND(K$3&gt;=H$3,K$3&lt;H$3+Control!$C$100),H$10/Control!$C$100,0)</f>
        <v/>
      </c>
      <c r="L24" s="37">
        <f>IF(AND(L$3&gt;=H$3,L$3&lt;H$3+Control!$C$100),H$10/Control!$C$100,0)</f>
        <v/>
      </c>
      <c r="M24" s="37">
        <f>IF(AND(M$3&gt;=H$3,M$3&lt;H$3+Control!$C$100),H$10/Control!$C$100,0)</f>
        <v/>
      </c>
      <c r="N24" s="37">
        <f>IF(AND(N$3&gt;=H$3,N$3&lt;H$3+Control!$C$100),H$10/Control!$C$100,0)</f>
        <v/>
      </c>
      <c r="O24" s="37">
        <f>IF(AND(O$3&gt;=H$3,O$3&lt;H$3+Control!$C$100),H$10/Control!$C$100,0)</f>
        <v/>
      </c>
    </row>
    <row r="25">
      <c r="A25" s="37" t="inlineStr">
        <is>
          <t>Origin 6</t>
        </is>
      </c>
      <c r="B25" s="37">
        <f>I4</f>
        <v/>
      </c>
      <c r="C25" s="40" t="n"/>
      <c r="D25" s="37">
        <f>IF(AND(D$3&gt;=I$3,D$3&lt;I$3+Control!$C$100),I$10/Control!$C$100,0)</f>
        <v/>
      </c>
      <c r="E25" s="37">
        <f>IF(AND(E$3&gt;=I$3,E$3&lt;I$3+Control!$C$100),I$10/Control!$C$100,0)</f>
        <v/>
      </c>
      <c r="F25" s="37">
        <f>IF(AND(F$3&gt;=I$3,F$3&lt;I$3+Control!$C$100),I$10/Control!$C$100,0)</f>
        <v/>
      </c>
      <c r="G25" s="37">
        <f>IF(AND(G$3&gt;=I$3,G$3&lt;I$3+Control!$C$100),I$10/Control!$C$100,0)</f>
        <v/>
      </c>
      <c r="H25" s="37">
        <f>IF(AND(H$3&gt;=I$3,H$3&lt;I$3+Control!$C$100),I$10/Control!$C$100,0)</f>
        <v/>
      </c>
      <c r="I25" s="37">
        <f>IF(AND(I$3&gt;=I$3,I$3&lt;I$3+Control!$C$100),I$10/Control!$C$100,0)</f>
        <v/>
      </c>
      <c r="J25" s="37">
        <f>IF(AND(J$3&gt;=I$3,J$3&lt;I$3+Control!$C$100),I$10/Control!$C$100,0)</f>
        <v/>
      </c>
      <c r="K25" s="37">
        <f>IF(AND(K$3&gt;=I$3,K$3&lt;I$3+Control!$C$100),I$10/Control!$C$100,0)</f>
        <v/>
      </c>
      <c r="L25" s="37">
        <f>IF(AND(L$3&gt;=I$3,L$3&lt;I$3+Control!$C$100),I$10/Control!$C$100,0)</f>
        <v/>
      </c>
      <c r="M25" s="37">
        <f>IF(AND(M$3&gt;=I$3,M$3&lt;I$3+Control!$C$100),I$10/Control!$C$100,0)</f>
        <v/>
      </c>
      <c r="N25" s="37">
        <f>IF(AND(N$3&gt;=I$3,N$3&lt;I$3+Control!$C$100),I$10/Control!$C$100,0)</f>
        <v/>
      </c>
      <c r="O25" s="37">
        <f>IF(AND(O$3&gt;=I$3,O$3&lt;I$3+Control!$C$100),I$10/Control!$C$100,0)</f>
        <v/>
      </c>
    </row>
    <row r="26">
      <c r="A26" s="37" t="inlineStr">
        <is>
          <t>Origin 7</t>
        </is>
      </c>
      <c r="B26" s="37">
        <f>J4</f>
        <v/>
      </c>
      <c r="C26" s="40" t="n"/>
      <c r="D26" s="37">
        <f>IF(AND(D$3&gt;=J$3,D$3&lt;J$3+Control!$C$100),J$10/Control!$C$100,0)</f>
        <v/>
      </c>
      <c r="E26" s="37">
        <f>IF(AND(E$3&gt;=J$3,E$3&lt;J$3+Control!$C$100),J$10/Control!$C$100,0)</f>
        <v/>
      </c>
      <c r="F26" s="37">
        <f>IF(AND(F$3&gt;=J$3,F$3&lt;J$3+Control!$C$100),J$10/Control!$C$100,0)</f>
        <v/>
      </c>
      <c r="G26" s="37">
        <f>IF(AND(G$3&gt;=J$3,G$3&lt;J$3+Control!$C$100),J$10/Control!$C$100,0)</f>
        <v/>
      </c>
      <c r="H26" s="37">
        <f>IF(AND(H$3&gt;=J$3,H$3&lt;J$3+Control!$C$100),J$10/Control!$C$100,0)</f>
        <v/>
      </c>
      <c r="I26" s="37">
        <f>IF(AND(I$3&gt;=J$3,I$3&lt;J$3+Control!$C$100),J$10/Control!$C$100,0)</f>
        <v/>
      </c>
      <c r="J26" s="37">
        <f>IF(AND(J$3&gt;=J$3,J$3&lt;J$3+Control!$C$100),J$10/Control!$C$100,0)</f>
        <v/>
      </c>
      <c r="K26" s="37">
        <f>IF(AND(K$3&gt;=J$3,K$3&lt;J$3+Control!$C$100),J$10/Control!$C$100,0)</f>
        <v/>
      </c>
      <c r="L26" s="37">
        <f>IF(AND(L$3&gt;=J$3,L$3&lt;J$3+Control!$C$100),J$10/Control!$C$100,0)</f>
        <v/>
      </c>
      <c r="M26" s="37">
        <f>IF(AND(M$3&gt;=J$3,M$3&lt;J$3+Control!$C$100),J$10/Control!$C$100,0)</f>
        <v/>
      </c>
      <c r="N26" s="37">
        <f>IF(AND(N$3&gt;=J$3,N$3&lt;J$3+Control!$C$100),J$10/Control!$C$100,0)</f>
        <v/>
      </c>
      <c r="O26" s="37">
        <f>IF(AND(O$3&gt;=J$3,O$3&lt;J$3+Control!$C$100),J$10/Control!$C$100,0)</f>
        <v/>
      </c>
    </row>
    <row r="27">
      <c r="A27" s="37" t="inlineStr">
        <is>
          <t>Origin 8</t>
        </is>
      </c>
      <c r="B27" s="37">
        <f>K4</f>
        <v/>
      </c>
      <c r="C27" s="40" t="n"/>
      <c r="D27" s="37">
        <f>IF(AND(D$3&gt;=K$3,D$3&lt;K$3+Control!$C$100),K$10/Control!$C$100,0)</f>
        <v/>
      </c>
      <c r="E27" s="37">
        <f>IF(AND(E$3&gt;=K$3,E$3&lt;K$3+Control!$C$100),K$10/Control!$C$100,0)</f>
        <v/>
      </c>
      <c r="F27" s="37">
        <f>IF(AND(F$3&gt;=K$3,F$3&lt;K$3+Control!$C$100),K$10/Control!$C$100,0)</f>
        <v/>
      </c>
      <c r="G27" s="37">
        <f>IF(AND(G$3&gt;=K$3,G$3&lt;K$3+Control!$C$100),K$10/Control!$C$100,0)</f>
        <v/>
      </c>
      <c r="H27" s="37">
        <f>IF(AND(H$3&gt;=K$3,H$3&lt;K$3+Control!$C$100),K$10/Control!$C$100,0)</f>
        <v/>
      </c>
      <c r="I27" s="37">
        <f>IF(AND(I$3&gt;=K$3,I$3&lt;K$3+Control!$C$100),K$10/Control!$C$100,0)</f>
        <v/>
      </c>
      <c r="J27" s="37">
        <f>IF(AND(J$3&gt;=K$3,J$3&lt;K$3+Control!$C$100),K$10/Control!$C$100,0)</f>
        <v/>
      </c>
      <c r="K27" s="37">
        <f>IF(AND(K$3&gt;=K$3,K$3&lt;K$3+Control!$C$100),K$10/Control!$C$100,0)</f>
        <v/>
      </c>
      <c r="L27" s="37">
        <f>IF(AND(L$3&gt;=K$3,L$3&lt;K$3+Control!$C$100),K$10/Control!$C$100,0)</f>
        <v/>
      </c>
      <c r="M27" s="37">
        <f>IF(AND(M$3&gt;=K$3,M$3&lt;K$3+Control!$C$100),K$10/Control!$C$100,0)</f>
        <v/>
      </c>
      <c r="N27" s="37">
        <f>IF(AND(N$3&gt;=K$3,N$3&lt;K$3+Control!$C$100),K$10/Control!$C$100,0)</f>
        <v/>
      </c>
      <c r="O27" s="37">
        <f>IF(AND(O$3&gt;=K$3,O$3&lt;K$3+Control!$C$100),K$10/Control!$C$100,0)</f>
        <v/>
      </c>
    </row>
    <row r="28">
      <c r="A28" s="37" t="inlineStr">
        <is>
          <t>Origin 9</t>
        </is>
      </c>
      <c r="B28" s="37">
        <f>L4</f>
        <v/>
      </c>
      <c r="C28" s="40" t="n"/>
      <c r="D28" s="37">
        <f>IF(AND(D$3&gt;=L$3,D$3&lt;L$3+Control!$C$100),L$10/Control!$C$100,0)</f>
        <v/>
      </c>
      <c r="E28" s="37">
        <f>IF(AND(E$3&gt;=L$3,E$3&lt;L$3+Control!$C$100),L$10/Control!$C$100,0)</f>
        <v/>
      </c>
      <c r="F28" s="37">
        <f>IF(AND(F$3&gt;=L$3,F$3&lt;L$3+Control!$C$100),L$10/Control!$C$100,0)</f>
        <v/>
      </c>
      <c r="G28" s="37">
        <f>IF(AND(G$3&gt;=L$3,G$3&lt;L$3+Control!$C$100),L$10/Control!$C$100,0)</f>
        <v/>
      </c>
      <c r="H28" s="37">
        <f>IF(AND(H$3&gt;=L$3,H$3&lt;L$3+Control!$C$100),L$10/Control!$C$100,0)</f>
        <v/>
      </c>
      <c r="I28" s="37">
        <f>IF(AND(I$3&gt;=L$3,I$3&lt;L$3+Control!$C$100),L$10/Control!$C$100,0)</f>
        <v/>
      </c>
      <c r="J28" s="37">
        <f>IF(AND(J$3&gt;=L$3,J$3&lt;L$3+Control!$C$100),L$10/Control!$C$100,0)</f>
        <v/>
      </c>
      <c r="K28" s="37">
        <f>IF(AND(K$3&gt;=L$3,K$3&lt;L$3+Control!$C$100),L$10/Control!$C$100,0)</f>
        <v/>
      </c>
      <c r="L28" s="37">
        <f>IF(AND(L$3&gt;=L$3,L$3&lt;L$3+Control!$C$100),L$10/Control!$C$100,0)</f>
        <v/>
      </c>
      <c r="M28" s="37">
        <f>IF(AND(M$3&gt;=L$3,M$3&lt;L$3+Control!$C$100),L$10/Control!$C$100,0)</f>
        <v/>
      </c>
      <c r="N28" s="37">
        <f>IF(AND(N$3&gt;=L$3,N$3&lt;L$3+Control!$C$100),L$10/Control!$C$100,0)</f>
        <v/>
      </c>
      <c r="O28" s="37">
        <f>IF(AND(O$3&gt;=L$3,O$3&lt;L$3+Control!$C$100),L$10/Control!$C$100,0)</f>
        <v/>
      </c>
    </row>
    <row r="29">
      <c r="A29" s="37" t="inlineStr">
        <is>
          <t>Origin 10</t>
        </is>
      </c>
      <c r="B29" s="37">
        <f>M4</f>
        <v/>
      </c>
      <c r="C29" s="40" t="n"/>
      <c r="D29" s="37">
        <f>IF(AND(D$3&gt;=M$3,D$3&lt;M$3+Control!$C$100),M$10/Control!$C$100,0)</f>
        <v/>
      </c>
      <c r="E29" s="37">
        <f>IF(AND(E$3&gt;=M$3,E$3&lt;M$3+Control!$C$100),M$10/Control!$C$100,0)</f>
        <v/>
      </c>
      <c r="F29" s="37">
        <f>IF(AND(F$3&gt;=M$3,F$3&lt;M$3+Control!$C$100),M$10/Control!$C$100,0)</f>
        <v/>
      </c>
      <c r="G29" s="37">
        <f>IF(AND(G$3&gt;=M$3,G$3&lt;M$3+Control!$C$100),M$10/Control!$C$100,0)</f>
        <v/>
      </c>
      <c r="H29" s="37">
        <f>IF(AND(H$3&gt;=M$3,H$3&lt;M$3+Control!$C$100),M$10/Control!$C$100,0)</f>
        <v/>
      </c>
      <c r="I29" s="37">
        <f>IF(AND(I$3&gt;=M$3,I$3&lt;M$3+Control!$C$100),M$10/Control!$C$100,0)</f>
        <v/>
      </c>
      <c r="J29" s="37">
        <f>IF(AND(J$3&gt;=M$3,J$3&lt;M$3+Control!$C$100),M$10/Control!$C$100,0)</f>
        <v/>
      </c>
      <c r="K29" s="37">
        <f>IF(AND(K$3&gt;=M$3,K$3&lt;M$3+Control!$C$100),M$10/Control!$C$100,0)</f>
        <v/>
      </c>
      <c r="L29" s="37">
        <f>IF(AND(L$3&gt;=M$3,L$3&lt;M$3+Control!$C$100),M$10/Control!$C$100,0)</f>
        <v/>
      </c>
      <c r="M29" s="37">
        <f>IF(AND(M$3&gt;=M$3,M$3&lt;M$3+Control!$C$100),M$10/Control!$C$100,0)</f>
        <v/>
      </c>
      <c r="N29" s="37">
        <f>IF(AND(N$3&gt;=M$3,N$3&lt;M$3+Control!$C$100),M$10/Control!$C$100,0)</f>
        <v/>
      </c>
      <c r="O29" s="37">
        <f>IF(AND(O$3&gt;=M$3,O$3&lt;M$3+Control!$C$100),M$10/Control!$C$100,0)</f>
        <v/>
      </c>
    </row>
    <row r="30">
      <c r="A30" s="37" t="inlineStr">
        <is>
          <t>Origin 11</t>
        </is>
      </c>
      <c r="B30" s="37">
        <f>N4</f>
        <v/>
      </c>
      <c r="C30" s="40" t="n"/>
      <c r="D30" s="37">
        <f>IF(AND(D$3&gt;=N$3,D$3&lt;N$3+Control!$C$100),N$10/Control!$C$100,0)</f>
        <v/>
      </c>
      <c r="E30" s="37">
        <f>IF(AND(E$3&gt;=N$3,E$3&lt;N$3+Control!$C$100),N$10/Control!$C$100,0)</f>
        <v/>
      </c>
      <c r="F30" s="37">
        <f>IF(AND(F$3&gt;=N$3,F$3&lt;N$3+Control!$C$100),N$10/Control!$C$100,0)</f>
        <v/>
      </c>
      <c r="G30" s="37">
        <f>IF(AND(G$3&gt;=N$3,G$3&lt;N$3+Control!$C$100),N$10/Control!$C$100,0)</f>
        <v/>
      </c>
      <c r="H30" s="37">
        <f>IF(AND(H$3&gt;=N$3,H$3&lt;N$3+Control!$C$100),N$10/Control!$C$100,0)</f>
        <v/>
      </c>
      <c r="I30" s="37">
        <f>IF(AND(I$3&gt;=N$3,I$3&lt;N$3+Control!$C$100),N$10/Control!$C$100,0)</f>
        <v/>
      </c>
      <c r="J30" s="37">
        <f>IF(AND(J$3&gt;=N$3,J$3&lt;N$3+Control!$C$100),N$10/Control!$C$100,0)</f>
        <v/>
      </c>
      <c r="K30" s="37">
        <f>IF(AND(K$3&gt;=N$3,K$3&lt;N$3+Control!$C$100),N$10/Control!$C$100,0)</f>
        <v/>
      </c>
      <c r="L30" s="37">
        <f>IF(AND(L$3&gt;=N$3,L$3&lt;N$3+Control!$C$100),N$10/Control!$C$100,0)</f>
        <v/>
      </c>
      <c r="M30" s="37">
        <f>IF(AND(M$3&gt;=N$3,M$3&lt;N$3+Control!$C$100),N$10/Control!$C$100,0)</f>
        <v/>
      </c>
      <c r="N30" s="37">
        <f>IF(AND(N$3&gt;=N$3,N$3&lt;N$3+Control!$C$100),N$10/Control!$C$100,0)</f>
        <v/>
      </c>
      <c r="O30" s="37">
        <f>IF(AND(O$3&gt;=N$3,O$3&lt;N$3+Control!$C$100),N$10/Control!$C$100,0)</f>
        <v/>
      </c>
    </row>
    <row r="31">
      <c r="A31" s="37" t="inlineStr">
        <is>
          <t>Origin 12</t>
        </is>
      </c>
      <c r="B31" s="37">
        <f>O4</f>
        <v/>
      </c>
      <c r="C31" s="40" t="n"/>
      <c r="D31" s="37">
        <f>IF(AND(D$3&gt;=O$3,D$3&lt;O$3+Control!$C$100),O$10/Control!$C$100,0)</f>
        <v/>
      </c>
      <c r="E31" s="37">
        <f>IF(AND(E$3&gt;=O$3,E$3&lt;O$3+Control!$C$100),O$10/Control!$C$100,0)</f>
        <v/>
      </c>
      <c r="F31" s="37">
        <f>IF(AND(F$3&gt;=O$3,F$3&lt;O$3+Control!$C$100),O$10/Control!$C$100,0)</f>
        <v/>
      </c>
      <c r="G31" s="37">
        <f>IF(AND(G$3&gt;=O$3,G$3&lt;O$3+Control!$C$100),O$10/Control!$C$100,0)</f>
        <v/>
      </c>
      <c r="H31" s="37">
        <f>IF(AND(H$3&gt;=O$3,H$3&lt;O$3+Control!$C$100),O$10/Control!$C$100,0)</f>
        <v/>
      </c>
      <c r="I31" s="37">
        <f>IF(AND(I$3&gt;=O$3,I$3&lt;O$3+Control!$C$100),O$10/Control!$C$100,0)</f>
        <v/>
      </c>
      <c r="J31" s="37">
        <f>IF(AND(J$3&gt;=O$3,J$3&lt;O$3+Control!$C$100),O$10/Control!$C$100,0)</f>
        <v/>
      </c>
      <c r="K31" s="37">
        <f>IF(AND(K$3&gt;=O$3,K$3&lt;O$3+Control!$C$100),O$10/Control!$C$100,0)</f>
        <v/>
      </c>
      <c r="L31" s="37">
        <f>IF(AND(L$3&gt;=O$3,L$3&lt;O$3+Control!$C$100),O$10/Control!$C$100,0)</f>
        <v/>
      </c>
      <c r="M31" s="37">
        <f>IF(AND(M$3&gt;=O$3,M$3&lt;O$3+Control!$C$100),O$10/Control!$C$100,0)</f>
        <v/>
      </c>
      <c r="N31" s="37">
        <f>IF(AND(N$3&gt;=O$3,N$3&lt;O$3+Control!$C$100),O$10/Control!$C$100,0)</f>
        <v/>
      </c>
      <c r="O31" s="37">
        <f>IF(AND(O$3&gt;=O$3,O$3&lt;O$3+Control!$C$100),O$10/Control!$C$100,0)</f>
        <v/>
      </c>
    </row>
    <row r="32">
      <c r="A32" s="40" t="n"/>
      <c r="B32" s="40" t="n"/>
      <c r="C32" s="40" t="n"/>
      <c r="D32" s="40" t="n"/>
      <c r="E32" s="40" t="n"/>
      <c r="F32" s="40" t="n"/>
      <c r="G32" s="40" t="n"/>
      <c r="H32" s="40" t="n"/>
      <c r="I32" s="40" t="n"/>
      <c r="J32" s="40" t="n"/>
      <c r="K32" s="40" t="n"/>
      <c r="L32" s="40" t="n"/>
      <c r="M32" s="40" t="n"/>
      <c r="N32" s="40" t="n"/>
      <c r="O32" s="40" t="n"/>
    </row>
    <row r="33">
      <c r="A33" s="41" t="inlineStr">
        <is>
          <t>Interest by origination month</t>
        </is>
      </c>
      <c r="B33" s="51" t="n"/>
      <c r="C33" s="51" t="n"/>
      <c r="D33" s="51" t="n"/>
      <c r="E33" s="51" t="n"/>
      <c r="F33" s="51" t="n"/>
      <c r="G33" s="51" t="n"/>
      <c r="H33" s="51" t="n"/>
      <c r="I33" s="51" t="n"/>
      <c r="J33" s="51" t="n"/>
      <c r="K33" s="51" t="n"/>
      <c r="L33" s="51" t="n"/>
      <c r="M33" s="51" t="n"/>
      <c r="N33" s="51" t="n"/>
      <c r="O33" s="52" t="n"/>
    </row>
    <row r="34">
      <c r="A34" s="43" t="inlineStr">
        <is>
          <t>Origin month</t>
        </is>
      </c>
      <c r="B34" s="43" t="inlineStr">
        <is>
          <t>Source tranche</t>
        </is>
      </c>
      <c r="C34" s="43" t="n"/>
      <c r="D34" s="43" t="inlineStr">
        <is>
          <t>Month 1</t>
        </is>
      </c>
      <c r="E34" s="43" t="inlineStr">
        <is>
          <t>Month 2</t>
        </is>
      </c>
      <c r="F34" s="43" t="inlineStr">
        <is>
          <t>Month 3</t>
        </is>
      </c>
      <c r="G34" s="43" t="inlineStr">
        <is>
          <t>Month 4</t>
        </is>
      </c>
      <c r="H34" s="43" t="inlineStr">
        <is>
          <t>Month 5</t>
        </is>
      </c>
      <c r="I34" s="43" t="inlineStr">
        <is>
          <t>Month 6</t>
        </is>
      </c>
      <c r="J34" s="43" t="inlineStr">
        <is>
          <t>Month 7</t>
        </is>
      </c>
      <c r="K34" s="43" t="inlineStr">
        <is>
          <t>Month 8</t>
        </is>
      </c>
      <c r="L34" s="43" t="inlineStr">
        <is>
          <t>Month 9</t>
        </is>
      </c>
      <c r="M34" s="43" t="inlineStr">
        <is>
          <t>Month 10</t>
        </is>
      </c>
      <c r="N34" s="43" t="inlineStr">
        <is>
          <t>Month 11</t>
        </is>
      </c>
      <c r="O34" s="43" t="inlineStr">
        <is>
          <t>Month 12</t>
        </is>
      </c>
    </row>
    <row r="35">
      <c r="A35" s="37" t="inlineStr">
        <is>
          <t>Origin 1</t>
        </is>
      </c>
      <c r="B35" s="37">
        <f>D4</f>
        <v/>
      </c>
      <c r="C35" s="40" t="n"/>
      <c r="D35" s="37">
        <f>IF(AND(D$3&gt;=D$3,D$3&lt;D$3+Control!$C$100),(D$10-(D$10/Control!$C$100)*(D$3-D$3))*Control!$C$101/12,0)</f>
        <v/>
      </c>
      <c r="E35" s="37">
        <f>IF(AND(E$3&gt;=D$3,E$3&lt;D$3+Control!$C$100),(D$10-(D$10/Control!$C$100)*(E$3-D$3))*Control!$C$101/12,0)</f>
        <v/>
      </c>
      <c r="F35" s="37">
        <f>IF(AND(F$3&gt;=D$3,F$3&lt;D$3+Control!$C$100),(D$10-(D$10/Control!$C$100)*(F$3-D$3))*Control!$C$101/12,0)</f>
        <v/>
      </c>
      <c r="G35" s="37">
        <f>IF(AND(G$3&gt;=D$3,G$3&lt;D$3+Control!$C$100),(D$10-(D$10/Control!$C$100)*(G$3-D$3))*Control!$C$101/12,0)</f>
        <v/>
      </c>
      <c r="H35" s="37">
        <f>IF(AND(H$3&gt;=D$3,H$3&lt;D$3+Control!$C$100),(D$10-(D$10/Control!$C$100)*(H$3-D$3))*Control!$C$101/12,0)</f>
        <v/>
      </c>
      <c r="I35" s="37">
        <f>IF(AND(I$3&gt;=D$3,I$3&lt;D$3+Control!$C$100),(D$10-(D$10/Control!$C$100)*(I$3-D$3))*Control!$C$101/12,0)</f>
        <v/>
      </c>
      <c r="J35" s="37">
        <f>IF(AND(J$3&gt;=D$3,J$3&lt;D$3+Control!$C$100),(D$10-(D$10/Control!$C$100)*(J$3-D$3))*Control!$C$101/12,0)</f>
        <v/>
      </c>
      <c r="K35" s="37">
        <f>IF(AND(K$3&gt;=D$3,K$3&lt;D$3+Control!$C$100),(D$10-(D$10/Control!$C$100)*(K$3-D$3))*Control!$C$101/12,0)</f>
        <v/>
      </c>
      <c r="L35" s="37">
        <f>IF(AND(L$3&gt;=D$3,L$3&lt;D$3+Control!$C$100),(D$10-(D$10/Control!$C$100)*(L$3-D$3))*Control!$C$101/12,0)</f>
        <v/>
      </c>
      <c r="M35" s="37">
        <f>IF(AND(M$3&gt;=D$3,M$3&lt;D$3+Control!$C$100),(D$10-(D$10/Control!$C$100)*(M$3-D$3))*Control!$C$101/12,0)</f>
        <v/>
      </c>
      <c r="N35" s="37">
        <f>IF(AND(N$3&gt;=D$3,N$3&lt;D$3+Control!$C$100),(D$10-(D$10/Control!$C$100)*(N$3-D$3))*Control!$C$101/12,0)</f>
        <v/>
      </c>
      <c r="O35" s="37">
        <f>IF(AND(O$3&gt;=D$3,O$3&lt;D$3+Control!$C$100),(D$10-(D$10/Control!$C$100)*(O$3-D$3))*Control!$C$101/12,0)</f>
        <v/>
      </c>
    </row>
    <row r="36">
      <c r="A36" s="37" t="inlineStr">
        <is>
          <t>Origin 2</t>
        </is>
      </c>
      <c r="B36" s="37">
        <f>E4</f>
        <v/>
      </c>
      <c r="C36" s="40" t="n"/>
      <c r="D36" s="37">
        <f>IF(AND(D$3&gt;=E$3,D$3&lt;E$3+Control!$C$100),(E$10-(E$10/Control!$C$100)*(D$3-E$3))*Control!$C$101/12,0)</f>
        <v/>
      </c>
      <c r="E36" s="37">
        <f>IF(AND(E$3&gt;=E$3,E$3&lt;E$3+Control!$C$100),(E$10-(E$10/Control!$C$100)*(E$3-E$3))*Control!$C$101/12,0)</f>
        <v/>
      </c>
      <c r="F36" s="37">
        <f>IF(AND(F$3&gt;=E$3,F$3&lt;E$3+Control!$C$100),(E$10-(E$10/Control!$C$100)*(F$3-E$3))*Control!$C$101/12,0)</f>
        <v/>
      </c>
      <c r="G36" s="37">
        <f>IF(AND(G$3&gt;=E$3,G$3&lt;E$3+Control!$C$100),(E$10-(E$10/Control!$C$100)*(G$3-E$3))*Control!$C$101/12,0)</f>
        <v/>
      </c>
      <c r="H36" s="37">
        <f>IF(AND(H$3&gt;=E$3,H$3&lt;E$3+Control!$C$100),(E$10-(E$10/Control!$C$100)*(H$3-E$3))*Control!$C$101/12,0)</f>
        <v/>
      </c>
      <c r="I36" s="37">
        <f>IF(AND(I$3&gt;=E$3,I$3&lt;E$3+Control!$C$100),(E$10-(E$10/Control!$C$100)*(I$3-E$3))*Control!$C$101/12,0)</f>
        <v/>
      </c>
      <c r="J36" s="37">
        <f>IF(AND(J$3&gt;=E$3,J$3&lt;E$3+Control!$C$100),(E$10-(E$10/Control!$C$100)*(J$3-E$3))*Control!$C$101/12,0)</f>
        <v/>
      </c>
      <c r="K36" s="37">
        <f>IF(AND(K$3&gt;=E$3,K$3&lt;E$3+Control!$C$100),(E$10-(E$10/Control!$C$100)*(K$3-E$3))*Control!$C$101/12,0)</f>
        <v/>
      </c>
      <c r="L36" s="37">
        <f>IF(AND(L$3&gt;=E$3,L$3&lt;E$3+Control!$C$100),(E$10-(E$10/Control!$C$100)*(L$3-E$3))*Control!$C$101/12,0)</f>
        <v/>
      </c>
      <c r="M36" s="37">
        <f>IF(AND(M$3&gt;=E$3,M$3&lt;E$3+Control!$C$100),(E$10-(E$10/Control!$C$100)*(M$3-E$3))*Control!$C$101/12,0)</f>
        <v/>
      </c>
      <c r="N36" s="37">
        <f>IF(AND(N$3&gt;=E$3,N$3&lt;E$3+Control!$C$100),(E$10-(E$10/Control!$C$100)*(N$3-E$3))*Control!$C$101/12,0)</f>
        <v/>
      </c>
      <c r="O36" s="37">
        <f>IF(AND(O$3&gt;=E$3,O$3&lt;E$3+Control!$C$100),(E$10-(E$10/Control!$C$100)*(O$3-E$3))*Control!$C$101/12,0)</f>
        <v/>
      </c>
    </row>
    <row r="37">
      <c r="A37" s="37" t="inlineStr">
        <is>
          <t>Origin 3</t>
        </is>
      </c>
      <c r="B37" s="37">
        <f>F4</f>
        <v/>
      </c>
      <c r="C37" s="40" t="n"/>
      <c r="D37" s="37">
        <f>IF(AND(D$3&gt;=F$3,D$3&lt;F$3+Control!$C$100),(F$10-(F$10/Control!$C$100)*(D$3-F$3))*Control!$C$101/12,0)</f>
        <v/>
      </c>
      <c r="E37" s="37">
        <f>IF(AND(E$3&gt;=F$3,E$3&lt;F$3+Control!$C$100),(F$10-(F$10/Control!$C$100)*(E$3-F$3))*Control!$C$101/12,0)</f>
        <v/>
      </c>
      <c r="F37" s="37">
        <f>IF(AND(F$3&gt;=F$3,F$3&lt;F$3+Control!$C$100),(F$10-(F$10/Control!$C$100)*(F$3-F$3))*Control!$C$101/12,0)</f>
        <v/>
      </c>
      <c r="G37" s="37">
        <f>IF(AND(G$3&gt;=F$3,G$3&lt;F$3+Control!$C$100),(F$10-(F$10/Control!$C$100)*(G$3-F$3))*Control!$C$101/12,0)</f>
        <v/>
      </c>
      <c r="H37" s="37">
        <f>IF(AND(H$3&gt;=F$3,H$3&lt;F$3+Control!$C$100),(F$10-(F$10/Control!$C$100)*(H$3-F$3))*Control!$C$101/12,0)</f>
        <v/>
      </c>
      <c r="I37" s="37">
        <f>IF(AND(I$3&gt;=F$3,I$3&lt;F$3+Control!$C$100),(F$10-(F$10/Control!$C$100)*(I$3-F$3))*Control!$C$101/12,0)</f>
        <v/>
      </c>
      <c r="J37" s="37">
        <f>IF(AND(J$3&gt;=F$3,J$3&lt;F$3+Control!$C$100),(F$10-(F$10/Control!$C$100)*(J$3-F$3))*Control!$C$101/12,0)</f>
        <v/>
      </c>
      <c r="K37" s="37">
        <f>IF(AND(K$3&gt;=F$3,K$3&lt;F$3+Control!$C$100),(F$10-(F$10/Control!$C$100)*(K$3-F$3))*Control!$C$101/12,0)</f>
        <v/>
      </c>
      <c r="L37" s="37">
        <f>IF(AND(L$3&gt;=F$3,L$3&lt;F$3+Control!$C$100),(F$10-(F$10/Control!$C$100)*(L$3-F$3))*Control!$C$101/12,0)</f>
        <v/>
      </c>
      <c r="M37" s="37">
        <f>IF(AND(M$3&gt;=F$3,M$3&lt;F$3+Control!$C$100),(F$10-(F$10/Control!$C$100)*(M$3-F$3))*Control!$C$101/12,0)</f>
        <v/>
      </c>
      <c r="N37" s="37">
        <f>IF(AND(N$3&gt;=F$3,N$3&lt;F$3+Control!$C$100),(F$10-(F$10/Control!$C$100)*(N$3-F$3))*Control!$C$101/12,0)</f>
        <v/>
      </c>
      <c r="O37" s="37">
        <f>IF(AND(O$3&gt;=F$3,O$3&lt;F$3+Control!$C$100),(F$10-(F$10/Control!$C$100)*(O$3-F$3))*Control!$C$101/12,0)</f>
        <v/>
      </c>
    </row>
    <row r="38">
      <c r="A38" s="37" t="inlineStr">
        <is>
          <t>Origin 4</t>
        </is>
      </c>
      <c r="B38" s="37">
        <f>G4</f>
        <v/>
      </c>
      <c r="C38" s="40" t="n"/>
      <c r="D38" s="37">
        <f>IF(AND(D$3&gt;=G$3,D$3&lt;G$3+Control!$C$100),(G$10-(G$10/Control!$C$100)*(D$3-G$3))*Control!$C$101/12,0)</f>
        <v/>
      </c>
      <c r="E38" s="37">
        <f>IF(AND(E$3&gt;=G$3,E$3&lt;G$3+Control!$C$100),(G$10-(G$10/Control!$C$100)*(E$3-G$3))*Control!$C$101/12,0)</f>
        <v/>
      </c>
      <c r="F38" s="37">
        <f>IF(AND(F$3&gt;=G$3,F$3&lt;G$3+Control!$C$100),(G$10-(G$10/Control!$C$100)*(F$3-G$3))*Control!$C$101/12,0)</f>
        <v/>
      </c>
      <c r="G38" s="37">
        <f>IF(AND(G$3&gt;=G$3,G$3&lt;G$3+Control!$C$100),(G$10-(G$10/Control!$C$100)*(G$3-G$3))*Control!$C$101/12,0)</f>
        <v/>
      </c>
      <c r="H38" s="37">
        <f>IF(AND(H$3&gt;=G$3,H$3&lt;G$3+Control!$C$100),(G$10-(G$10/Control!$C$100)*(H$3-G$3))*Control!$C$101/12,0)</f>
        <v/>
      </c>
      <c r="I38" s="37">
        <f>IF(AND(I$3&gt;=G$3,I$3&lt;G$3+Control!$C$100),(G$10-(G$10/Control!$C$100)*(I$3-G$3))*Control!$C$101/12,0)</f>
        <v/>
      </c>
      <c r="J38" s="37">
        <f>IF(AND(J$3&gt;=G$3,J$3&lt;G$3+Control!$C$100),(G$10-(G$10/Control!$C$100)*(J$3-G$3))*Control!$C$101/12,0)</f>
        <v/>
      </c>
      <c r="K38" s="37">
        <f>IF(AND(K$3&gt;=G$3,K$3&lt;G$3+Control!$C$100),(G$10-(G$10/Control!$C$100)*(K$3-G$3))*Control!$C$101/12,0)</f>
        <v/>
      </c>
      <c r="L38" s="37">
        <f>IF(AND(L$3&gt;=G$3,L$3&lt;G$3+Control!$C$100),(G$10-(G$10/Control!$C$100)*(L$3-G$3))*Control!$C$101/12,0)</f>
        <v/>
      </c>
      <c r="M38" s="37">
        <f>IF(AND(M$3&gt;=G$3,M$3&lt;G$3+Control!$C$100),(G$10-(G$10/Control!$C$100)*(M$3-G$3))*Control!$C$101/12,0)</f>
        <v/>
      </c>
      <c r="N38" s="37">
        <f>IF(AND(N$3&gt;=G$3,N$3&lt;G$3+Control!$C$100),(G$10-(G$10/Control!$C$100)*(N$3-G$3))*Control!$C$101/12,0)</f>
        <v/>
      </c>
      <c r="O38" s="37">
        <f>IF(AND(O$3&gt;=G$3,O$3&lt;G$3+Control!$C$100),(G$10-(G$10/Control!$C$100)*(O$3-G$3))*Control!$C$101/12,0)</f>
        <v/>
      </c>
    </row>
    <row r="39">
      <c r="A39" s="37" t="inlineStr">
        <is>
          <t>Origin 5</t>
        </is>
      </c>
      <c r="B39" s="37">
        <f>H4</f>
        <v/>
      </c>
      <c r="C39" s="40" t="n"/>
      <c r="D39" s="37">
        <f>IF(AND(D$3&gt;=H$3,D$3&lt;H$3+Control!$C$100),(H$10-(H$10/Control!$C$100)*(D$3-H$3))*Control!$C$101/12,0)</f>
        <v/>
      </c>
      <c r="E39" s="37">
        <f>IF(AND(E$3&gt;=H$3,E$3&lt;H$3+Control!$C$100),(H$10-(H$10/Control!$C$100)*(E$3-H$3))*Control!$C$101/12,0)</f>
        <v/>
      </c>
      <c r="F39" s="37">
        <f>IF(AND(F$3&gt;=H$3,F$3&lt;H$3+Control!$C$100),(H$10-(H$10/Control!$C$100)*(F$3-H$3))*Control!$C$101/12,0)</f>
        <v/>
      </c>
      <c r="G39" s="37">
        <f>IF(AND(G$3&gt;=H$3,G$3&lt;H$3+Control!$C$100),(H$10-(H$10/Control!$C$100)*(G$3-H$3))*Control!$C$101/12,0)</f>
        <v/>
      </c>
      <c r="H39" s="37">
        <f>IF(AND(H$3&gt;=H$3,H$3&lt;H$3+Control!$C$100),(H$10-(H$10/Control!$C$100)*(H$3-H$3))*Control!$C$101/12,0)</f>
        <v/>
      </c>
      <c r="I39" s="37">
        <f>IF(AND(I$3&gt;=H$3,I$3&lt;H$3+Control!$C$100),(H$10-(H$10/Control!$C$100)*(I$3-H$3))*Control!$C$101/12,0)</f>
        <v/>
      </c>
      <c r="J39" s="37">
        <f>IF(AND(J$3&gt;=H$3,J$3&lt;H$3+Control!$C$100),(H$10-(H$10/Control!$C$100)*(J$3-H$3))*Control!$C$101/12,0)</f>
        <v/>
      </c>
      <c r="K39" s="37">
        <f>IF(AND(K$3&gt;=H$3,K$3&lt;H$3+Control!$C$100),(H$10-(H$10/Control!$C$100)*(K$3-H$3))*Control!$C$101/12,0)</f>
        <v/>
      </c>
      <c r="L39" s="37">
        <f>IF(AND(L$3&gt;=H$3,L$3&lt;H$3+Control!$C$100),(H$10-(H$10/Control!$C$100)*(L$3-H$3))*Control!$C$101/12,0)</f>
        <v/>
      </c>
      <c r="M39" s="37">
        <f>IF(AND(M$3&gt;=H$3,M$3&lt;H$3+Control!$C$100),(H$10-(H$10/Control!$C$100)*(M$3-H$3))*Control!$C$101/12,0)</f>
        <v/>
      </c>
      <c r="N39" s="37">
        <f>IF(AND(N$3&gt;=H$3,N$3&lt;H$3+Control!$C$100),(H$10-(H$10/Control!$C$100)*(N$3-H$3))*Control!$C$101/12,0)</f>
        <v/>
      </c>
      <c r="O39" s="37">
        <f>IF(AND(O$3&gt;=H$3,O$3&lt;H$3+Control!$C$100),(H$10-(H$10/Control!$C$100)*(O$3-H$3))*Control!$C$101/12,0)</f>
        <v/>
      </c>
    </row>
    <row r="40">
      <c r="A40" s="37" t="inlineStr">
        <is>
          <t>Origin 6</t>
        </is>
      </c>
      <c r="B40" s="37">
        <f>I4</f>
        <v/>
      </c>
      <c r="C40" s="40" t="n"/>
      <c r="D40" s="37">
        <f>IF(AND(D$3&gt;=I$3,D$3&lt;I$3+Control!$C$100),(I$10-(I$10/Control!$C$100)*(D$3-I$3))*Control!$C$101/12,0)</f>
        <v/>
      </c>
      <c r="E40" s="37">
        <f>IF(AND(E$3&gt;=I$3,E$3&lt;I$3+Control!$C$100),(I$10-(I$10/Control!$C$100)*(E$3-I$3))*Control!$C$101/12,0)</f>
        <v/>
      </c>
      <c r="F40" s="37">
        <f>IF(AND(F$3&gt;=I$3,F$3&lt;I$3+Control!$C$100),(I$10-(I$10/Control!$C$100)*(F$3-I$3))*Control!$C$101/12,0)</f>
        <v/>
      </c>
      <c r="G40" s="37">
        <f>IF(AND(G$3&gt;=I$3,G$3&lt;I$3+Control!$C$100),(I$10-(I$10/Control!$C$100)*(G$3-I$3))*Control!$C$101/12,0)</f>
        <v/>
      </c>
      <c r="H40" s="37">
        <f>IF(AND(H$3&gt;=I$3,H$3&lt;I$3+Control!$C$100),(I$10-(I$10/Control!$C$100)*(H$3-I$3))*Control!$C$101/12,0)</f>
        <v/>
      </c>
      <c r="I40" s="37">
        <f>IF(AND(I$3&gt;=I$3,I$3&lt;I$3+Control!$C$100),(I$10-(I$10/Control!$C$100)*(I$3-I$3))*Control!$C$101/12,0)</f>
        <v/>
      </c>
      <c r="J40" s="37">
        <f>IF(AND(J$3&gt;=I$3,J$3&lt;I$3+Control!$C$100),(I$10-(I$10/Control!$C$100)*(J$3-I$3))*Control!$C$101/12,0)</f>
        <v/>
      </c>
      <c r="K40" s="37">
        <f>IF(AND(K$3&gt;=I$3,K$3&lt;I$3+Control!$C$100),(I$10-(I$10/Control!$C$100)*(K$3-I$3))*Control!$C$101/12,0)</f>
        <v/>
      </c>
      <c r="L40" s="37">
        <f>IF(AND(L$3&gt;=I$3,L$3&lt;I$3+Control!$C$100),(I$10-(I$10/Control!$C$100)*(L$3-I$3))*Control!$C$101/12,0)</f>
        <v/>
      </c>
      <c r="M40" s="37">
        <f>IF(AND(M$3&gt;=I$3,M$3&lt;I$3+Control!$C$100),(I$10-(I$10/Control!$C$100)*(M$3-I$3))*Control!$C$101/12,0)</f>
        <v/>
      </c>
      <c r="N40" s="37">
        <f>IF(AND(N$3&gt;=I$3,N$3&lt;I$3+Control!$C$100),(I$10-(I$10/Control!$C$100)*(N$3-I$3))*Control!$C$101/12,0)</f>
        <v/>
      </c>
      <c r="O40" s="37">
        <f>IF(AND(O$3&gt;=I$3,O$3&lt;I$3+Control!$C$100),(I$10-(I$10/Control!$C$100)*(O$3-I$3))*Control!$C$101/12,0)</f>
        <v/>
      </c>
    </row>
    <row r="41">
      <c r="A41" s="37" t="inlineStr">
        <is>
          <t>Origin 7</t>
        </is>
      </c>
      <c r="B41" s="37">
        <f>J4</f>
        <v/>
      </c>
      <c r="C41" s="40" t="n"/>
      <c r="D41" s="37">
        <f>IF(AND(D$3&gt;=J$3,D$3&lt;J$3+Control!$C$100),(J$10-(J$10/Control!$C$100)*(D$3-J$3))*Control!$C$101/12,0)</f>
        <v/>
      </c>
      <c r="E41" s="37">
        <f>IF(AND(E$3&gt;=J$3,E$3&lt;J$3+Control!$C$100),(J$10-(J$10/Control!$C$100)*(E$3-J$3))*Control!$C$101/12,0)</f>
        <v/>
      </c>
      <c r="F41" s="37">
        <f>IF(AND(F$3&gt;=J$3,F$3&lt;J$3+Control!$C$100),(J$10-(J$10/Control!$C$100)*(F$3-J$3))*Control!$C$101/12,0)</f>
        <v/>
      </c>
      <c r="G41" s="37">
        <f>IF(AND(G$3&gt;=J$3,G$3&lt;J$3+Control!$C$100),(J$10-(J$10/Control!$C$100)*(G$3-J$3))*Control!$C$101/12,0)</f>
        <v/>
      </c>
      <c r="H41" s="37">
        <f>IF(AND(H$3&gt;=J$3,H$3&lt;J$3+Control!$C$100),(J$10-(J$10/Control!$C$100)*(H$3-J$3))*Control!$C$101/12,0)</f>
        <v/>
      </c>
      <c r="I41" s="37">
        <f>IF(AND(I$3&gt;=J$3,I$3&lt;J$3+Control!$C$100),(J$10-(J$10/Control!$C$100)*(I$3-J$3))*Control!$C$101/12,0)</f>
        <v/>
      </c>
      <c r="J41" s="37">
        <f>IF(AND(J$3&gt;=J$3,J$3&lt;J$3+Control!$C$100),(J$10-(J$10/Control!$C$100)*(J$3-J$3))*Control!$C$101/12,0)</f>
        <v/>
      </c>
      <c r="K41" s="37">
        <f>IF(AND(K$3&gt;=J$3,K$3&lt;J$3+Control!$C$100),(J$10-(J$10/Control!$C$100)*(K$3-J$3))*Control!$C$101/12,0)</f>
        <v/>
      </c>
      <c r="L41" s="37">
        <f>IF(AND(L$3&gt;=J$3,L$3&lt;J$3+Control!$C$100),(J$10-(J$10/Control!$C$100)*(L$3-J$3))*Control!$C$101/12,0)</f>
        <v/>
      </c>
      <c r="M41" s="37">
        <f>IF(AND(M$3&gt;=J$3,M$3&lt;J$3+Control!$C$100),(J$10-(J$10/Control!$C$100)*(M$3-J$3))*Control!$C$101/12,0)</f>
        <v/>
      </c>
      <c r="N41" s="37">
        <f>IF(AND(N$3&gt;=J$3,N$3&lt;J$3+Control!$C$100),(J$10-(J$10/Control!$C$100)*(N$3-J$3))*Control!$C$101/12,0)</f>
        <v/>
      </c>
      <c r="O41" s="37">
        <f>IF(AND(O$3&gt;=J$3,O$3&lt;J$3+Control!$C$100),(J$10-(J$10/Control!$C$100)*(O$3-J$3))*Control!$C$101/12,0)</f>
        <v/>
      </c>
    </row>
    <row r="42">
      <c r="A42" s="37" t="inlineStr">
        <is>
          <t>Origin 8</t>
        </is>
      </c>
      <c r="B42" s="37">
        <f>K4</f>
        <v/>
      </c>
      <c r="C42" s="40" t="n"/>
      <c r="D42" s="37">
        <f>IF(AND(D$3&gt;=K$3,D$3&lt;K$3+Control!$C$100),(K$10-(K$10/Control!$C$100)*(D$3-K$3))*Control!$C$101/12,0)</f>
        <v/>
      </c>
      <c r="E42" s="37">
        <f>IF(AND(E$3&gt;=K$3,E$3&lt;K$3+Control!$C$100),(K$10-(K$10/Control!$C$100)*(E$3-K$3))*Control!$C$101/12,0)</f>
        <v/>
      </c>
      <c r="F42" s="37">
        <f>IF(AND(F$3&gt;=K$3,F$3&lt;K$3+Control!$C$100),(K$10-(K$10/Control!$C$100)*(F$3-K$3))*Control!$C$101/12,0)</f>
        <v/>
      </c>
      <c r="G42" s="37">
        <f>IF(AND(G$3&gt;=K$3,G$3&lt;K$3+Control!$C$100),(K$10-(K$10/Control!$C$100)*(G$3-K$3))*Control!$C$101/12,0)</f>
        <v/>
      </c>
      <c r="H42" s="37">
        <f>IF(AND(H$3&gt;=K$3,H$3&lt;K$3+Control!$C$100),(K$10-(K$10/Control!$C$100)*(H$3-K$3))*Control!$C$101/12,0)</f>
        <v/>
      </c>
      <c r="I42" s="37">
        <f>IF(AND(I$3&gt;=K$3,I$3&lt;K$3+Control!$C$100),(K$10-(K$10/Control!$C$100)*(I$3-K$3))*Control!$C$101/12,0)</f>
        <v/>
      </c>
      <c r="J42" s="37">
        <f>IF(AND(J$3&gt;=K$3,J$3&lt;K$3+Control!$C$100),(K$10-(K$10/Control!$C$100)*(J$3-K$3))*Control!$C$101/12,0)</f>
        <v/>
      </c>
      <c r="K42" s="37">
        <f>IF(AND(K$3&gt;=K$3,K$3&lt;K$3+Control!$C$100),(K$10-(K$10/Control!$C$100)*(K$3-K$3))*Control!$C$101/12,0)</f>
        <v/>
      </c>
      <c r="L42" s="37">
        <f>IF(AND(L$3&gt;=K$3,L$3&lt;K$3+Control!$C$100),(K$10-(K$10/Control!$C$100)*(L$3-K$3))*Control!$C$101/12,0)</f>
        <v/>
      </c>
      <c r="M42" s="37">
        <f>IF(AND(M$3&gt;=K$3,M$3&lt;K$3+Control!$C$100),(K$10-(K$10/Control!$C$100)*(M$3-K$3))*Control!$C$101/12,0)</f>
        <v/>
      </c>
      <c r="N42" s="37">
        <f>IF(AND(N$3&gt;=K$3,N$3&lt;K$3+Control!$C$100),(K$10-(K$10/Control!$C$100)*(N$3-K$3))*Control!$C$101/12,0)</f>
        <v/>
      </c>
      <c r="O42" s="37">
        <f>IF(AND(O$3&gt;=K$3,O$3&lt;K$3+Control!$C$100),(K$10-(K$10/Control!$C$100)*(O$3-K$3))*Control!$C$101/12,0)</f>
        <v/>
      </c>
    </row>
    <row r="43">
      <c r="A43" s="37" t="inlineStr">
        <is>
          <t>Origin 9</t>
        </is>
      </c>
      <c r="B43" s="37">
        <f>L4</f>
        <v/>
      </c>
      <c r="C43" s="40" t="n"/>
      <c r="D43" s="37">
        <f>IF(AND(D$3&gt;=L$3,D$3&lt;L$3+Control!$C$100),(L$10-(L$10/Control!$C$100)*(D$3-L$3))*Control!$C$101/12,0)</f>
        <v/>
      </c>
      <c r="E43" s="37">
        <f>IF(AND(E$3&gt;=L$3,E$3&lt;L$3+Control!$C$100),(L$10-(L$10/Control!$C$100)*(E$3-L$3))*Control!$C$101/12,0)</f>
        <v/>
      </c>
      <c r="F43" s="37">
        <f>IF(AND(F$3&gt;=L$3,F$3&lt;L$3+Control!$C$100),(L$10-(L$10/Control!$C$100)*(F$3-L$3))*Control!$C$101/12,0)</f>
        <v/>
      </c>
      <c r="G43" s="37">
        <f>IF(AND(G$3&gt;=L$3,G$3&lt;L$3+Control!$C$100),(L$10-(L$10/Control!$C$100)*(G$3-L$3))*Control!$C$101/12,0)</f>
        <v/>
      </c>
      <c r="H43" s="37">
        <f>IF(AND(H$3&gt;=L$3,H$3&lt;L$3+Control!$C$100),(L$10-(L$10/Control!$C$100)*(H$3-L$3))*Control!$C$101/12,0)</f>
        <v/>
      </c>
      <c r="I43" s="37">
        <f>IF(AND(I$3&gt;=L$3,I$3&lt;L$3+Control!$C$100),(L$10-(L$10/Control!$C$100)*(I$3-L$3))*Control!$C$101/12,0)</f>
        <v/>
      </c>
      <c r="J43" s="37">
        <f>IF(AND(J$3&gt;=L$3,J$3&lt;L$3+Control!$C$100),(L$10-(L$10/Control!$C$100)*(J$3-L$3))*Control!$C$101/12,0)</f>
        <v/>
      </c>
      <c r="K43" s="37">
        <f>IF(AND(K$3&gt;=L$3,K$3&lt;L$3+Control!$C$100),(L$10-(L$10/Control!$C$100)*(K$3-L$3))*Control!$C$101/12,0)</f>
        <v/>
      </c>
      <c r="L43" s="37">
        <f>IF(AND(L$3&gt;=L$3,L$3&lt;L$3+Control!$C$100),(L$10-(L$10/Control!$C$100)*(L$3-L$3))*Control!$C$101/12,0)</f>
        <v/>
      </c>
      <c r="M43" s="37">
        <f>IF(AND(M$3&gt;=L$3,M$3&lt;L$3+Control!$C$100),(L$10-(L$10/Control!$C$100)*(M$3-L$3))*Control!$C$101/12,0)</f>
        <v/>
      </c>
      <c r="N43" s="37">
        <f>IF(AND(N$3&gt;=L$3,N$3&lt;L$3+Control!$C$100),(L$10-(L$10/Control!$C$100)*(N$3-L$3))*Control!$C$101/12,0)</f>
        <v/>
      </c>
      <c r="O43" s="37">
        <f>IF(AND(O$3&gt;=L$3,O$3&lt;L$3+Control!$C$100),(L$10-(L$10/Control!$C$100)*(O$3-L$3))*Control!$C$101/12,0)</f>
        <v/>
      </c>
    </row>
    <row r="44">
      <c r="A44" s="37" t="inlineStr">
        <is>
          <t>Origin 10</t>
        </is>
      </c>
      <c r="B44" s="37">
        <f>M4</f>
        <v/>
      </c>
      <c r="C44" s="40" t="n"/>
      <c r="D44" s="37">
        <f>IF(AND(D$3&gt;=M$3,D$3&lt;M$3+Control!$C$100),(M$10-(M$10/Control!$C$100)*(D$3-M$3))*Control!$C$101/12,0)</f>
        <v/>
      </c>
      <c r="E44" s="37">
        <f>IF(AND(E$3&gt;=M$3,E$3&lt;M$3+Control!$C$100),(M$10-(M$10/Control!$C$100)*(E$3-M$3))*Control!$C$101/12,0)</f>
        <v/>
      </c>
      <c r="F44" s="37">
        <f>IF(AND(F$3&gt;=M$3,F$3&lt;M$3+Control!$C$100),(M$10-(M$10/Control!$C$100)*(F$3-M$3))*Control!$C$101/12,0)</f>
        <v/>
      </c>
      <c r="G44" s="37">
        <f>IF(AND(G$3&gt;=M$3,G$3&lt;M$3+Control!$C$100),(M$10-(M$10/Control!$C$100)*(G$3-M$3))*Control!$C$101/12,0)</f>
        <v/>
      </c>
      <c r="H44" s="37">
        <f>IF(AND(H$3&gt;=M$3,H$3&lt;M$3+Control!$C$100),(M$10-(M$10/Control!$C$100)*(H$3-M$3))*Control!$C$101/12,0)</f>
        <v/>
      </c>
      <c r="I44" s="37">
        <f>IF(AND(I$3&gt;=M$3,I$3&lt;M$3+Control!$C$100),(M$10-(M$10/Control!$C$100)*(I$3-M$3))*Control!$C$101/12,0)</f>
        <v/>
      </c>
      <c r="J44" s="37">
        <f>IF(AND(J$3&gt;=M$3,J$3&lt;M$3+Control!$C$100),(M$10-(M$10/Control!$C$100)*(J$3-M$3))*Control!$C$101/12,0)</f>
        <v/>
      </c>
      <c r="K44" s="37">
        <f>IF(AND(K$3&gt;=M$3,K$3&lt;M$3+Control!$C$100),(M$10-(M$10/Control!$C$100)*(K$3-M$3))*Control!$C$101/12,0)</f>
        <v/>
      </c>
      <c r="L44" s="37">
        <f>IF(AND(L$3&gt;=M$3,L$3&lt;M$3+Control!$C$100),(M$10-(M$10/Control!$C$100)*(L$3-M$3))*Control!$C$101/12,0)</f>
        <v/>
      </c>
      <c r="M44" s="37">
        <f>IF(AND(M$3&gt;=M$3,M$3&lt;M$3+Control!$C$100),(M$10-(M$10/Control!$C$100)*(M$3-M$3))*Control!$C$101/12,0)</f>
        <v/>
      </c>
      <c r="N44" s="37">
        <f>IF(AND(N$3&gt;=M$3,N$3&lt;M$3+Control!$C$100),(M$10-(M$10/Control!$C$100)*(N$3-M$3))*Control!$C$101/12,0)</f>
        <v/>
      </c>
      <c r="O44" s="37">
        <f>IF(AND(O$3&gt;=M$3,O$3&lt;M$3+Control!$C$100),(M$10-(M$10/Control!$C$100)*(O$3-M$3))*Control!$C$101/12,0)</f>
        <v/>
      </c>
    </row>
    <row r="45">
      <c r="A45" s="37" t="inlineStr">
        <is>
          <t>Origin 11</t>
        </is>
      </c>
      <c r="B45" s="37">
        <f>N4</f>
        <v/>
      </c>
      <c r="C45" s="40" t="n"/>
      <c r="D45" s="37">
        <f>IF(AND(D$3&gt;=N$3,D$3&lt;N$3+Control!$C$100),(N$10-(N$10/Control!$C$100)*(D$3-N$3))*Control!$C$101/12,0)</f>
        <v/>
      </c>
      <c r="E45" s="37">
        <f>IF(AND(E$3&gt;=N$3,E$3&lt;N$3+Control!$C$100),(N$10-(N$10/Control!$C$100)*(E$3-N$3))*Control!$C$101/12,0)</f>
        <v/>
      </c>
      <c r="F45" s="37">
        <f>IF(AND(F$3&gt;=N$3,F$3&lt;N$3+Control!$C$100),(N$10-(N$10/Control!$C$100)*(F$3-N$3))*Control!$C$101/12,0)</f>
        <v/>
      </c>
      <c r="G45" s="37">
        <f>IF(AND(G$3&gt;=N$3,G$3&lt;N$3+Control!$C$100),(N$10-(N$10/Control!$C$100)*(G$3-N$3))*Control!$C$101/12,0)</f>
        <v/>
      </c>
      <c r="H45" s="37">
        <f>IF(AND(H$3&gt;=N$3,H$3&lt;N$3+Control!$C$100),(N$10-(N$10/Control!$C$100)*(H$3-N$3))*Control!$C$101/12,0)</f>
        <v/>
      </c>
      <c r="I45" s="37">
        <f>IF(AND(I$3&gt;=N$3,I$3&lt;N$3+Control!$C$100),(N$10-(N$10/Control!$C$100)*(I$3-N$3))*Control!$C$101/12,0)</f>
        <v/>
      </c>
      <c r="J45" s="37">
        <f>IF(AND(J$3&gt;=N$3,J$3&lt;N$3+Control!$C$100),(N$10-(N$10/Control!$C$100)*(J$3-N$3))*Control!$C$101/12,0)</f>
        <v/>
      </c>
      <c r="K45" s="37">
        <f>IF(AND(K$3&gt;=N$3,K$3&lt;N$3+Control!$C$100),(N$10-(N$10/Control!$C$100)*(K$3-N$3))*Control!$C$101/12,0)</f>
        <v/>
      </c>
      <c r="L45" s="37">
        <f>IF(AND(L$3&gt;=N$3,L$3&lt;N$3+Control!$C$100),(N$10-(N$10/Control!$C$100)*(L$3-N$3))*Control!$C$101/12,0)</f>
        <v/>
      </c>
      <c r="M45" s="37">
        <f>IF(AND(M$3&gt;=N$3,M$3&lt;N$3+Control!$C$100),(N$10-(N$10/Control!$C$100)*(M$3-N$3))*Control!$C$101/12,0)</f>
        <v/>
      </c>
      <c r="N45" s="37">
        <f>IF(AND(N$3&gt;=N$3,N$3&lt;N$3+Control!$C$100),(N$10-(N$10/Control!$C$100)*(N$3-N$3))*Control!$C$101/12,0)</f>
        <v/>
      </c>
      <c r="O45" s="37">
        <f>IF(AND(O$3&gt;=N$3,O$3&lt;N$3+Control!$C$100),(N$10-(N$10/Control!$C$100)*(O$3-N$3))*Control!$C$101/12,0)</f>
        <v/>
      </c>
    </row>
    <row r="46">
      <c r="A46" s="37" t="inlineStr">
        <is>
          <t>Origin 12</t>
        </is>
      </c>
      <c r="B46" s="37">
        <f>O4</f>
        <v/>
      </c>
      <c r="C46" s="40" t="n"/>
      <c r="D46" s="37">
        <f>IF(AND(D$3&gt;=O$3,D$3&lt;O$3+Control!$C$100),(O$10-(O$10/Control!$C$100)*(D$3-O$3))*Control!$C$101/12,0)</f>
        <v/>
      </c>
      <c r="E46" s="37">
        <f>IF(AND(E$3&gt;=O$3,E$3&lt;O$3+Control!$C$100),(O$10-(O$10/Control!$C$100)*(E$3-O$3))*Control!$C$101/12,0)</f>
        <v/>
      </c>
      <c r="F46" s="37">
        <f>IF(AND(F$3&gt;=O$3,F$3&lt;O$3+Control!$C$100),(O$10-(O$10/Control!$C$100)*(F$3-O$3))*Control!$C$101/12,0)</f>
        <v/>
      </c>
      <c r="G46" s="37">
        <f>IF(AND(G$3&gt;=O$3,G$3&lt;O$3+Control!$C$100),(O$10-(O$10/Control!$C$100)*(G$3-O$3))*Control!$C$101/12,0)</f>
        <v/>
      </c>
      <c r="H46" s="37">
        <f>IF(AND(H$3&gt;=O$3,H$3&lt;O$3+Control!$C$100),(O$10-(O$10/Control!$C$100)*(H$3-O$3))*Control!$C$101/12,0)</f>
        <v/>
      </c>
      <c r="I46" s="37">
        <f>IF(AND(I$3&gt;=O$3,I$3&lt;O$3+Control!$C$100),(O$10-(O$10/Control!$C$100)*(I$3-O$3))*Control!$C$101/12,0)</f>
        <v/>
      </c>
      <c r="J46" s="37">
        <f>IF(AND(J$3&gt;=O$3,J$3&lt;O$3+Control!$C$100),(O$10-(O$10/Control!$C$100)*(J$3-O$3))*Control!$C$101/12,0)</f>
        <v/>
      </c>
      <c r="K46" s="37">
        <f>IF(AND(K$3&gt;=O$3,K$3&lt;O$3+Control!$C$100),(O$10-(O$10/Control!$C$100)*(K$3-O$3))*Control!$C$101/12,0)</f>
        <v/>
      </c>
      <c r="L46" s="37">
        <f>IF(AND(L$3&gt;=O$3,L$3&lt;O$3+Control!$C$100),(O$10-(O$10/Control!$C$100)*(L$3-O$3))*Control!$C$101/12,0)</f>
        <v/>
      </c>
      <c r="M46" s="37">
        <f>IF(AND(M$3&gt;=O$3,M$3&lt;O$3+Control!$C$100),(O$10-(O$10/Control!$C$100)*(M$3-O$3))*Control!$C$101/12,0)</f>
        <v/>
      </c>
      <c r="N46" s="37">
        <f>IF(AND(N$3&gt;=O$3,N$3&lt;O$3+Control!$C$100),(O$10-(O$10/Control!$C$100)*(N$3-O$3))*Control!$C$101/12,0)</f>
        <v/>
      </c>
      <c r="O46" s="37">
        <f>IF(AND(O$3&gt;=O$3,O$3&lt;O$3+Control!$C$100),(O$10-(O$10/Control!$C$100)*(O$3-O$3))*Control!$C$101/12,0)</f>
        <v/>
      </c>
    </row>
    <row r="47">
      <c r="A47" s="40" t="n"/>
      <c r="B47" s="40" t="n"/>
      <c r="C47" s="40" t="n"/>
      <c r="D47" s="40" t="n"/>
      <c r="E47" s="40" t="n"/>
      <c r="F47" s="40" t="n"/>
      <c r="G47" s="40" t="n"/>
      <c r="H47" s="40" t="n"/>
      <c r="I47" s="40" t="n"/>
      <c r="J47" s="40" t="n"/>
      <c r="K47" s="40" t="n"/>
      <c r="L47" s="40" t="n"/>
      <c r="M47" s="40" t="n"/>
      <c r="N47" s="40" t="n"/>
      <c r="O47" s="40" t="n"/>
    </row>
    <row r="48">
      <c r="A48" s="37" t="inlineStr">
        <is>
          <t>Commercial note</t>
        </is>
      </c>
      <c r="B48" s="40" t="n"/>
      <c r="C48" s="40" t="n"/>
      <c r="D48" s="37" t="inlineStr">
        <is>
          <t>Attached supplier contract mechanics used in the model: 60% deposit, 40% balance over 6 monthly installments, 6% simple annual interest, EXW delivery, and buyer-borne logistics / insurance.</t>
        </is>
      </c>
      <c r="E48" s="40" t="n"/>
      <c r="F48" s="40" t="n"/>
      <c r="G48" s="40" t="n"/>
      <c r="H48" s="40" t="n"/>
      <c r="I48" s="40" t="n"/>
      <c r="J48" s="40" t="n"/>
      <c r="K48" s="40" t="n"/>
      <c r="L48" s="40" t="n"/>
      <c r="M48" s="40" t="n"/>
      <c r="N48" s="40" t="n"/>
      <c r="O48" s="40" t="n"/>
    </row>
    <row r="49">
      <c r="A49" s="37" t="inlineStr">
        <is>
          <t>Transparency note</t>
        </is>
      </c>
      <c r="B49" s="40" t="n"/>
      <c r="C49" s="40" t="n"/>
      <c r="D49" s="37" t="inlineStr">
        <is>
          <t>The attached commercial document itself references M73s hardware, not M7DS. In this model, the financing mechanics are used as the placeholder commercial template, while the selected hardware remains WhatsMiner M7DS per management instruction.</t>
        </is>
      </c>
      <c r="E49" s="40" t="n"/>
      <c r="F49" s="40" t="n"/>
      <c r="G49" s="40" t="n"/>
      <c r="H49" s="40" t="n"/>
      <c r="I49" s="40" t="n"/>
      <c r="J49" s="40" t="n"/>
      <c r="K49" s="40" t="n"/>
      <c r="L49" s="40" t="n"/>
      <c r="M49" s="40" t="n"/>
      <c r="N49" s="40" t="n"/>
      <c r="O49" s="40" t="n"/>
    </row>
  </sheetData>
  <mergeCells count="4">
    <mergeCell ref="A1:O1"/>
    <mergeCell ref="A33:O33"/>
    <mergeCell ref="A2:O2"/>
    <mergeCell ref="A17:O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cols>
    <col width="28" customWidth="1" min="1" max="1"/>
    <col width="22" customWidth="1" min="2" max="2"/>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34" t="inlineStr">
        <is>
          <t>12-Month Electrical EPC Tranches</t>
        </is>
      </c>
    </row>
    <row r="2">
      <c r="A2" s="48" t="inlineStr">
        <is>
          <t>Uses the Hamar 20MW electrical EPC basis and assumed EPC payment mechanics. Scope note: 6.6kV feeders to 400V container connections, including essential section and DX metering scope.</t>
        </is>
      </c>
    </row>
    <row r="3">
      <c r="D3" s="47" t="n">
        <v>1</v>
      </c>
      <c r="E3" s="47" t="n">
        <v>2</v>
      </c>
      <c r="F3" s="47" t="n">
        <v>3</v>
      </c>
      <c r="G3" s="47" t="n">
        <v>4</v>
      </c>
      <c r="H3" s="47" t="n">
        <v>5</v>
      </c>
      <c r="I3" s="47" t="n">
        <v>6</v>
      </c>
      <c r="J3" s="47" t="n">
        <v>7</v>
      </c>
      <c r="K3" s="47" t="n">
        <v>8</v>
      </c>
      <c r="L3" s="47" t="n">
        <v>9</v>
      </c>
      <c r="M3" s="47" t="n">
        <v>10</v>
      </c>
      <c r="N3" s="47" t="n">
        <v>11</v>
      </c>
      <c r="O3" s="47" t="n">
        <v>12</v>
      </c>
    </row>
    <row r="4">
      <c r="A4" s="40" t="n"/>
      <c r="B4" s="40" t="n"/>
      <c r="C4" s="40" t="n"/>
      <c r="D4" s="37">
        <f>'12M_Deployment'!D4</f>
        <v/>
      </c>
      <c r="E4" s="37">
        <f>'12M_Deployment'!E4</f>
        <v/>
      </c>
      <c r="F4" s="37">
        <f>'12M_Deployment'!F4</f>
        <v/>
      </c>
      <c r="G4" s="37">
        <f>'12M_Deployment'!G4</f>
        <v/>
      </c>
      <c r="H4" s="37">
        <f>'12M_Deployment'!H4</f>
        <v/>
      </c>
      <c r="I4" s="37">
        <f>'12M_Deployment'!I4</f>
        <v/>
      </c>
      <c r="J4" s="37">
        <f>'12M_Deployment'!J4</f>
        <v/>
      </c>
      <c r="K4" s="37">
        <f>'12M_Deployment'!K4</f>
        <v/>
      </c>
      <c r="L4" s="37">
        <f>'12M_Deployment'!L4</f>
        <v/>
      </c>
      <c r="M4" s="37">
        <f>'12M_Deployment'!M4</f>
        <v/>
      </c>
      <c r="N4" s="37">
        <f>'12M_Deployment'!N4</f>
        <v/>
      </c>
      <c r="O4" s="37">
        <f>'12M_Deployment'!O4</f>
        <v/>
      </c>
    </row>
    <row r="5">
      <c r="A5" s="37" t="inlineStr">
        <is>
          <t>Gross electrical EPC basis</t>
        </is>
      </c>
      <c r="B5" s="37" t="inlineStr">
        <is>
          <t>ZAR'000</t>
        </is>
      </c>
      <c r="C5" s="40" t="n"/>
      <c r="D5" s="37">
        <f>'12M_Deployment'!D32*CAPEX_Electrical_Detail!$C$26+'12M_Deployment'!D24*CAPEX_Electrical_Detail!$C$27</f>
        <v/>
      </c>
      <c r="E5" s="37">
        <f>'12M_Deployment'!E32*CAPEX_Electrical_Detail!$C$26+'12M_Deployment'!E24*CAPEX_Electrical_Detail!$C$27</f>
        <v/>
      </c>
      <c r="F5" s="37">
        <f>'12M_Deployment'!F32*CAPEX_Electrical_Detail!$C$26+'12M_Deployment'!F24*CAPEX_Electrical_Detail!$C$27</f>
        <v/>
      </c>
      <c r="G5" s="37">
        <f>'12M_Deployment'!G32*CAPEX_Electrical_Detail!$C$26+'12M_Deployment'!G24*CAPEX_Electrical_Detail!$C$27</f>
        <v/>
      </c>
      <c r="H5" s="37">
        <f>'12M_Deployment'!H32*CAPEX_Electrical_Detail!$C$26+'12M_Deployment'!H24*CAPEX_Electrical_Detail!$C$27</f>
        <v/>
      </c>
      <c r="I5" s="37">
        <f>'12M_Deployment'!I32*CAPEX_Electrical_Detail!$C$26+'12M_Deployment'!I24*CAPEX_Electrical_Detail!$C$27</f>
        <v/>
      </c>
      <c r="J5" s="37">
        <f>'12M_Deployment'!J32*CAPEX_Electrical_Detail!$C$26+'12M_Deployment'!J24*CAPEX_Electrical_Detail!$C$27</f>
        <v/>
      </c>
      <c r="K5" s="37">
        <f>'12M_Deployment'!K32*CAPEX_Electrical_Detail!$C$26+'12M_Deployment'!K24*CAPEX_Electrical_Detail!$C$27</f>
        <v/>
      </c>
      <c r="L5" s="37">
        <f>'12M_Deployment'!L32*CAPEX_Electrical_Detail!$C$26+'12M_Deployment'!L24*CAPEX_Electrical_Detail!$C$27</f>
        <v/>
      </c>
      <c r="M5" s="37">
        <f>'12M_Deployment'!M32*CAPEX_Electrical_Detail!$C$26+'12M_Deployment'!M24*CAPEX_Electrical_Detail!$C$27</f>
        <v/>
      </c>
      <c r="N5" s="37">
        <f>'12M_Deployment'!N32*CAPEX_Electrical_Detail!$C$26+'12M_Deployment'!N24*CAPEX_Electrical_Detail!$C$27</f>
        <v/>
      </c>
      <c r="O5" s="37">
        <f>'12M_Deployment'!O32*CAPEX_Electrical_Detail!$C$26+'12M_Deployment'!O24*CAPEX_Electrical_Detail!$C$27</f>
        <v/>
      </c>
    </row>
    <row r="6">
      <c r="A6" s="37" t="inlineStr">
        <is>
          <t>Deposit cash due</t>
        </is>
      </c>
      <c r="B6" s="37" t="inlineStr">
        <is>
          <t>ZAR'000</t>
        </is>
      </c>
      <c r="C6" s="40" t="n"/>
      <c r="D6" s="37">
        <f>IFERROR(OFFSET(D5,0,Control!$C$102)*Control!$C$103,0)</f>
        <v/>
      </c>
      <c r="E6" s="37">
        <f>IFERROR(OFFSET(E5,0,Control!$C$102)*Control!$C$103,0)</f>
        <v/>
      </c>
      <c r="F6" s="37">
        <f>IFERROR(OFFSET(F5,0,Control!$C$102)*Control!$C$103,0)</f>
        <v/>
      </c>
      <c r="G6" s="37">
        <f>IFERROR(OFFSET(G5,0,Control!$C$102)*Control!$C$103,0)</f>
        <v/>
      </c>
      <c r="H6" s="37">
        <f>IFERROR(OFFSET(H5,0,Control!$C$102)*Control!$C$103,0)</f>
        <v/>
      </c>
      <c r="I6" s="37">
        <f>IFERROR(OFFSET(I5,0,Control!$C$102)*Control!$C$103,0)</f>
        <v/>
      </c>
      <c r="J6" s="37">
        <f>IFERROR(OFFSET(J5,0,Control!$C$102)*Control!$C$103,0)</f>
        <v/>
      </c>
      <c r="K6" s="37">
        <f>IFERROR(OFFSET(K5,0,Control!$C$102)*Control!$C$103,0)</f>
        <v/>
      </c>
      <c r="L6" s="37">
        <f>IFERROR(OFFSET(L5,0,Control!$C$102)*Control!$C$103,0)</f>
        <v/>
      </c>
      <c r="M6" s="37">
        <f>IFERROR(OFFSET(M5,0,Control!$C$102)*Control!$C$103,0)</f>
        <v/>
      </c>
      <c r="N6" s="37">
        <f>IFERROR(OFFSET(N5,0,Control!$C$102)*Control!$C$103,0)</f>
        <v/>
      </c>
      <c r="O6" s="37">
        <f>IFERROR(OFFSET(O5,0,Control!$C$102)*Control!$C$103,0)</f>
        <v/>
      </c>
    </row>
    <row r="7">
      <c r="A7" s="37" t="inlineStr">
        <is>
          <t>Procurement / progress payment</t>
        </is>
      </c>
      <c r="B7" s="37" t="inlineStr">
        <is>
          <t>ZAR'000</t>
        </is>
      </c>
      <c r="C7" s="40" t="n"/>
      <c r="D7" s="37">
        <f>IF(Control!$C$102&gt;0,IFERROR(OFFSET(D5,0,Control!$C$102-1)*Control!$C$104,0),0)</f>
        <v/>
      </c>
      <c r="E7" s="37">
        <f>IF(Control!$C$102&gt;0,IFERROR(OFFSET(E5,0,Control!$C$102-1)*Control!$C$104,0),0)</f>
        <v/>
      </c>
      <c r="F7" s="37">
        <f>IF(Control!$C$102&gt;0,IFERROR(OFFSET(F5,0,Control!$C$102-1)*Control!$C$104,0),0)</f>
        <v/>
      </c>
      <c r="G7" s="37">
        <f>IF(Control!$C$102&gt;0,IFERROR(OFFSET(G5,0,Control!$C$102-1)*Control!$C$104,0),0)</f>
        <v/>
      </c>
      <c r="H7" s="37">
        <f>IF(Control!$C$102&gt;0,IFERROR(OFFSET(H5,0,Control!$C$102-1)*Control!$C$104,0),0)</f>
        <v/>
      </c>
      <c r="I7" s="37">
        <f>IF(Control!$C$102&gt;0,IFERROR(OFFSET(I5,0,Control!$C$102-1)*Control!$C$104,0),0)</f>
        <v/>
      </c>
      <c r="J7" s="37">
        <f>IF(Control!$C$102&gt;0,IFERROR(OFFSET(J5,0,Control!$C$102-1)*Control!$C$104,0),0)</f>
        <v/>
      </c>
      <c r="K7" s="37">
        <f>IF(Control!$C$102&gt;0,IFERROR(OFFSET(K5,0,Control!$C$102-1)*Control!$C$104,0),0)</f>
        <v/>
      </c>
      <c r="L7" s="37">
        <f>IF(Control!$C$102&gt;0,IFERROR(OFFSET(L5,0,Control!$C$102-1)*Control!$C$104,0),0)</f>
        <v/>
      </c>
      <c r="M7" s="37">
        <f>IF(Control!$C$102&gt;0,IFERROR(OFFSET(M5,0,Control!$C$102-1)*Control!$C$104,0),0)</f>
        <v/>
      </c>
      <c r="N7" s="37">
        <f>IF(Control!$C$102&gt;0,IFERROR(OFFSET(N5,0,Control!$C$102-1)*Control!$C$104,0),0)</f>
        <v/>
      </c>
      <c r="O7" s="37">
        <f>IF(Control!$C$102&gt;0,IFERROR(OFFSET(O5,0,Control!$C$102-1)*Control!$C$104,0),0)</f>
        <v/>
      </c>
    </row>
    <row r="8">
      <c r="A8" s="37" t="inlineStr">
        <is>
          <t>Installation payment</t>
        </is>
      </c>
      <c r="B8" s="37" t="inlineStr">
        <is>
          <t>ZAR'000</t>
        </is>
      </c>
      <c r="C8" s="40" t="n"/>
      <c r="D8" s="37">
        <f>D5*Control!$C$105</f>
        <v/>
      </c>
      <c r="E8" s="37">
        <f>E5*Control!$C$105</f>
        <v/>
      </c>
      <c r="F8" s="37">
        <f>F5*Control!$C$105</f>
        <v/>
      </c>
      <c r="G8" s="37">
        <f>G5*Control!$C$105</f>
        <v/>
      </c>
      <c r="H8" s="37">
        <f>H5*Control!$C$105</f>
        <v/>
      </c>
      <c r="I8" s="37">
        <f>I5*Control!$C$105</f>
        <v/>
      </c>
      <c r="J8" s="37">
        <f>J5*Control!$C$105</f>
        <v/>
      </c>
      <c r="K8" s="37">
        <f>K5*Control!$C$105</f>
        <v/>
      </c>
      <c r="L8" s="37">
        <f>L5*Control!$C$105</f>
        <v/>
      </c>
      <c r="M8" s="37">
        <f>M5*Control!$C$105</f>
        <v/>
      </c>
      <c r="N8" s="37">
        <f>N5*Control!$C$105</f>
        <v/>
      </c>
      <c r="O8" s="37">
        <f>O5*Control!$C$105</f>
        <v/>
      </c>
    </row>
    <row r="9">
      <c r="A9" s="37" t="inlineStr">
        <is>
          <t>Commissioning / hand-over payment</t>
        </is>
      </c>
      <c r="B9" s="37" t="inlineStr">
        <is>
          <t>ZAR'000</t>
        </is>
      </c>
      <c r="C9" s="40" t="n"/>
      <c r="D9" s="37">
        <f>IF(D$3&gt;1,OFFSET(D5,0,-1)*Control!$C$106,0)</f>
        <v/>
      </c>
      <c r="E9" s="37">
        <f>IF(E$3&gt;1,OFFSET(E5,0,-1)*Control!$C$106,0)</f>
        <v/>
      </c>
      <c r="F9" s="37">
        <f>IF(F$3&gt;1,OFFSET(F5,0,-1)*Control!$C$106,0)</f>
        <v/>
      </c>
      <c r="G9" s="37">
        <f>IF(G$3&gt;1,OFFSET(G5,0,-1)*Control!$C$106,0)</f>
        <v/>
      </c>
      <c r="H9" s="37">
        <f>IF(H$3&gt;1,OFFSET(H5,0,-1)*Control!$C$106,0)</f>
        <v/>
      </c>
      <c r="I9" s="37">
        <f>IF(I$3&gt;1,OFFSET(I5,0,-1)*Control!$C$106,0)</f>
        <v/>
      </c>
      <c r="J9" s="37">
        <f>IF(J$3&gt;1,OFFSET(J5,0,-1)*Control!$C$106,0)</f>
        <v/>
      </c>
      <c r="K9" s="37">
        <f>IF(K$3&gt;1,OFFSET(K5,0,-1)*Control!$C$106,0)</f>
        <v/>
      </c>
      <c r="L9" s="37">
        <f>IF(L$3&gt;1,OFFSET(L5,0,-1)*Control!$C$106,0)</f>
        <v/>
      </c>
      <c r="M9" s="37">
        <f>IF(M$3&gt;1,OFFSET(M5,0,-1)*Control!$C$106,0)</f>
        <v/>
      </c>
      <c r="N9" s="37">
        <f>IF(N$3&gt;1,OFFSET(N5,0,-1)*Control!$C$106,0)</f>
        <v/>
      </c>
      <c r="O9" s="37">
        <f>IF(O$3&gt;1,OFFSET(O5,0,-1)*Control!$C$106,0)</f>
        <v/>
      </c>
    </row>
    <row r="10">
      <c r="A10" s="37" t="inlineStr">
        <is>
          <t>Vendor-financed retention originated</t>
        </is>
      </c>
      <c r="B10" s="37" t="inlineStr">
        <is>
          <t>ZAR'000</t>
        </is>
      </c>
      <c r="C10" s="40" t="n"/>
      <c r="D10" s="37">
        <f>D5*Control!$C$107</f>
        <v/>
      </c>
      <c r="E10" s="37">
        <f>E5*Control!$C$107</f>
        <v/>
      </c>
      <c r="F10" s="37">
        <f>F5*Control!$C$107</f>
        <v/>
      </c>
      <c r="G10" s="37">
        <f>G5*Control!$C$107</f>
        <v/>
      </c>
      <c r="H10" s="37">
        <f>H5*Control!$C$107</f>
        <v/>
      </c>
      <c r="I10" s="37">
        <f>I5*Control!$C$107</f>
        <v/>
      </c>
      <c r="J10" s="37">
        <f>J5*Control!$C$107</f>
        <v/>
      </c>
      <c r="K10" s="37">
        <f>K5*Control!$C$107</f>
        <v/>
      </c>
      <c r="L10" s="37">
        <f>L5*Control!$C$107</f>
        <v/>
      </c>
      <c r="M10" s="37">
        <f>M5*Control!$C$107</f>
        <v/>
      </c>
      <c r="N10" s="37">
        <f>N5*Control!$C$107</f>
        <v/>
      </c>
      <c r="O10" s="37">
        <f>O5*Control!$C$107</f>
        <v/>
      </c>
    </row>
    <row r="11">
      <c r="A11" s="37" t="inlineStr">
        <is>
          <t>Opening EPC payable</t>
        </is>
      </c>
      <c r="B11" s="37" t="inlineStr">
        <is>
          <t>ZAR'000</t>
        </is>
      </c>
      <c r="C11" s="40" t="n"/>
      <c r="D11" s="37">
        <f>0</f>
        <v/>
      </c>
      <c r="E11" s="37">
        <f>D15</f>
        <v/>
      </c>
      <c r="F11" s="37">
        <f>E15</f>
        <v/>
      </c>
      <c r="G11" s="37">
        <f>F15</f>
        <v/>
      </c>
      <c r="H11" s="37">
        <f>G15</f>
        <v/>
      </c>
      <c r="I11" s="37">
        <f>H15</f>
        <v/>
      </c>
      <c r="J11" s="37">
        <f>I15</f>
        <v/>
      </c>
      <c r="K11" s="37">
        <f>J15</f>
        <v/>
      </c>
      <c r="L11" s="37">
        <f>K15</f>
        <v/>
      </c>
      <c r="M11" s="37">
        <f>L15</f>
        <v/>
      </c>
      <c r="N11" s="37">
        <f>M15</f>
        <v/>
      </c>
      <c r="O11" s="37">
        <f>N15</f>
        <v/>
      </c>
    </row>
    <row r="12">
      <c r="A12" s="37" t="inlineStr">
        <is>
          <t>Scheduled principal</t>
        </is>
      </c>
      <c r="B12" s="37" t="inlineStr">
        <is>
          <t>ZAR'000</t>
        </is>
      </c>
      <c r="C12" s="40" t="n"/>
      <c r="D12" s="37">
        <f>SUM(D20:D31)</f>
        <v/>
      </c>
      <c r="E12" s="37">
        <f>SUM(E20:E31)</f>
        <v/>
      </c>
      <c r="F12" s="37">
        <f>SUM(F20:F31)</f>
        <v/>
      </c>
      <c r="G12" s="37">
        <f>SUM(G20:G31)</f>
        <v/>
      </c>
      <c r="H12" s="37">
        <f>SUM(H20:H31)</f>
        <v/>
      </c>
      <c r="I12" s="37">
        <f>SUM(I20:I31)</f>
        <v/>
      </c>
      <c r="J12" s="37">
        <f>SUM(J20:J31)</f>
        <v/>
      </c>
      <c r="K12" s="37">
        <f>SUM(K20:K31)</f>
        <v/>
      </c>
      <c r="L12" s="37">
        <f>SUM(L20:L31)</f>
        <v/>
      </c>
      <c r="M12" s="37">
        <f>SUM(M20:M31)</f>
        <v/>
      </c>
      <c r="N12" s="37">
        <f>SUM(N20:N31)</f>
        <v/>
      </c>
      <c r="O12" s="37">
        <f>SUM(O20:O31)</f>
        <v/>
      </c>
    </row>
    <row r="13">
      <c r="A13" s="37" t="inlineStr">
        <is>
          <t>Scheduled interest</t>
        </is>
      </c>
      <c r="B13" s="37" t="inlineStr">
        <is>
          <t>ZAR'000</t>
        </is>
      </c>
      <c r="C13" s="40" t="n"/>
      <c r="D13" s="37">
        <f>SUM(D35:D46)</f>
        <v/>
      </c>
      <c r="E13" s="37">
        <f>SUM(E35:E46)</f>
        <v/>
      </c>
      <c r="F13" s="37">
        <f>SUM(F35:F46)</f>
        <v/>
      </c>
      <c r="G13" s="37">
        <f>SUM(G35:G46)</f>
        <v/>
      </c>
      <c r="H13" s="37">
        <f>SUM(H35:H46)</f>
        <v/>
      </c>
      <c r="I13" s="37">
        <f>SUM(I35:I46)</f>
        <v/>
      </c>
      <c r="J13" s="37">
        <f>SUM(J35:J46)</f>
        <v/>
      </c>
      <c r="K13" s="37">
        <f>SUM(K35:K46)</f>
        <v/>
      </c>
      <c r="L13" s="37">
        <f>SUM(L35:L46)</f>
        <v/>
      </c>
      <c r="M13" s="37">
        <f>SUM(M35:M46)</f>
        <v/>
      </c>
      <c r="N13" s="37">
        <f>SUM(N35:N46)</f>
        <v/>
      </c>
      <c r="O13" s="37">
        <f>SUM(O35:O46)</f>
        <v/>
      </c>
    </row>
    <row r="14">
      <c r="A14" s="37" t="inlineStr">
        <is>
          <t>Total EPC cash payment</t>
        </is>
      </c>
      <c r="B14" s="37" t="inlineStr">
        <is>
          <t>ZAR'000</t>
        </is>
      </c>
      <c r="C14" s="40" t="n"/>
      <c r="D14" s="37">
        <f>D6+D7+D8+D9+D12+D13</f>
        <v/>
      </c>
      <c r="E14" s="37">
        <f>E6+E7+E8+E9+E12+E13</f>
        <v/>
      </c>
      <c r="F14" s="37">
        <f>F6+F7+F8+F9+F12+F13</f>
        <v/>
      </c>
      <c r="G14" s="37">
        <f>G6+G7+G8+G9+G12+G13</f>
        <v/>
      </c>
      <c r="H14" s="37">
        <f>H6+H7+H8+H9+H12+H13</f>
        <v/>
      </c>
      <c r="I14" s="37">
        <f>I6+I7+I8+I9+I12+I13</f>
        <v/>
      </c>
      <c r="J14" s="37">
        <f>J6+J7+J8+J9+J12+J13</f>
        <v/>
      </c>
      <c r="K14" s="37">
        <f>K6+K7+K8+K9+K12+K13</f>
        <v/>
      </c>
      <c r="L14" s="37">
        <f>L6+L7+L8+L9+L12+L13</f>
        <v/>
      </c>
      <c r="M14" s="37">
        <f>M6+M7+M8+M9+M12+M13</f>
        <v/>
      </c>
      <c r="N14" s="37">
        <f>N6+N7+N8+N9+N12+N13</f>
        <v/>
      </c>
      <c r="O14" s="37">
        <f>O6+O7+O8+O9+O12+O13</f>
        <v/>
      </c>
    </row>
    <row r="15">
      <c r="A15" s="37" t="inlineStr">
        <is>
          <t>Closing EPC payable</t>
        </is>
      </c>
      <c r="B15" s="37" t="inlineStr">
        <is>
          <t>ZAR'000</t>
        </is>
      </c>
      <c r="C15" s="40" t="n"/>
      <c r="D15" s="37">
        <f>D11+D10-D12</f>
        <v/>
      </c>
      <c r="E15" s="37">
        <f>E11+E10-E12</f>
        <v/>
      </c>
      <c r="F15" s="37">
        <f>F11+F10-F12</f>
        <v/>
      </c>
      <c r="G15" s="37">
        <f>G11+G10-G12</f>
        <v/>
      </c>
      <c r="H15" s="37">
        <f>H11+H10-H12</f>
        <v/>
      </c>
      <c r="I15" s="37">
        <f>I11+I10-I12</f>
        <v/>
      </c>
      <c r="J15" s="37">
        <f>J11+J10-J12</f>
        <v/>
      </c>
      <c r="K15" s="37">
        <f>K11+K10-K12</f>
        <v/>
      </c>
      <c r="L15" s="37">
        <f>L11+L10-L12</f>
        <v/>
      </c>
      <c r="M15" s="37">
        <f>M11+M10-M12</f>
        <v/>
      </c>
      <c r="N15" s="37">
        <f>N11+N10-N12</f>
        <v/>
      </c>
      <c r="O15" s="37">
        <f>O11+O10-O12</f>
        <v/>
      </c>
    </row>
    <row r="16">
      <c r="A16" s="40" t="n"/>
      <c r="B16" s="40" t="n"/>
      <c r="C16" s="40" t="n"/>
      <c r="D16" s="40" t="n"/>
      <c r="E16" s="40" t="n"/>
      <c r="F16" s="40" t="n"/>
      <c r="G16" s="40" t="n"/>
      <c r="H16" s="40" t="n"/>
      <c r="I16" s="40" t="n"/>
      <c r="J16" s="40" t="n"/>
      <c r="K16" s="40" t="n"/>
      <c r="L16" s="40" t="n"/>
      <c r="M16" s="40" t="n"/>
      <c r="N16" s="40" t="n"/>
      <c r="O16" s="40" t="n"/>
    </row>
    <row r="17">
      <c r="A17" s="41" t="inlineStr">
        <is>
          <t>Principal by origination month</t>
        </is>
      </c>
      <c r="B17" s="51" t="n"/>
      <c r="C17" s="51" t="n"/>
      <c r="D17" s="51" t="n"/>
      <c r="E17" s="51" t="n"/>
      <c r="F17" s="51" t="n"/>
      <c r="G17" s="51" t="n"/>
      <c r="H17" s="51" t="n"/>
      <c r="I17" s="51" t="n"/>
      <c r="J17" s="51" t="n"/>
      <c r="K17" s="51" t="n"/>
      <c r="L17" s="51" t="n"/>
      <c r="M17" s="51" t="n"/>
      <c r="N17" s="51" t="n"/>
      <c r="O17" s="52" t="n"/>
    </row>
    <row r="18">
      <c r="A18" s="43" t="inlineStr">
        <is>
          <t>Origin month</t>
        </is>
      </c>
      <c r="B18" s="43" t="inlineStr">
        <is>
          <t>Source tranche</t>
        </is>
      </c>
      <c r="C18" s="43" t="n"/>
      <c r="D18" s="43" t="inlineStr">
        <is>
          <t>Month 1</t>
        </is>
      </c>
      <c r="E18" s="43" t="inlineStr">
        <is>
          <t>Month 2</t>
        </is>
      </c>
      <c r="F18" s="43" t="inlineStr">
        <is>
          <t>Month 3</t>
        </is>
      </c>
      <c r="G18" s="43" t="inlineStr">
        <is>
          <t>Month 4</t>
        </is>
      </c>
      <c r="H18" s="43" t="inlineStr">
        <is>
          <t>Month 5</t>
        </is>
      </c>
      <c r="I18" s="43" t="inlineStr">
        <is>
          <t>Month 6</t>
        </is>
      </c>
      <c r="J18" s="43" t="inlineStr">
        <is>
          <t>Month 7</t>
        </is>
      </c>
      <c r="K18" s="43" t="inlineStr">
        <is>
          <t>Month 8</t>
        </is>
      </c>
      <c r="L18" s="43" t="inlineStr">
        <is>
          <t>Month 9</t>
        </is>
      </c>
      <c r="M18" s="43" t="inlineStr">
        <is>
          <t>Month 10</t>
        </is>
      </c>
      <c r="N18" s="43" t="inlineStr">
        <is>
          <t>Month 11</t>
        </is>
      </c>
      <c r="O18" s="43" t="inlineStr">
        <is>
          <t>Month 12</t>
        </is>
      </c>
    </row>
    <row r="19">
      <c r="A19" s="40" t="n"/>
      <c r="B19" s="40" t="n"/>
      <c r="C19" s="40" t="n"/>
      <c r="D19" s="40" t="n"/>
      <c r="E19" s="40" t="n"/>
      <c r="F19" s="40" t="n"/>
      <c r="G19" s="40" t="n"/>
      <c r="H19" s="40" t="n"/>
      <c r="I19" s="40" t="n"/>
      <c r="J19" s="40" t="n"/>
      <c r="K19" s="40" t="n"/>
      <c r="L19" s="40" t="n"/>
      <c r="M19" s="40" t="n"/>
      <c r="N19" s="40" t="n"/>
      <c r="O19" s="40" t="n"/>
    </row>
    <row r="20">
      <c r="A20" s="37" t="inlineStr">
        <is>
          <t>Origin 1</t>
        </is>
      </c>
      <c r="B20" s="37">
        <f>D4</f>
        <v/>
      </c>
      <c r="C20" s="40" t="n"/>
      <c r="D20" s="37">
        <f>IF(AND(D$3&gt;D$3,D$3&lt;=D$3+Control!$C$108),D$10/Control!$C$108,0)</f>
        <v/>
      </c>
      <c r="E20" s="37">
        <f>IF(AND(E$3&gt;D$3,E$3&lt;=D$3+Control!$C$108),D$10/Control!$C$108,0)</f>
        <v/>
      </c>
      <c r="F20" s="37">
        <f>IF(AND(F$3&gt;D$3,F$3&lt;=D$3+Control!$C$108),D$10/Control!$C$108,0)</f>
        <v/>
      </c>
      <c r="G20" s="37">
        <f>IF(AND(G$3&gt;D$3,G$3&lt;=D$3+Control!$C$108),D$10/Control!$C$108,0)</f>
        <v/>
      </c>
      <c r="H20" s="37">
        <f>IF(AND(H$3&gt;D$3,H$3&lt;=D$3+Control!$C$108),D$10/Control!$C$108,0)</f>
        <v/>
      </c>
      <c r="I20" s="37">
        <f>IF(AND(I$3&gt;D$3,I$3&lt;=D$3+Control!$C$108),D$10/Control!$C$108,0)</f>
        <v/>
      </c>
      <c r="J20" s="37">
        <f>IF(AND(J$3&gt;D$3,J$3&lt;=D$3+Control!$C$108),D$10/Control!$C$108,0)</f>
        <v/>
      </c>
      <c r="K20" s="37">
        <f>IF(AND(K$3&gt;D$3,K$3&lt;=D$3+Control!$C$108),D$10/Control!$C$108,0)</f>
        <v/>
      </c>
      <c r="L20" s="37">
        <f>IF(AND(L$3&gt;D$3,L$3&lt;=D$3+Control!$C$108),D$10/Control!$C$108,0)</f>
        <v/>
      </c>
      <c r="M20" s="37">
        <f>IF(AND(M$3&gt;D$3,M$3&lt;=D$3+Control!$C$108),D$10/Control!$C$108,0)</f>
        <v/>
      </c>
      <c r="N20" s="37">
        <f>IF(AND(N$3&gt;D$3,N$3&lt;=D$3+Control!$C$108),D$10/Control!$C$108,0)</f>
        <v/>
      </c>
      <c r="O20" s="37">
        <f>IF(AND(O$3&gt;D$3,O$3&lt;=D$3+Control!$C$108),D$10/Control!$C$108,0)</f>
        <v/>
      </c>
    </row>
    <row r="21">
      <c r="A21" s="37" t="inlineStr">
        <is>
          <t>Origin 2</t>
        </is>
      </c>
      <c r="B21" s="37">
        <f>E4</f>
        <v/>
      </c>
      <c r="C21" s="40" t="n"/>
      <c r="D21" s="37">
        <f>IF(AND(D$3&gt;E$3,D$3&lt;=E$3+Control!$C$108),E$10/Control!$C$108,0)</f>
        <v/>
      </c>
      <c r="E21" s="37">
        <f>IF(AND(E$3&gt;E$3,E$3&lt;=E$3+Control!$C$108),E$10/Control!$C$108,0)</f>
        <v/>
      </c>
      <c r="F21" s="37">
        <f>IF(AND(F$3&gt;E$3,F$3&lt;=E$3+Control!$C$108),E$10/Control!$C$108,0)</f>
        <v/>
      </c>
      <c r="G21" s="37">
        <f>IF(AND(G$3&gt;E$3,G$3&lt;=E$3+Control!$C$108),E$10/Control!$C$108,0)</f>
        <v/>
      </c>
      <c r="H21" s="37">
        <f>IF(AND(H$3&gt;E$3,H$3&lt;=E$3+Control!$C$108),E$10/Control!$C$108,0)</f>
        <v/>
      </c>
      <c r="I21" s="37">
        <f>IF(AND(I$3&gt;E$3,I$3&lt;=E$3+Control!$C$108),E$10/Control!$C$108,0)</f>
        <v/>
      </c>
      <c r="J21" s="37">
        <f>IF(AND(J$3&gt;E$3,J$3&lt;=E$3+Control!$C$108),E$10/Control!$C$108,0)</f>
        <v/>
      </c>
      <c r="K21" s="37">
        <f>IF(AND(K$3&gt;E$3,K$3&lt;=E$3+Control!$C$108),E$10/Control!$C$108,0)</f>
        <v/>
      </c>
      <c r="L21" s="37">
        <f>IF(AND(L$3&gt;E$3,L$3&lt;=E$3+Control!$C$108),E$10/Control!$C$108,0)</f>
        <v/>
      </c>
      <c r="M21" s="37">
        <f>IF(AND(M$3&gt;E$3,M$3&lt;=E$3+Control!$C$108),E$10/Control!$C$108,0)</f>
        <v/>
      </c>
      <c r="N21" s="37">
        <f>IF(AND(N$3&gt;E$3,N$3&lt;=E$3+Control!$C$108),E$10/Control!$C$108,0)</f>
        <v/>
      </c>
      <c r="O21" s="37">
        <f>IF(AND(O$3&gt;E$3,O$3&lt;=E$3+Control!$C$108),E$10/Control!$C$108,0)</f>
        <v/>
      </c>
    </row>
    <row r="22">
      <c r="A22" s="37" t="inlineStr">
        <is>
          <t>Origin 3</t>
        </is>
      </c>
      <c r="B22" s="37">
        <f>F4</f>
        <v/>
      </c>
      <c r="C22" s="40" t="n"/>
      <c r="D22" s="37">
        <f>IF(AND(D$3&gt;F$3,D$3&lt;=F$3+Control!$C$108),F$10/Control!$C$108,0)</f>
        <v/>
      </c>
      <c r="E22" s="37">
        <f>IF(AND(E$3&gt;F$3,E$3&lt;=F$3+Control!$C$108),F$10/Control!$C$108,0)</f>
        <v/>
      </c>
      <c r="F22" s="37">
        <f>IF(AND(F$3&gt;F$3,F$3&lt;=F$3+Control!$C$108),F$10/Control!$C$108,0)</f>
        <v/>
      </c>
      <c r="G22" s="37">
        <f>IF(AND(G$3&gt;F$3,G$3&lt;=F$3+Control!$C$108),F$10/Control!$C$108,0)</f>
        <v/>
      </c>
      <c r="H22" s="37">
        <f>IF(AND(H$3&gt;F$3,H$3&lt;=F$3+Control!$C$108),F$10/Control!$C$108,0)</f>
        <v/>
      </c>
      <c r="I22" s="37">
        <f>IF(AND(I$3&gt;F$3,I$3&lt;=F$3+Control!$C$108),F$10/Control!$C$108,0)</f>
        <v/>
      </c>
      <c r="J22" s="37">
        <f>IF(AND(J$3&gt;F$3,J$3&lt;=F$3+Control!$C$108),F$10/Control!$C$108,0)</f>
        <v/>
      </c>
      <c r="K22" s="37">
        <f>IF(AND(K$3&gt;F$3,K$3&lt;=F$3+Control!$C$108),F$10/Control!$C$108,0)</f>
        <v/>
      </c>
      <c r="L22" s="37">
        <f>IF(AND(L$3&gt;F$3,L$3&lt;=F$3+Control!$C$108),F$10/Control!$C$108,0)</f>
        <v/>
      </c>
      <c r="M22" s="37">
        <f>IF(AND(M$3&gt;F$3,M$3&lt;=F$3+Control!$C$108),F$10/Control!$C$108,0)</f>
        <v/>
      </c>
      <c r="N22" s="37">
        <f>IF(AND(N$3&gt;F$3,N$3&lt;=F$3+Control!$C$108),F$10/Control!$C$108,0)</f>
        <v/>
      </c>
      <c r="O22" s="37">
        <f>IF(AND(O$3&gt;F$3,O$3&lt;=F$3+Control!$C$108),F$10/Control!$C$108,0)</f>
        <v/>
      </c>
    </row>
    <row r="23">
      <c r="A23" s="37" t="inlineStr">
        <is>
          <t>Origin 4</t>
        </is>
      </c>
      <c r="B23" s="37">
        <f>G4</f>
        <v/>
      </c>
      <c r="C23" s="40" t="n"/>
      <c r="D23" s="37">
        <f>IF(AND(D$3&gt;G$3,D$3&lt;=G$3+Control!$C$108),G$10/Control!$C$108,0)</f>
        <v/>
      </c>
      <c r="E23" s="37">
        <f>IF(AND(E$3&gt;G$3,E$3&lt;=G$3+Control!$C$108),G$10/Control!$C$108,0)</f>
        <v/>
      </c>
      <c r="F23" s="37">
        <f>IF(AND(F$3&gt;G$3,F$3&lt;=G$3+Control!$C$108),G$10/Control!$C$108,0)</f>
        <v/>
      </c>
      <c r="G23" s="37">
        <f>IF(AND(G$3&gt;G$3,G$3&lt;=G$3+Control!$C$108),G$10/Control!$C$108,0)</f>
        <v/>
      </c>
      <c r="H23" s="37">
        <f>IF(AND(H$3&gt;G$3,H$3&lt;=G$3+Control!$C$108),G$10/Control!$C$108,0)</f>
        <v/>
      </c>
      <c r="I23" s="37">
        <f>IF(AND(I$3&gt;G$3,I$3&lt;=G$3+Control!$C$108),G$10/Control!$C$108,0)</f>
        <v/>
      </c>
      <c r="J23" s="37">
        <f>IF(AND(J$3&gt;G$3,J$3&lt;=G$3+Control!$C$108),G$10/Control!$C$108,0)</f>
        <v/>
      </c>
      <c r="K23" s="37">
        <f>IF(AND(K$3&gt;G$3,K$3&lt;=G$3+Control!$C$108),G$10/Control!$C$108,0)</f>
        <v/>
      </c>
      <c r="L23" s="37">
        <f>IF(AND(L$3&gt;G$3,L$3&lt;=G$3+Control!$C$108),G$10/Control!$C$108,0)</f>
        <v/>
      </c>
      <c r="M23" s="37">
        <f>IF(AND(M$3&gt;G$3,M$3&lt;=G$3+Control!$C$108),G$10/Control!$C$108,0)</f>
        <v/>
      </c>
      <c r="N23" s="37">
        <f>IF(AND(N$3&gt;G$3,N$3&lt;=G$3+Control!$C$108),G$10/Control!$C$108,0)</f>
        <v/>
      </c>
      <c r="O23" s="37">
        <f>IF(AND(O$3&gt;G$3,O$3&lt;=G$3+Control!$C$108),G$10/Control!$C$108,0)</f>
        <v/>
      </c>
    </row>
    <row r="24">
      <c r="A24" s="37" t="inlineStr">
        <is>
          <t>Origin 5</t>
        </is>
      </c>
      <c r="B24" s="37">
        <f>H4</f>
        <v/>
      </c>
      <c r="C24" s="40" t="n"/>
      <c r="D24" s="37">
        <f>IF(AND(D$3&gt;H$3,D$3&lt;=H$3+Control!$C$108),H$10/Control!$C$108,0)</f>
        <v/>
      </c>
      <c r="E24" s="37">
        <f>IF(AND(E$3&gt;H$3,E$3&lt;=H$3+Control!$C$108),H$10/Control!$C$108,0)</f>
        <v/>
      </c>
      <c r="F24" s="37">
        <f>IF(AND(F$3&gt;H$3,F$3&lt;=H$3+Control!$C$108),H$10/Control!$C$108,0)</f>
        <v/>
      </c>
      <c r="G24" s="37">
        <f>IF(AND(G$3&gt;H$3,G$3&lt;=H$3+Control!$C$108),H$10/Control!$C$108,0)</f>
        <v/>
      </c>
      <c r="H24" s="37">
        <f>IF(AND(H$3&gt;H$3,H$3&lt;=H$3+Control!$C$108),H$10/Control!$C$108,0)</f>
        <v/>
      </c>
      <c r="I24" s="37">
        <f>IF(AND(I$3&gt;H$3,I$3&lt;=H$3+Control!$C$108),H$10/Control!$C$108,0)</f>
        <v/>
      </c>
      <c r="J24" s="37">
        <f>IF(AND(J$3&gt;H$3,J$3&lt;=H$3+Control!$C$108),H$10/Control!$C$108,0)</f>
        <v/>
      </c>
      <c r="K24" s="37">
        <f>IF(AND(K$3&gt;H$3,K$3&lt;=H$3+Control!$C$108),H$10/Control!$C$108,0)</f>
        <v/>
      </c>
      <c r="L24" s="37">
        <f>IF(AND(L$3&gt;H$3,L$3&lt;=H$3+Control!$C$108),H$10/Control!$C$108,0)</f>
        <v/>
      </c>
      <c r="M24" s="37">
        <f>IF(AND(M$3&gt;H$3,M$3&lt;=H$3+Control!$C$108),H$10/Control!$C$108,0)</f>
        <v/>
      </c>
      <c r="N24" s="37">
        <f>IF(AND(N$3&gt;H$3,N$3&lt;=H$3+Control!$C$108),H$10/Control!$C$108,0)</f>
        <v/>
      </c>
      <c r="O24" s="37">
        <f>IF(AND(O$3&gt;H$3,O$3&lt;=H$3+Control!$C$108),H$10/Control!$C$108,0)</f>
        <v/>
      </c>
    </row>
    <row r="25">
      <c r="A25" s="37" t="inlineStr">
        <is>
          <t>Origin 6</t>
        </is>
      </c>
      <c r="B25" s="37">
        <f>I4</f>
        <v/>
      </c>
      <c r="C25" s="40" t="n"/>
      <c r="D25" s="37">
        <f>IF(AND(D$3&gt;I$3,D$3&lt;=I$3+Control!$C$108),I$10/Control!$C$108,0)</f>
        <v/>
      </c>
      <c r="E25" s="37">
        <f>IF(AND(E$3&gt;I$3,E$3&lt;=I$3+Control!$C$108),I$10/Control!$C$108,0)</f>
        <v/>
      </c>
      <c r="F25" s="37">
        <f>IF(AND(F$3&gt;I$3,F$3&lt;=I$3+Control!$C$108),I$10/Control!$C$108,0)</f>
        <v/>
      </c>
      <c r="G25" s="37">
        <f>IF(AND(G$3&gt;I$3,G$3&lt;=I$3+Control!$C$108),I$10/Control!$C$108,0)</f>
        <v/>
      </c>
      <c r="H25" s="37">
        <f>IF(AND(H$3&gt;I$3,H$3&lt;=I$3+Control!$C$108),I$10/Control!$C$108,0)</f>
        <v/>
      </c>
      <c r="I25" s="37">
        <f>IF(AND(I$3&gt;I$3,I$3&lt;=I$3+Control!$C$108),I$10/Control!$C$108,0)</f>
        <v/>
      </c>
      <c r="J25" s="37">
        <f>IF(AND(J$3&gt;I$3,J$3&lt;=I$3+Control!$C$108),I$10/Control!$C$108,0)</f>
        <v/>
      </c>
      <c r="K25" s="37">
        <f>IF(AND(K$3&gt;I$3,K$3&lt;=I$3+Control!$C$108),I$10/Control!$C$108,0)</f>
        <v/>
      </c>
      <c r="L25" s="37">
        <f>IF(AND(L$3&gt;I$3,L$3&lt;=I$3+Control!$C$108),I$10/Control!$C$108,0)</f>
        <v/>
      </c>
      <c r="M25" s="37">
        <f>IF(AND(M$3&gt;I$3,M$3&lt;=I$3+Control!$C$108),I$10/Control!$C$108,0)</f>
        <v/>
      </c>
      <c r="N25" s="37">
        <f>IF(AND(N$3&gt;I$3,N$3&lt;=I$3+Control!$C$108),I$10/Control!$C$108,0)</f>
        <v/>
      </c>
      <c r="O25" s="37">
        <f>IF(AND(O$3&gt;I$3,O$3&lt;=I$3+Control!$C$108),I$10/Control!$C$108,0)</f>
        <v/>
      </c>
    </row>
    <row r="26">
      <c r="A26" s="37" t="inlineStr">
        <is>
          <t>Origin 7</t>
        </is>
      </c>
      <c r="B26" s="37">
        <f>J4</f>
        <v/>
      </c>
      <c r="C26" s="40" t="n"/>
      <c r="D26" s="37">
        <f>IF(AND(D$3&gt;J$3,D$3&lt;=J$3+Control!$C$108),J$10/Control!$C$108,0)</f>
        <v/>
      </c>
      <c r="E26" s="37">
        <f>IF(AND(E$3&gt;J$3,E$3&lt;=J$3+Control!$C$108),J$10/Control!$C$108,0)</f>
        <v/>
      </c>
      <c r="F26" s="37">
        <f>IF(AND(F$3&gt;J$3,F$3&lt;=J$3+Control!$C$108),J$10/Control!$C$108,0)</f>
        <v/>
      </c>
      <c r="G26" s="37">
        <f>IF(AND(G$3&gt;J$3,G$3&lt;=J$3+Control!$C$108),J$10/Control!$C$108,0)</f>
        <v/>
      </c>
      <c r="H26" s="37">
        <f>IF(AND(H$3&gt;J$3,H$3&lt;=J$3+Control!$C$108),J$10/Control!$C$108,0)</f>
        <v/>
      </c>
      <c r="I26" s="37">
        <f>IF(AND(I$3&gt;J$3,I$3&lt;=J$3+Control!$C$108),J$10/Control!$C$108,0)</f>
        <v/>
      </c>
      <c r="J26" s="37">
        <f>IF(AND(J$3&gt;J$3,J$3&lt;=J$3+Control!$C$108),J$10/Control!$C$108,0)</f>
        <v/>
      </c>
      <c r="K26" s="37">
        <f>IF(AND(K$3&gt;J$3,K$3&lt;=J$3+Control!$C$108),J$10/Control!$C$108,0)</f>
        <v/>
      </c>
      <c r="L26" s="37">
        <f>IF(AND(L$3&gt;J$3,L$3&lt;=J$3+Control!$C$108),J$10/Control!$C$108,0)</f>
        <v/>
      </c>
      <c r="M26" s="37">
        <f>IF(AND(M$3&gt;J$3,M$3&lt;=J$3+Control!$C$108),J$10/Control!$C$108,0)</f>
        <v/>
      </c>
      <c r="N26" s="37">
        <f>IF(AND(N$3&gt;J$3,N$3&lt;=J$3+Control!$C$108),J$10/Control!$C$108,0)</f>
        <v/>
      </c>
      <c r="O26" s="37">
        <f>IF(AND(O$3&gt;J$3,O$3&lt;=J$3+Control!$C$108),J$10/Control!$C$108,0)</f>
        <v/>
      </c>
    </row>
    <row r="27">
      <c r="A27" s="37" t="inlineStr">
        <is>
          <t>Origin 8</t>
        </is>
      </c>
      <c r="B27" s="37">
        <f>K4</f>
        <v/>
      </c>
      <c r="C27" s="40" t="n"/>
      <c r="D27" s="37">
        <f>IF(AND(D$3&gt;K$3,D$3&lt;=K$3+Control!$C$108),K$10/Control!$C$108,0)</f>
        <v/>
      </c>
      <c r="E27" s="37">
        <f>IF(AND(E$3&gt;K$3,E$3&lt;=K$3+Control!$C$108),K$10/Control!$C$108,0)</f>
        <v/>
      </c>
      <c r="F27" s="37">
        <f>IF(AND(F$3&gt;K$3,F$3&lt;=K$3+Control!$C$108),K$10/Control!$C$108,0)</f>
        <v/>
      </c>
      <c r="G27" s="37">
        <f>IF(AND(G$3&gt;K$3,G$3&lt;=K$3+Control!$C$108),K$10/Control!$C$108,0)</f>
        <v/>
      </c>
      <c r="H27" s="37">
        <f>IF(AND(H$3&gt;K$3,H$3&lt;=K$3+Control!$C$108),K$10/Control!$C$108,0)</f>
        <v/>
      </c>
      <c r="I27" s="37">
        <f>IF(AND(I$3&gt;K$3,I$3&lt;=K$3+Control!$C$108),K$10/Control!$C$108,0)</f>
        <v/>
      </c>
      <c r="J27" s="37">
        <f>IF(AND(J$3&gt;K$3,J$3&lt;=K$3+Control!$C$108),K$10/Control!$C$108,0)</f>
        <v/>
      </c>
      <c r="K27" s="37">
        <f>IF(AND(K$3&gt;K$3,K$3&lt;=K$3+Control!$C$108),K$10/Control!$C$108,0)</f>
        <v/>
      </c>
      <c r="L27" s="37">
        <f>IF(AND(L$3&gt;K$3,L$3&lt;=K$3+Control!$C$108),K$10/Control!$C$108,0)</f>
        <v/>
      </c>
      <c r="M27" s="37">
        <f>IF(AND(M$3&gt;K$3,M$3&lt;=K$3+Control!$C$108),K$10/Control!$C$108,0)</f>
        <v/>
      </c>
      <c r="N27" s="37">
        <f>IF(AND(N$3&gt;K$3,N$3&lt;=K$3+Control!$C$108),K$10/Control!$C$108,0)</f>
        <v/>
      </c>
      <c r="O27" s="37">
        <f>IF(AND(O$3&gt;K$3,O$3&lt;=K$3+Control!$C$108),K$10/Control!$C$108,0)</f>
        <v/>
      </c>
    </row>
    <row r="28">
      <c r="A28" s="37" t="inlineStr">
        <is>
          <t>Origin 9</t>
        </is>
      </c>
      <c r="B28" s="37">
        <f>L4</f>
        <v/>
      </c>
      <c r="C28" s="40" t="n"/>
      <c r="D28" s="37">
        <f>IF(AND(D$3&gt;L$3,D$3&lt;=L$3+Control!$C$108),L$10/Control!$C$108,0)</f>
        <v/>
      </c>
      <c r="E28" s="37">
        <f>IF(AND(E$3&gt;L$3,E$3&lt;=L$3+Control!$C$108),L$10/Control!$C$108,0)</f>
        <v/>
      </c>
      <c r="F28" s="37">
        <f>IF(AND(F$3&gt;L$3,F$3&lt;=L$3+Control!$C$108),L$10/Control!$C$108,0)</f>
        <v/>
      </c>
      <c r="G28" s="37">
        <f>IF(AND(G$3&gt;L$3,G$3&lt;=L$3+Control!$C$108),L$10/Control!$C$108,0)</f>
        <v/>
      </c>
      <c r="H28" s="37">
        <f>IF(AND(H$3&gt;L$3,H$3&lt;=L$3+Control!$C$108),L$10/Control!$C$108,0)</f>
        <v/>
      </c>
      <c r="I28" s="37">
        <f>IF(AND(I$3&gt;L$3,I$3&lt;=L$3+Control!$C$108),L$10/Control!$C$108,0)</f>
        <v/>
      </c>
      <c r="J28" s="37">
        <f>IF(AND(J$3&gt;L$3,J$3&lt;=L$3+Control!$C$108),L$10/Control!$C$108,0)</f>
        <v/>
      </c>
      <c r="K28" s="37">
        <f>IF(AND(K$3&gt;L$3,K$3&lt;=L$3+Control!$C$108),L$10/Control!$C$108,0)</f>
        <v/>
      </c>
      <c r="L28" s="37">
        <f>IF(AND(L$3&gt;L$3,L$3&lt;=L$3+Control!$C$108),L$10/Control!$C$108,0)</f>
        <v/>
      </c>
      <c r="M28" s="37">
        <f>IF(AND(M$3&gt;L$3,M$3&lt;=L$3+Control!$C$108),L$10/Control!$C$108,0)</f>
        <v/>
      </c>
      <c r="N28" s="37">
        <f>IF(AND(N$3&gt;L$3,N$3&lt;=L$3+Control!$C$108),L$10/Control!$C$108,0)</f>
        <v/>
      </c>
      <c r="O28" s="37">
        <f>IF(AND(O$3&gt;L$3,O$3&lt;=L$3+Control!$C$108),L$10/Control!$C$108,0)</f>
        <v/>
      </c>
    </row>
    <row r="29">
      <c r="A29" s="37" t="inlineStr">
        <is>
          <t>Origin 10</t>
        </is>
      </c>
      <c r="B29" s="37">
        <f>M4</f>
        <v/>
      </c>
      <c r="C29" s="40" t="n"/>
      <c r="D29" s="37">
        <f>IF(AND(D$3&gt;M$3,D$3&lt;=M$3+Control!$C$108),M$10/Control!$C$108,0)</f>
        <v/>
      </c>
      <c r="E29" s="37">
        <f>IF(AND(E$3&gt;M$3,E$3&lt;=M$3+Control!$C$108),M$10/Control!$C$108,0)</f>
        <v/>
      </c>
      <c r="F29" s="37">
        <f>IF(AND(F$3&gt;M$3,F$3&lt;=M$3+Control!$C$108),M$10/Control!$C$108,0)</f>
        <v/>
      </c>
      <c r="G29" s="37">
        <f>IF(AND(G$3&gt;M$3,G$3&lt;=M$3+Control!$C$108),M$10/Control!$C$108,0)</f>
        <v/>
      </c>
      <c r="H29" s="37">
        <f>IF(AND(H$3&gt;M$3,H$3&lt;=M$3+Control!$C$108),M$10/Control!$C$108,0)</f>
        <v/>
      </c>
      <c r="I29" s="37">
        <f>IF(AND(I$3&gt;M$3,I$3&lt;=M$3+Control!$C$108),M$10/Control!$C$108,0)</f>
        <v/>
      </c>
      <c r="J29" s="37">
        <f>IF(AND(J$3&gt;M$3,J$3&lt;=M$3+Control!$C$108),M$10/Control!$C$108,0)</f>
        <v/>
      </c>
      <c r="K29" s="37">
        <f>IF(AND(K$3&gt;M$3,K$3&lt;=M$3+Control!$C$108),M$10/Control!$C$108,0)</f>
        <v/>
      </c>
      <c r="L29" s="37">
        <f>IF(AND(L$3&gt;M$3,L$3&lt;=M$3+Control!$C$108),M$10/Control!$C$108,0)</f>
        <v/>
      </c>
      <c r="M29" s="37">
        <f>IF(AND(M$3&gt;M$3,M$3&lt;=M$3+Control!$C$108),M$10/Control!$C$108,0)</f>
        <v/>
      </c>
      <c r="N29" s="37">
        <f>IF(AND(N$3&gt;M$3,N$3&lt;=M$3+Control!$C$108),M$10/Control!$C$108,0)</f>
        <v/>
      </c>
      <c r="O29" s="37">
        <f>IF(AND(O$3&gt;M$3,O$3&lt;=M$3+Control!$C$108),M$10/Control!$C$108,0)</f>
        <v/>
      </c>
    </row>
    <row r="30">
      <c r="A30" s="37" t="inlineStr">
        <is>
          <t>Origin 11</t>
        </is>
      </c>
      <c r="B30" s="37">
        <f>N4</f>
        <v/>
      </c>
      <c r="C30" s="40" t="n"/>
      <c r="D30" s="37">
        <f>IF(AND(D$3&gt;N$3,D$3&lt;=N$3+Control!$C$108),N$10/Control!$C$108,0)</f>
        <v/>
      </c>
      <c r="E30" s="37">
        <f>IF(AND(E$3&gt;N$3,E$3&lt;=N$3+Control!$C$108),N$10/Control!$C$108,0)</f>
        <v/>
      </c>
      <c r="F30" s="37">
        <f>IF(AND(F$3&gt;N$3,F$3&lt;=N$3+Control!$C$108),N$10/Control!$C$108,0)</f>
        <v/>
      </c>
      <c r="G30" s="37">
        <f>IF(AND(G$3&gt;N$3,G$3&lt;=N$3+Control!$C$108),N$10/Control!$C$108,0)</f>
        <v/>
      </c>
      <c r="H30" s="37">
        <f>IF(AND(H$3&gt;N$3,H$3&lt;=N$3+Control!$C$108),N$10/Control!$C$108,0)</f>
        <v/>
      </c>
      <c r="I30" s="37">
        <f>IF(AND(I$3&gt;N$3,I$3&lt;=N$3+Control!$C$108),N$10/Control!$C$108,0)</f>
        <v/>
      </c>
      <c r="J30" s="37">
        <f>IF(AND(J$3&gt;N$3,J$3&lt;=N$3+Control!$C$108),N$10/Control!$C$108,0)</f>
        <v/>
      </c>
      <c r="K30" s="37">
        <f>IF(AND(K$3&gt;N$3,K$3&lt;=N$3+Control!$C$108),N$10/Control!$C$108,0)</f>
        <v/>
      </c>
      <c r="L30" s="37">
        <f>IF(AND(L$3&gt;N$3,L$3&lt;=N$3+Control!$C$108),N$10/Control!$C$108,0)</f>
        <v/>
      </c>
      <c r="M30" s="37">
        <f>IF(AND(M$3&gt;N$3,M$3&lt;=N$3+Control!$C$108),N$10/Control!$C$108,0)</f>
        <v/>
      </c>
      <c r="N30" s="37">
        <f>IF(AND(N$3&gt;N$3,N$3&lt;=N$3+Control!$C$108),N$10/Control!$C$108,0)</f>
        <v/>
      </c>
      <c r="O30" s="37">
        <f>IF(AND(O$3&gt;N$3,O$3&lt;=N$3+Control!$C$108),N$10/Control!$C$108,0)</f>
        <v/>
      </c>
    </row>
    <row r="31">
      <c r="A31" s="37" t="inlineStr">
        <is>
          <t>Origin 12</t>
        </is>
      </c>
      <c r="B31" s="37">
        <f>O4</f>
        <v/>
      </c>
      <c r="C31" s="40" t="n"/>
      <c r="D31" s="37">
        <f>IF(AND(D$3&gt;O$3,D$3&lt;=O$3+Control!$C$108),O$10/Control!$C$108,0)</f>
        <v/>
      </c>
      <c r="E31" s="37">
        <f>IF(AND(E$3&gt;O$3,E$3&lt;=O$3+Control!$C$108),O$10/Control!$C$108,0)</f>
        <v/>
      </c>
      <c r="F31" s="37">
        <f>IF(AND(F$3&gt;O$3,F$3&lt;=O$3+Control!$C$108),O$10/Control!$C$108,0)</f>
        <v/>
      </c>
      <c r="G31" s="37">
        <f>IF(AND(G$3&gt;O$3,G$3&lt;=O$3+Control!$C$108),O$10/Control!$C$108,0)</f>
        <v/>
      </c>
      <c r="H31" s="37">
        <f>IF(AND(H$3&gt;O$3,H$3&lt;=O$3+Control!$C$108),O$10/Control!$C$108,0)</f>
        <v/>
      </c>
      <c r="I31" s="37">
        <f>IF(AND(I$3&gt;O$3,I$3&lt;=O$3+Control!$C$108),O$10/Control!$C$108,0)</f>
        <v/>
      </c>
      <c r="J31" s="37">
        <f>IF(AND(J$3&gt;O$3,J$3&lt;=O$3+Control!$C$108),O$10/Control!$C$108,0)</f>
        <v/>
      </c>
      <c r="K31" s="37">
        <f>IF(AND(K$3&gt;O$3,K$3&lt;=O$3+Control!$C$108),O$10/Control!$C$108,0)</f>
        <v/>
      </c>
      <c r="L31" s="37">
        <f>IF(AND(L$3&gt;O$3,L$3&lt;=O$3+Control!$C$108),O$10/Control!$C$108,0)</f>
        <v/>
      </c>
      <c r="M31" s="37">
        <f>IF(AND(M$3&gt;O$3,M$3&lt;=O$3+Control!$C$108),O$10/Control!$C$108,0)</f>
        <v/>
      </c>
      <c r="N31" s="37">
        <f>IF(AND(N$3&gt;O$3,N$3&lt;=O$3+Control!$C$108),O$10/Control!$C$108,0)</f>
        <v/>
      </c>
      <c r="O31" s="37">
        <f>IF(AND(O$3&gt;O$3,O$3&lt;=O$3+Control!$C$108),O$10/Control!$C$108,0)</f>
        <v/>
      </c>
    </row>
    <row r="32">
      <c r="A32" s="40" t="n"/>
      <c r="B32" s="40" t="n"/>
      <c r="C32" s="40" t="n"/>
      <c r="D32" s="40" t="n"/>
      <c r="E32" s="40" t="n"/>
      <c r="F32" s="40" t="n"/>
      <c r="G32" s="40" t="n"/>
      <c r="H32" s="40" t="n"/>
      <c r="I32" s="40" t="n"/>
      <c r="J32" s="40" t="n"/>
      <c r="K32" s="40" t="n"/>
      <c r="L32" s="40" t="n"/>
      <c r="M32" s="40" t="n"/>
      <c r="N32" s="40" t="n"/>
      <c r="O32" s="40" t="n"/>
    </row>
    <row r="33">
      <c r="A33" s="41" t="inlineStr">
        <is>
          <t>Interest by origination month</t>
        </is>
      </c>
      <c r="B33" s="51" t="n"/>
      <c r="C33" s="51" t="n"/>
      <c r="D33" s="51" t="n"/>
      <c r="E33" s="51" t="n"/>
      <c r="F33" s="51" t="n"/>
      <c r="G33" s="51" t="n"/>
      <c r="H33" s="51" t="n"/>
      <c r="I33" s="51" t="n"/>
      <c r="J33" s="51" t="n"/>
      <c r="K33" s="51" t="n"/>
      <c r="L33" s="51" t="n"/>
      <c r="M33" s="51" t="n"/>
      <c r="N33" s="51" t="n"/>
      <c r="O33" s="52" t="n"/>
    </row>
    <row r="34">
      <c r="A34" s="43" t="inlineStr">
        <is>
          <t>Origin month</t>
        </is>
      </c>
      <c r="B34" s="43" t="inlineStr">
        <is>
          <t>Source tranche</t>
        </is>
      </c>
      <c r="C34" s="43" t="n"/>
      <c r="D34" s="43" t="inlineStr">
        <is>
          <t>Month 1</t>
        </is>
      </c>
      <c r="E34" s="43" t="inlineStr">
        <is>
          <t>Month 2</t>
        </is>
      </c>
      <c r="F34" s="43" t="inlineStr">
        <is>
          <t>Month 3</t>
        </is>
      </c>
      <c r="G34" s="43" t="inlineStr">
        <is>
          <t>Month 4</t>
        </is>
      </c>
      <c r="H34" s="43" t="inlineStr">
        <is>
          <t>Month 5</t>
        </is>
      </c>
      <c r="I34" s="43" t="inlineStr">
        <is>
          <t>Month 6</t>
        </is>
      </c>
      <c r="J34" s="43" t="inlineStr">
        <is>
          <t>Month 7</t>
        </is>
      </c>
      <c r="K34" s="43" t="inlineStr">
        <is>
          <t>Month 8</t>
        </is>
      </c>
      <c r="L34" s="43" t="inlineStr">
        <is>
          <t>Month 9</t>
        </is>
      </c>
      <c r="M34" s="43" t="inlineStr">
        <is>
          <t>Month 10</t>
        </is>
      </c>
      <c r="N34" s="43" t="inlineStr">
        <is>
          <t>Month 11</t>
        </is>
      </c>
      <c r="O34" s="43" t="inlineStr">
        <is>
          <t>Month 12</t>
        </is>
      </c>
    </row>
    <row r="35">
      <c r="A35" s="37" t="inlineStr">
        <is>
          <t>Origin 1</t>
        </is>
      </c>
      <c r="B35" s="37">
        <f>D4</f>
        <v/>
      </c>
      <c r="C35" s="40" t="n"/>
      <c r="D35" s="37">
        <f>IF(AND(D$3&gt;D$3,D$3&lt;=D$3+Control!$C$108),(D$10-(D$10/Control!$C$108)*(D$3-D$3-1))*Control!$C$109/12,0)</f>
        <v/>
      </c>
      <c r="E35" s="37">
        <f>IF(AND(E$3&gt;D$3,E$3&lt;=D$3+Control!$C$108),(D$10-(D$10/Control!$C$108)*(E$3-D$3-1))*Control!$C$109/12,0)</f>
        <v/>
      </c>
      <c r="F35" s="37">
        <f>IF(AND(F$3&gt;D$3,F$3&lt;=D$3+Control!$C$108),(D$10-(D$10/Control!$C$108)*(F$3-D$3-1))*Control!$C$109/12,0)</f>
        <v/>
      </c>
      <c r="G35" s="37">
        <f>IF(AND(G$3&gt;D$3,G$3&lt;=D$3+Control!$C$108),(D$10-(D$10/Control!$C$108)*(G$3-D$3-1))*Control!$C$109/12,0)</f>
        <v/>
      </c>
      <c r="H35" s="37">
        <f>IF(AND(H$3&gt;D$3,H$3&lt;=D$3+Control!$C$108),(D$10-(D$10/Control!$C$108)*(H$3-D$3-1))*Control!$C$109/12,0)</f>
        <v/>
      </c>
      <c r="I35" s="37">
        <f>IF(AND(I$3&gt;D$3,I$3&lt;=D$3+Control!$C$108),(D$10-(D$10/Control!$C$108)*(I$3-D$3-1))*Control!$C$109/12,0)</f>
        <v/>
      </c>
      <c r="J35" s="37">
        <f>IF(AND(J$3&gt;D$3,J$3&lt;=D$3+Control!$C$108),(D$10-(D$10/Control!$C$108)*(J$3-D$3-1))*Control!$C$109/12,0)</f>
        <v/>
      </c>
      <c r="K35" s="37">
        <f>IF(AND(K$3&gt;D$3,K$3&lt;=D$3+Control!$C$108),(D$10-(D$10/Control!$C$108)*(K$3-D$3-1))*Control!$C$109/12,0)</f>
        <v/>
      </c>
      <c r="L35" s="37">
        <f>IF(AND(L$3&gt;D$3,L$3&lt;=D$3+Control!$C$108),(D$10-(D$10/Control!$C$108)*(L$3-D$3-1))*Control!$C$109/12,0)</f>
        <v/>
      </c>
      <c r="M35" s="37">
        <f>IF(AND(M$3&gt;D$3,M$3&lt;=D$3+Control!$C$108),(D$10-(D$10/Control!$C$108)*(M$3-D$3-1))*Control!$C$109/12,0)</f>
        <v/>
      </c>
      <c r="N35" s="37">
        <f>IF(AND(N$3&gt;D$3,N$3&lt;=D$3+Control!$C$108),(D$10-(D$10/Control!$C$108)*(N$3-D$3-1))*Control!$C$109/12,0)</f>
        <v/>
      </c>
      <c r="O35" s="37">
        <f>IF(AND(O$3&gt;D$3,O$3&lt;=D$3+Control!$C$108),(D$10-(D$10/Control!$C$108)*(O$3-D$3-1))*Control!$C$109/12,0)</f>
        <v/>
      </c>
    </row>
    <row r="36">
      <c r="A36" s="37" t="inlineStr">
        <is>
          <t>Origin 2</t>
        </is>
      </c>
      <c r="B36" s="37">
        <f>E4</f>
        <v/>
      </c>
      <c r="C36" s="40" t="n"/>
      <c r="D36" s="37">
        <f>IF(AND(D$3&gt;E$3,D$3&lt;=E$3+Control!$C$108),(E$10-(E$10/Control!$C$108)*(D$3-E$3-1))*Control!$C$109/12,0)</f>
        <v/>
      </c>
      <c r="E36" s="37">
        <f>IF(AND(E$3&gt;E$3,E$3&lt;=E$3+Control!$C$108),(E$10-(E$10/Control!$C$108)*(E$3-E$3-1))*Control!$C$109/12,0)</f>
        <v/>
      </c>
      <c r="F36" s="37">
        <f>IF(AND(F$3&gt;E$3,F$3&lt;=E$3+Control!$C$108),(E$10-(E$10/Control!$C$108)*(F$3-E$3-1))*Control!$C$109/12,0)</f>
        <v/>
      </c>
      <c r="G36" s="37">
        <f>IF(AND(G$3&gt;E$3,G$3&lt;=E$3+Control!$C$108),(E$10-(E$10/Control!$C$108)*(G$3-E$3-1))*Control!$C$109/12,0)</f>
        <v/>
      </c>
      <c r="H36" s="37">
        <f>IF(AND(H$3&gt;E$3,H$3&lt;=E$3+Control!$C$108),(E$10-(E$10/Control!$C$108)*(H$3-E$3-1))*Control!$C$109/12,0)</f>
        <v/>
      </c>
      <c r="I36" s="37">
        <f>IF(AND(I$3&gt;E$3,I$3&lt;=E$3+Control!$C$108),(E$10-(E$10/Control!$C$108)*(I$3-E$3-1))*Control!$C$109/12,0)</f>
        <v/>
      </c>
      <c r="J36" s="37">
        <f>IF(AND(J$3&gt;E$3,J$3&lt;=E$3+Control!$C$108),(E$10-(E$10/Control!$C$108)*(J$3-E$3-1))*Control!$C$109/12,0)</f>
        <v/>
      </c>
      <c r="K36" s="37">
        <f>IF(AND(K$3&gt;E$3,K$3&lt;=E$3+Control!$C$108),(E$10-(E$10/Control!$C$108)*(K$3-E$3-1))*Control!$C$109/12,0)</f>
        <v/>
      </c>
      <c r="L36" s="37">
        <f>IF(AND(L$3&gt;E$3,L$3&lt;=E$3+Control!$C$108),(E$10-(E$10/Control!$C$108)*(L$3-E$3-1))*Control!$C$109/12,0)</f>
        <v/>
      </c>
      <c r="M36" s="37">
        <f>IF(AND(M$3&gt;E$3,M$3&lt;=E$3+Control!$C$108),(E$10-(E$10/Control!$C$108)*(M$3-E$3-1))*Control!$C$109/12,0)</f>
        <v/>
      </c>
      <c r="N36" s="37">
        <f>IF(AND(N$3&gt;E$3,N$3&lt;=E$3+Control!$C$108),(E$10-(E$10/Control!$C$108)*(N$3-E$3-1))*Control!$C$109/12,0)</f>
        <v/>
      </c>
      <c r="O36" s="37">
        <f>IF(AND(O$3&gt;E$3,O$3&lt;=E$3+Control!$C$108),(E$10-(E$10/Control!$C$108)*(O$3-E$3-1))*Control!$C$109/12,0)</f>
        <v/>
      </c>
    </row>
    <row r="37">
      <c r="A37" s="37" t="inlineStr">
        <is>
          <t>Origin 3</t>
        </is>
      </c>
      <c r="B37" s="37">
        <f>F4</f>
        <v/>
      </c>
      <c r="C37" s="40" t="n"/>
      <c r="D37" s="37">
        <f>IF(AND(D$3&gt;F$3,D$3&lt;=F$3+Control!$C$108),(F$10-(F$10/Control!$C$108)*(D$3-F$3-1))*Control!$C$109/12,0)</f>
        <v/>
      </c>
      <c r="E37" s="37">
        <f>IF(AND(E$3&gt;F$3,E$3&lt;=F$3+Control!$C$108),(F$10-(F$10/Control!$C$108)*(E$3-F$3-1))*Control!$C$109/12,0)</f>
        <v/>
      </c>
      <c r="F37" s="37">
        <f>IF(AND(F$3&gt;F$3,F$3&lt;=F$3+Control!$C$108),(F$10-(F$10/Control!$C$108)*(F$3-F$3-1))*Control!$C$109/12,0)</f>
        <v/>
      </c>
      <c r="G37" s="37">
        <f>IF(AND(G$3&gt;F$3,G$3&lt;=F$3+Control!$C$108),(F$10-(F$10/Control!$C$108)*(G$3-F$3-1))*Control!$C$109/12,0)</f>
        <v/>
      </c>
      <c r="H37" s="37">
        <f>IF(AND(H$3&gt;F$3,H$3&lt;=F$3+Control!$C$108),(F$10-(F$10/Control!$C$108)*(H$3-F$3-1))*Control!$C$109/12,0)</f>
        <v/>
      </c>
      <c r="I37" s="37">
        <f>IF(AND(I$3&gt;F$3,I$3&lt;=F$3+Control!$C$108),(F$10-(F$10/Control!$C$108)*(I$3-F$3-1))*Control!$C$109/12,0)</f>
        <v/>
      </c>
      <c r="J37" s="37">
        <f>IF(AND(J$3&gt;F$3,J$3&lt;=F$3+Control!$C$108),(F$10-(F$10/Control!$C$108)*(J$3-F$3-1))*Control!$C$109/12,0)</f>
        <v/>
      </c>
      <c r="K37" s="37">
        <f>IF(AND(K$3&gt;F$3,K$3&lt;=F$3+Control!$C$108),(F$10-(F$10/Control!$C$108)*(K$3-F$3-1))*Control!$C$109/12,0)</f>
        <v/>
      </c>
      <c r="L37" s="37">
        <f>IF(AND(L$3&gt;F$3,L$3&lt;=F$3+Control!$C$108),(F$10-(F$10/Control!$C$108)*(L$3-F$3-1))*Control!$C$109/12,0)</f>
        <v/>
      </c>
      <c r="M37" s="37">
        <f>IF(AND(M$3&gt;F$3,M$3&lt;=F$3+Control!$C$108),(F$10-(F$10/Control!$C$108)*(M$3-F$3-1))*Control!$C$109/12,0)</f>
        <v/>
      </c>
      <c r="N37" s="37">
        <f>IF(AND(N$3&gt;F$3,N$3&lt;=F$3+Control!$C$108),(F$10-(F$10/Control!$C$108)*(N$3-F$3-1))*Control!$C$109/12,0)</f>
        <v/>
      </c>
      <c r="O37" s="37">
        <f>IF(AND(O$3&gt;F$3,O$3&lt;=F$3+Control!$C$108),(F$10-(F$10/Control!$C$108)*(O$3-F$3-1))*Control!$C$109/12,0)</f>
        <v/>
      </c>
    </row>
    <row r="38">
      <c r="A38" s="37" t="inlineStr">
        <is>
          <t>Origin 4</t>
        </is>
      </c>
      <c r="B38" s="37">
        <f>G4</f>
        <v/>
      </c>
      <c r="C38" s="40" t="n"/>
      <c r="D38" s="37">
        <f>IF(AND(D$3&gt;G$3,D$3&lt;=G$3+Control!$C$108),(G$10-(G$10/Control!$C$108)*(D$3-G$3-1))*Control!$C$109/12,0)</f>
        <v/>
      </c>
      <c r="E38" s="37">
        <f>IF(AND(E$3&gt;G$3,E$3&lt;=G$3+Control!$C$108),(G$10-(G$10/Control!$C$108)*(E$3-G$3-1))*Control!$C$109/12,0)</f>
        <v/>
      </c>
      <c r="F38" s="37">
        <f>IF(AND(F$3&gt;G$3,F$3&lt;=G$3+Control!$C$108),(G$10-(G$10/Control!$C$108)*(F$3-G$3-1))*Control!$C$109/12,0)</f>
        <v/>
      </c>
      <c r="G38" s="37">
        <f>IF(AND(G$3&gt;G$3,G$3&lt;=G$3+Control!$C$108),(G$10-(G$10/Control!$C$108)*(G$3-G$3-1))*Control!$C$109/12,0)</f>
        <v/>
      </c>
      <c r="H38" s="37">
        <f>IF(AND(H$3&gt;G$3,H$3&lt;=G$3+Control!$C$108),(G$10-(G$10/Control!$C$108)*(H$3-G$3-1))*Control!$C$109/12,0)</f>
        <v/>
      </c>
      <c r="I38" s="37">
        <f>IF(AND(I$3&gt;G$3,I$3&lt;=G$3+Control!$C$108),(G$10-(G$10/Control!$C$108)*(I$3-G$3-1))*Control!$C$109/12,0)</f>
        <v/>
      </c>
      <c r="J38" s="37">
        <f>IF(AND(J$3&gt;G$3,J$3&lt;=G$3+Control!$C$108),(G$10-(G$10/Control!$C$108)*(J$3-G$3-1))*Control!$C$109/12,0)</f>
        <v/>
      </c>
      <c r="K38" s="37">
        <f>IF(AND(K$3&gt;G$3,K$3&lt;=G$3+Control!$C$108),(G$10-(G$10/Control!$C$108)*(K$3-G$3-1))*Control!$C$109/12,0)</f>
        <v/>
      </c>
      <c r="L38" s="37">
        <f>IF(AND(L$3&gt;G$3,L$3&lt;=G$3+Control!$C$108),(G$10-(G$10/Control!$C$108)*(L$3-G$3-1))*Control!$C$109/12,0)</f>
        <v/>
      </c>
      <c r="M38" s="37">
        <f>IF(AND(M$3&gt;G$3,M$3&lt;=G$3+Control!$C$108),(G$10-(G$10/Control!$C$108)*(M$3-G$3-1))*Control!$C$109/12,0)</f>
        <v/>
      </c>
      <c r="N38" s="37">
        <f>IF(AND(N$3&gt;G$3,N$3&lt;=G$3+Control!$C$108),(G$10-(G$10/Control!$C$108)*(N$3-G$3-1))*Control!$C$109/12,0)</f>
        <v/>
      </c>
      <c r="O38" s="37">
        <f>IF(AND(O$3&gt;G$3,O$3&lt;=G$3+Control!$C$108),(G$10-(G$10/Control!$C$108)*(O$3-G$3-1))*Control!$C$109/12,0)</f>
        <v/>
      </c>
    </row>
    <row r="39">
      <c r="A39" s="37" t="inlineStr">
        <is>
          <t>Origin 5</t>
        </is>
      </c>
      <c r="B39" s="37">
        <f>H4</f>
        <v/>
      </c>
      <c r="C39" s="40" t="n"/>
      <c r="D39" s="37">
        <f>IF(AND(D$3&gt;H$3,D$3&lt;=H$3+Control!$C$108),(H$10-(H$10/Control!$C$108)*(D$3-H$3-1))*Control!$C$109/12,0)</f>
        <v/>
      </c>
      <c r="E39" s="37">
        <f>IF(AND(E$3&gt;H$3,E$3&lt;=H$3+Control!$C$108),(H$10-(H$10/Control!$C$108)*(E$3-H$3-1))*Control!$C$109/12,0)</f>
        <v/>
      </c>
      <c r="F39" s="37">
        <f>IF(AND(F$3&gt;H$3,F$3&lt;=H$3+Control!$C$108),(H$10-(H$10/Control!$C$108)*(F$3-H$3-1))*Control!$C$109/12,0)</f>
        <v/>
      </c>
      <c r="G39" s="37">
        <f>IF(AND(G$3&gt;H$3,G$3&lt;=H$3+Control!$C$108),(H$10-(H$10/Control!$C$108)*(G$3-H$3-1))*Control!$C$109/12,0)</f>
        <v/>
      </c>
      <c r="H39" s="37">
        <f>IF(AND(H$3&gt;H$3,H$3&lt;=H$3+Control!$C$108),(H$10-(H$10/Control!$C$108)*(H$3-H$3-1))*Control!$C$109/12,0)</f>
        <v/>
      </c>
      <c r="I39" s="37">
        <f>IF(AND(I$3&gt;H$3,I$3&lt;=H$3+Control!$C$108),(H$10-(H$10/Control!$C$108)*(I$3-H$3-1))*Control!$C$109/12,0)</f>
        <v/>
      </c>
      <c r="J39" s="37">
        <f>IF(AND(J$3&gt;H$3,J$3&lt;=H$3+Control!$C$108),(H$10-(H$10/Control!$C$108)*(J$3-H$3-1))*Control!$C$109/12,0)</f>
        <v/>
      </c>
      <c r="K39" s="37">
        <f>IF(AND(K$3&gt;H$3,K$3&lt;=H$3+Control!$C$108),(H$10-(H$10/Control!$C$108)*(K$3-H$3-1))*Control!$C$109/12,0)</f>
        <v/>
      </c>
      <c r="L39" s="37">
        <f>IF(AND(L$3&gt;H$3,L$3&lt;=H$3+Control!$C$108),(H$10-(H$10/Control!$C$108)*(L$3-H$3-1))*Control!$C$109/12,0)</f>
        <v/>
      </c>
      <c r="M39" s="37">
        <f>IF(AND(M$3&gt;H$3,M$3&lt;=H$3+Control!$C$108),(H$10-(H$10/Control!$C$108)*(M$3-H$3-1))*Control!$C$109/12,0)</f>
        <v/>
      </c>
      <c r="N39" s="37">
        <f>IF(AND(N$3&gt;H$3,N$3&lt;=H$3+Control!$C$108),(H$10-(H$10/Control!$C$108)*(N$3-H$3-1))*Control!$C$109/12,0)</f>
        <v/>
      </c>
      <c r="O39" s="37">
        <f>IF(AND(O$3&gt;H$3,O$3&lt;=H$3+Control!$C$108),(H$10-(H$10/Control!$C$108)*(O$3-H$3-1))*Control!$C$109/12,0)</f>
        <v/>
      </c>
    </row>
    <row r="40">
      <c r="A40" s="37" t="inlineStr">
        <is>
          <t>Origin 6</t>
        </is>
      </c>
      <c r="B40" s="37">
        <f>I4</f>
        <v/>
      </c>
      <c r="C40" s="40" t="n"/>
      <c r="D40" s="37">
        <f>IF(AND(D$3&gt;I$3,D$3&lt;=I$3+Control!$C$108),(I$10-(I$10/Control!$C$108)*(D$3-I$3-1))*Control!$C$109/12,0)</f>
        <v/>
      </c>
      <c r="E40" s="37">
        <f>IF(AND(E$3&gt;I$3,E$3&lt;=I$3+Control!$C$108),(I$10-(I$10/Control!$C$108)*(E$3-I$3-1))*Control!$C$109/12,0)</f>
        <v/>
      </c>
      <c r="F40" s="37">
        <f>IF(AND(F$3&gt;I$3,F$3&lt;=I$3+Control!$C$108),(I$10-(I$10/Control!$C$108)*(F$3-I$3-1))*Control!$C$109/12,0)</f>
        <v/>
      </c>
      <c r="G40" s="37">
        <f>IF(AND(G$3&gt;I$3,G$3&lt;=I$3+Control!$C$108),(I$10-(I$10/Control!$C$108)*(G$3-I$3-1))*Control!$C$109/12,0)</f>
        <v/>
      </c>
      <c r="H40" s="37">
        <f>IF(AND(H$3&gt;I$3,H$3&lt;=I$3+Control!$C$108),(I$10-(I$10/Control!$C$108)*(H$3-I$3-1))*Control!$C$109/12,0)</f>
        <v/>
      </c>
      <c r="I40" s="37">
        <f>IF(AND(I$3&gt;I$3,I$3&lt;=I$3+Control!$C$108),(I$10-(I$10/Control!$C$108)*(I$3-I$3-1))*Control!$C$109/12,0)</f>
        <v/>
      </c>
      <c r="J40" s="37">
        <f>IF(AND(J$3&gt;I$3,J$3&lt;=I$3+Control!$C$108),(I$10-(I$10/Control!$C$108)*(J$3-I$3-1))*Control!$C$109/12,0)</f>
        <v/>
      </c>
      <c r="K40" s="37">
        <f>IF(AND(K$3&gt;I$3,K$3&lt;=I$3+Control!$C$108),(I$10-(I$10/Control!$C$108)*(K$3-I$3-1))*Control!$C$109/12,0)</f>
        <v/>
      </c>
      <c r="L40" s="37">
        <f>IF(AND(L$3&gt;I$3,L$3&lt;=I$3+Control!$C$108),(I$10-(I$10/Control!$C$108)*(L$3-I$3-1))*Control!$C$109/12,0)</f>
        <v/>
      </c>
      <c r="M40" s="37">
        <f>IF(AND(M$3&gt;I$3,M$3&lt;=I$3+Control!$C$108),(I$10-(I$10/Control!$C$108)*(M$3-I$3-1))*Control!$C$109/12,0)</f>
        <v/>
      </c>
      <c r="N40" s="37">
        <f>IF(AND(N$3&gt;I$3,N$3&lt;=I$3+Control!$C$108),(I$10-(I$10/Control!$C$108)*(N$3-I$3-1))*Control!$C$109/12,0)</f>
        <v/>
      </c>
      <c r="O40" s="37">
        <f>IF(AND(O$3&gt;I$3,O$3&lt;=I$3+Control!$C$108),(I$10-(I$10/Control!$C$108)*(O$3-I$3-1))*Control!$C$109/12,0)</f>
        <v/>
      </c>
    </row>
    <row r="41">
      <c r="A41" s="37" t="inlineStr">
        <is>
          <t>Origin 7</t>
        </is>
      </c>
      <c r="B41" s="37">
        <f>J4</f>
        <v/>
      </c>
      <c r="C41" s="40" t="n"/>
      <c r="D41" s="37">
        <f>IF(AND(D$3&gt;J$3,D$3&lt;=J$3+Control!$C$108),(J$10-(J$10/Control!$C$108)*(D$3-J$3-1))*Control!$C$109/12,0)</f>
        <v/>
      </c>
      <c r="E41" s="37">
        <f>IF(AND(E$3&gt;J$3,E$3&lt;=J$3+Control!$C$108),(J$10-(J$10/Control!$C$108)*(E$3-J$3-1))*Control!$C$109/12,0)</f>
        <v/>
      </c>
      <c r="F41" s="37">
        <f>IF(AND(F$3&gt;J$3,F$3&lt;=J$3+Control!$C$108),(J$10-(J$10/Control!$C$108)*(F$3-J$3-1))*Control!$C$109/12,0)</f>
        <v/>
      </c>
      <c r="G41" s="37">
        <f>IF(AND(G$3&gt;J$3,G$3&lt;=J$3+Control!$C$108),(J$10-(J$10/Control!$C$108)*(G$3-J$3-1))*Control!$C$109/12,0)</f>
        <v/>
      </c>
      <c r="H41" s="37">
        <f>IF(AND(H$3&gt;J$3,H$3&lt;=J$3+Control!$C$108),(J$10-(J$10/Control!$C$108)*(H$3-J$3-1))*Control!$C$109/12,0)</f>
        <v/>
      </c>
      <c r="I41" s="37">
        <f>IF(AND(I$3&gt;J$3,I$3&lt;=J$3+Control!$C$108),(J$10-(J$10/Control!$C$108)*(I$3-J$3-1))*Control!$C$109/12,0)</f>
        <v/>
      </c>
      <c r="J41" s="37">
        <f>IF(AND(J$3&gt;J$3,J$3&lt;=J$3+Control!$C$108),(J$10-(J$10/Control!$C$108)*(J$3-J$3-1))*Control!$C$109/12,0)</f>
        <v/>
      </c>
      <c r="K41" s="37">
        <f>IF(AND(K$3&gt;J$3,K$3&lt;=J$3+Control!$C$108),(J$10-(J$10/Control!$C$108)*(K$3-J$3-1))*Control!$C$109/12,0)</f>
        <v/>
      </c>
      <c r="L41" s="37">
        <f>IF(AND(L$3&gt;J$3,L$3&lt;=J$3+Control!$C$108),(J$10-(J$10/Control!$C$108)*(L$3-J$3-1))*Control!$C$109/12,0)</f>
        <v/>
      </c>
      <c r="M41" s="37">
        <f>IF(AND(M$3&gt;J$3,M$3&lt;=J$3+Control!$C$108),(J$10-(J$10/Control!$C$108)*(M$3-J$3-1))*Control!$C$109/12,0)</f>
        <v/>
      </c>
      <c r="N41" s="37">
        <f>IF(AND(N$3&gt;J$3,N$3&lt;=J$3+Control!$C$108),(J$10-(J$10/Control!$C$108)*(N$3-J$3-1))*Control!$C$109/12,0)</f>
        <v/>
      </c>
      <c r="O41" s="37">
        <f>IF(AND(O$3&gt;J$3,O$3&lt;=J$3+Control!$C$108),(J$10-(J$10/Control!$C$108)*(O$3-J$3-1))*Control!$C$109/12,0)</f>
        <v/>
      </c>
    </row>
    <row r="42">
      <c r="A42" s="37" t="inlineStr">
        <is>
          <t>Origin 8</t>
        </is>
      </c>
      <c r="B42" s="37">
        <f>K4</f>
        <v/>
      </c>
      <c r="C42" s="40" t="n"/>
      <c r="D42" s="37">
        <f>IF(AND(D$3&gt;K$3,D$3&lt;=K$3+Control!$C$108),(K$10-(K$10/Control!$C$108)*(D$3-K$3-1))*Control!$C$109/12,0)</f>
        <v/>
      </c>
      <c r="E42" s="37">
        <f>IF(AND(E$3&gt;K$3,E$3&lt;=K$3+Control!$C$108),(K$10-(K$10/Control!$C$108)*(E$3-K$3-1))*Control!$C$109/12,0)</f>
        <v/>
      </c>
      <c r="F42" s="37">
        <f>IF(AND(F$3&gt;K$3,F$3&lt;=K$3+Control!$C$108),(K$10-(K$10/Control!$C$108)*(F$3-K$3-1))*Control!$C$109/12,0)</f>
        <v/>
      </c>
      <c r="G42" s="37">
        <f>IF(AND(G$3&gt;K$3,G$3&lt;=K$3+Control!$C$108),(K$10-(K$10/Control!$C$108)*(G$3-K$3-1))*Control!$C$109/12,0)</f>
        <v/>
      </c>
      <c r="H42" s="37">
        <f>IF(AND(H$3&gt;K$3,H$3&lt;=K$3+Control!$C$108),(K$10-(K$10/Control!$C$108)*(H$3-K$3-1))*Control!$C$109/12,0)</f>
        <v/>
      </c>
      <c r="I42" s="37">
        <f>IF(AND(I$3&gt;K$3,I$3&lt;=K$3+Control!$C$108),(K$10-(K$10/Control!$C$108)*(I$3-K$3-1))*Control!$C$109/12,0)</f>
        <v/>
      </c>
      <c r="J42" s="37">
        <f>IF(AND(J$3&gt;K$3,J$3&lt;=K$3+Control!$C$108),(K$10-(K$10/Control!$C$108)*(J$3-K$3-1))*Control!$C$109/12,0)</f>
        <v/>
      </c>
      <c r="K42" s="37">
        <f>IF(AND(K$3&gt;K$3,K$3&lt;=K$3+Control!$C$108),(K$10-(K$10/Control!$C$108)*(K$3-K$3-1))*Control!$C$109/12,0)</f>
        <v/>
      </c>
      <c r="L42" s="37">
        <f>IF(AND(L$3&gt;K$3,L$3&lt;=K$3+Control!$C$108),(K$10-(K$10/Control!$C$108)*(L$3-K$3-1))*Control!$C$109/12,0)</f>
        <v/>
      </c>
      <c r="M42" s="37">
        <f>IF(AND(M$3&gt;K$3,M$3&lt;=K$3+Control!$C$108),(K$10-(K$10/Control!$C$108)*(M$3-K$3-1))*Control!$C$109/12,0)</f>
        <v/>
      </c>
      <c r="N42" s="37">
        <f>IF(AND(N$3&gt;K$3,N$3&lt;=K$3+Control!$C$108),(K$10-(K$10/Control!$C$108)*(N$3-K$3-1))*Control!$C$109/12,0)</f>
        <v/>
      </c>
      <c r="O42" s="37">
        <f>IF(AND(O$3&gt;K$3,O$3&lt;=K$3+Control!$C$108),(K$10-(K$10/Control!$C$108)*(O$3-K$3-1))*Control!$C$109/12,0)</f>
        <v/>
      </c>
    </row>
    <row r="43">
      <c r="A43" s="37" t="inlineStr">
        <is>
          <t>Origin 9</t>
        </is>
      </c>
      <c r="B43" s="37">
        <f>L4</f>
        <v/>
      </c>
      <c r="C43" s="40" t="n"/>
      <c r="D43" s="37">
        <f>IF(AND(D$3&gt;L$3,D$3&lt;=L$3+Control!$C$108),(L$10-(L$10/Control!$C$108)*(D$3-L$3-1))*Control!$C$109/12,0)</f>
        <v/>
      </c>
      <c r="E43" s="37">
        <f>IF(AND(E$3&gt;L$3,E$3&lt;=L$3+Control!$C$108),(L$10-(L$10/Control!$C$108)*(E$3-L$3-1))*Control!$C$109/12,0)</f>
        <v/>
      </c>
      <c r="F43" s="37">
        <f>IF(AND(F$3&gt;L$3,F$3&lt;=L$3+Control!$C$108),(L$10-(L$10/Control!$C$108)*(F$3-L$3-1))*Control!$C$109/12,0)</f>
        <v/>
      </c>
      <c r="G43" s="37">
        <f>IF(AND(G$3&gt;L$3,G$3&lt;=L$3+Control!$C$108),(L$10-(L$10/Control!$C$108)*(G$3-L$3-1))*Control!$C$109/12,0)</f>
        <v/>
      </c>
      <c r="H43" s="37">
        <f>IF(AND(H$3&gt;L$3,H$3&lt;=L$3+Control!$C$108),(L$10-(L$10/Control!$C$108)*(H$3-L$3-1))*Control!$C$109/12,0)</f>
        <v/>
      </c>
      <c r="I43" s="37">
        <f>IF(AND(I$3&gt;L$3,I$3&lt;=L$3+Control!$C$108),(L$10-(L$10/Control!$C$108)*(I$3-L$3-1))*Control!$C$109/12,0)</f>
        <v/>
      </c>
      <c r="J43" s="37">
        <f>IF(AND(J$3&gt;L$3,J$3&lt;=L$3+Control!$C$108),(L$10-(L$10/Control!$C$108)*(J$3-L$3-1))*Control!$C$109/12,0)</f>
        <v/>
      </c>
      <c r="K43" s="37">
        <f>IF(AND(K$3&gt;L$3,K$3&lt;=L$3+Control!$C$108),(L$10-(L$10/Control!$C$108)*(K$3-L$3-1))*Control!$C$109/12,0)</f>
        <v/>
      </c>
      <c r="L43" s="37">
        <f>IF(AND(L$3&gt;L$3,L$3&lt;=L$3+Control!$C$108),(L$10-(L$10/Control!$C$108)*(L$3-L$3-1))*Control!$C$109/12,0)</f>
        <v/>
      </c>
      <c r="M43" s="37">
        <f>IF(AND(M$3&gt;L$3,M$3&lt;=L$3+Control!$C$108),(L$10-(L$10/Control!$C$108)*(M$3-L$3-1))*Control!$C$109/12,0)</f>
        <v/>
      </c>
      <c r="N43" s="37">
        <f>IF(AND(N$3&gt;L$3,N$3&lt;=L$3+Control!$C$108),(L$10-(L$10/Control!$C$108)*(N$3-L$3-1))*Control!$C$109/12,0)</f>
        <v/>
      </c>
      <c r="O43" s="37">
        <f>IF(AND(O$3&gt;L$3,O$3&lt;=L$3+Control!$C$108),(L$10-(L$10/Control!$C$108)*(O$3-L$3-1))*Control!$C$109/12,0)</f>
        <v/>
      </c>
    </row>
    <row r="44">
      <c r="A44" s="37" t="inlineStr">
        <is>
          <t>Origin 10</t>
        </is>
      </c>
      <c r="B44" s="37">
        <f>M4</f>
        <v/>
      </c>
      <c r="C44" s="40" t="n"/>
      <c r="D44" s="37">
        <f>IF(AND(D$3&gt;M$3,D$3&lt;=M$3+Control!$C$108),(M$10-(M$10/Control!$C$108)*(D$3-M$3-1))*Control!$C$109/12,0)</f>
        <v/>
      </c>
      <c r="E44" s="37">
        <f>IF(AND(E$3&gt;M$3,E$3&lt;=M$3+Control!$C$108),(M$10-(M$10/Control!$C$108)*(E$3-M$3-1))*Control!$C$109/12,0)</f>
        <v/>
      </c>
      <c r="F44" s="37">
        <f>IF(AND(F$3&gt;M$3,F$3&lt;=M$3+Control!$C$108),(M$10-(M$10/Control!$C$108)*(F$3-M$3-1))*Control!$C$109/12,0)</f>
        <v/>
      </c>
      <c r="G44" s="37">
        <f>IF(AND(G$3&gt;M$3,G$3&lt;=M$3+Control!$C$108),(M$10-(M$10/Control!$C$108)*(G$3-M$3-1))*Control!$C$109/12,0)</f>
        <v/>
      </c>
      <c r="H44" s="37">
        <f>IF(AND(H$3&gt;M$3,H$3&lt;=M$3+Control!$C$108),(M$10-(M$10/Control!$C$108)*(H$3-M$3-1))*Control!$C$109/12,0)</f>
        <v/>
      </c>
      <c r="I44" s="37">
        <f>IF(AND(I$3&gt;M$3,I$3&lt;=M$3+Control!$C$108),(M$10-(M$10/Control!$C$108)*(I$3-M$3-1))*Control!$C$109/12,0)</f>
        <v/>
      </c>
      <c r="J44" s="37">
        <f>IF(AND(J$3&gt;M$3,J$3&lt;=M$3+Control!$C$108),(M$10-(M$10/Control!$C$108)*(J$3-M$3-1))*Control!$C$109/12,0)</f>
        <v/>
      </c>
      <c r="K44" s="37">
        <f>IF(AND(K$3&gt;M$3,K$3&lt;=M$3+Control!$C$108),(M$10-(M$10/Control!$C$108)*(K$3-M$3-1))*Control!$C$109/12,0)</f>
        <v/>
      </c>
      <c r="L44" s="37">
        <f>IF(AND(L$3&gt;M$3,L$3&lt;=M$3+Control!$C$108),(M$10-(M$10/Control!$C$108)*(L$3-M$3-1))*Control!$C$109/12,0)</f>
        <v/>
      </c>
      <c r="M44" s="37">
        <f>IF(AND(M$3&gt;M$3,M$3&lt;=M$3+Control!$C$108),(M$10-(M$10/Control!$C$108)*(M$3-M$3-1))*Control!$C$109/12,0)</f>
        <v/>
      </c>
      <c r="N44" s="37">
        <f>IF(AND(N$3&gt;M$3,N$3&lt;=M$3+Control!$C$108),(M$10-(M$10/Control!$C$108)*(N$3-M$3-1))*Control!$C$109/12,0)</f>
        <v/>
      </c>
      <c r="O44" s="37">
        <f>IF(AND(O$3&gt;M$3,O$3&lt;=M$3+Control!$C$108),(M$10-(M$10/Control!$C$108)*(O$3-M$3-1))*Control!$C$109/12,0)</f>
        <v/>
      </c>
    </row>
    <row r="45">
      <c r="A45" s="37" t="inlineStr">
        <is>
          <t>Origin 11</t>
        </is>
      </c>
      <c r="B45" s="37">
        <f>N4</f>
        <v/>
      </c>
      <c r="C45" s="40" t="n"/>
      <c r="D45" s="37">
        <f>IF(AND(D$3&gt;N$3,D$3&lt;=N$3+Control!$C$108),(N$10-(N$10/Control!$C$108)*(D$3-N$3-1))*Control!$C$109/12,0)</f>
        <v/>
      </c>
      <c r="E45" s="37">
        <f>IF(AND(E$3&gt;N$3,E$3&lt;=N$3+Control!$C$108),(N$10-(N$10/Control!$C$108)*(E$3-N$3-1))*Control!$C$109/12,0)</f>
        <v/>
      </c>
      <c r="F45" s="37">
        <f>IF(AND(F$3&gt;N$3,F$3&lt;=N$3+Control!$C$108),(N$10-(N$10/Control!$C$108)*(F$3-N$3-1))*Control!$C$109/12,0)</f>
        <v/>
      </c>
      <c r="G45" s="37">
        <f>IF(AND(G$3&gt;N$3,G$3&lt;=N$3+Control!$C$108),(N$10-(N$10/Control!$C$108)*(G$3-N$3-1))*Control!$C$109/12,0)</f>
        <v/>
      </c>
      <c r="H45" s="37">
        <f>IF(AND(H$3&gt;N$3,H$3&lt;=N$3+Control!$C$108),(N$10-(N$10/Control!$C$108)*(H$3-N$3-1))*Control!$C$109/12,0)</f>
        <v/>
      </c>
      <c r="I45" s="37">
        <f>IF(AND(I$3&gt;N$3,I$3&lt;=N$3+Control!$C$108),(N$10-(N$10/Control!$C$108)*(I$3-N$3-1))*Control!$C$109/12,0)</f>
        <v/>
      </c>
      <c r="J45" s="37">
        <f>IF(AND(J$3&gt;N$3,J$3&lt;=N$3+Control!$C$108),(N$10-(N$10/Control!$C$108)*(J$3-N$3-1))*Control!$C$109/12,0)</f>
        <v/>
      </c>
      <c r="K45" s="37">
        <f>IF(AND(K$3&gt;N$3,K$3&lt;=N$3+Control!$C$108),(N$10-(N$10/Control!$C$108)*(K$3-N$3-1))*Control!$C$109/12,0)</f>
        <v/>
      </c>
      <c r="L45" s="37">
        <f>IF(AND(L$3&gt;N$3,L$3&lt;=N$3+Control!$C$108),(N$10-(N$10/Control!$C$108)*(L$3-N$3-1))*Control!$C$109/12,0)</f>
        <v/>
      </c>
      <c r="M45" s="37">
        <f>IF(AND(M$3&gt;N$3,M$3&lt;=N$3+Control!$C$108),(N$10-(N$10/Control!$C$108)*(M$3-N$3-1))*Control!$C$109/12,0)</f>
        <v/>
      </c>
      <c r="N45" s="37">
        <f>IF(AND(N$3&gt;N$3,N$3&lt;=N$3+Control!$C$108),(N$10-(N$10/Control!$C$108)*(N$3-N$3-1))*Control!$C$109/12,0)</f>
        <v/>
      </c>
      <c r="O45" s="37">
        <f>IF(AND(O$3&gt;N$3,O$3&lt;=N$3+Control!$C$108),(N$10-(N$10/Control!$C$108)*(O$3-N$3-1))*Control!$C$109/12,0)</f>
        <v/>
      </c>
    </row>
    <row r="46">
      <c r="A46" s="37" t="inlineStr">
        <is>
          <t>Origin 12</t>
        </is>
      </c>
      <c r="B46" s="37">
        <f>O4</f>
        <v/>
      </c>
      <c r="C46" s="40" t="n"/>
      <c r="D46" s="37">
        <f>IF(AND(D$3&gt;O$3,D$3&lt;=O$3+Control!$C$108),(O$10-(O$10/Control!$C$108)*(D$3-O$3-1))*Control!$C$109/12,0)</f>
        <v/>
      </c>
      <c r="E46" s="37">
        <f>IF(AND(E$3&gt;O$3,E$3&lt;=O$3+Control!$C$108),(O$10-(O$10/Control!$C$108)*(E$3-O$3-1))*Control!$C$109/12,0)</f>
        <v/>
      </c>
      <c r="F46" s="37">
        <f>IF(AND(F$3&gt;O$3,F$3&lt;=O$3+Control!$C$108),(O$10-(O$10/Control!$C$108)*(F$3-O$3-1))*Control!$C$109/12,0)</f>
        <v/>
      </c>
      <c r="G46" s="37">
        <f>IF(AND(G$3&gt;O$3,G$3&lt;=O$3+Control!$C$108),(O$10-(O$10/Control!$C$108)*(G$3-O$3-1))*Control!$C$109/12,0)</f>
        <v/>
      </c>
      <c r="H46" s="37">
        <f>IF(AND(H$3&gt;O$3,H$3&lt;=O$3+Control!$C$108),(O$10-(O$10/Control!$C$108)*(H$3-O$3-1))*Control!$C$109/12,0)</f>
        <v/>
      </c>
      <c r="I46" s="37">
        <f>IF(AND(I$3&gt;O$3,I$3&lt;=O$3+Control!$C$108),(O$10-(O$10/Control!$C$108)*(I$3-O$3-1))*Control!$C$109/12,0)</f>
        <v/>
      </c>
      <c r="J46" s="37">
        <f>IF(AND(J$3&gt;O$3,J$3&lt;=O$3+Control!$C$108),(O$10-(O$10/Control!$C$108)*(J$3-O$3-1))*Control!$C$109/12,0)</f>
        <v/>
      </c>
      <c r="K46" s="37">
        <f>IF(AND(K$3&gt;O$3,K$3&lt;=O$3+Control!$C$108),(O$10-(O$10/Control!$C$108)*(K$3-O$3-1))*Control!$C$109/12,0)</f>
        <v/>
      </c>
      <c r="L46" s="37">
        <f>IF(AND(L$3&gt;O$3,L$3&lt;=O$3+Control!$C$108),(O$10-(O$10/Control!$C$108)*(L$3-O$3-1))*Control!$C$109/12,0)</f>
        <v/>
      </c>
      <c r="M46" s="37">
        <f>IF(AND(M$3&gt;O$3,M$3&lt;=O$3+Control!$C$108),(O$10-(O$10/Control!$C$108)*(M$3-O$3-1))*Control!$C$109/12,0)</f>
        <v/>
      </c>
      <c r="N46" s="37">
        <f>IF(AND(N$3&gt;O$3,N$3&lt;=O$3+Control!$C$108),(O$10-(O$10/Control!$C$108)*(N$3-O$3-1))*Control!$C$109/12,0)</f>
        <v/>
      </c>
      <c r="O46" s="37">
        <f>IF(AND(O$3&gt;O$3,O$3&lt;=O$3+Control!$C$108),(O$10-(O$10/Control!$C$108)*(O$3-O$3-1))*Control!$C$109/12,0)</f>
        <v/>
      </c>
    </row>
    <row r="47">
      <c r="A47" s="40" t="n"/>
      <c r="B47" s="40" t="n"/>
      <c r="C47" s="40" t="n"/>
      <c r="D47" s="40" t="n"/>
      <c r="E47" s="40" t="n"/>
      <c r="F47" s="40" t="n"/>
      <c r="G47" s="40" t="n"/>
      <c r="H47" s="40" t="n"/>
      <c r="I47" s="40" t="n"/>
      <c r="J47" s="40" t="n"/>
      <c r="K47" s="40" t="n"/>
      <c r="L47" s="40" t="n"/>
      <c r="M47" s="40" t="n"/>
      <c r="N47" s="40" t="n"/>
      <c r="O47" s="40" t="n"/>
    </row>
    <row r="48">
      <c r="A48" s="37" t="inlineStr">
        <is>
          <t>Scope note</t>
        </is>
      </c>
      <c r="B48" s="40" t="n"/>
      <c r="C48" s="40" t="n"/>
      <c r="D48" s="37" t="inlineStr">
        <is>
          <t>Hamar email thread: the EPC scope includes all electrical works from the 6.6kV feeders to the 400V connection at the BitMach containers, and includes the essential section and DX-issued metering scope.</t>
        </is>
      </c>
      <c r="E48" s="40" t="n"/>
      <c r="F48" s="40" t="n"/>
      <c r="G48" s="40" t="n"/>
      <c r="H48" s="40" t="n"/>
      <c r="I48" s="40" t="n"/>
      <c r="J48" s="40" t="n"/>
      <c r="K48" s="40" t="n"/>
      <c r="L48" s="40" t="n"/>
      <c r="M48" s="40" t="n"/>
      <c r="N48" s="40" t="n"/>
      <c r="O48" s="40" t="n"/>
    </row>
    <row r="49">
      <c r="A49" s="37" t="inlineStr">
        <is>
          <t>Engineering note</t>
        </is>
      </c>
      <c r="B49" s="40" t="n"/>
      <c r="C49" s="40" t="n"/>
      <c r="D49" s="37" t="inlineStr">
        <is>
          <t>Concept comments: harmonic mitigation is required for the non-linear mining load, but was not allowed for in the preliminary offer because detailed harmonic spectra were not yet available.</t>
        </is>
      </c>
      <c r="E49" s="40" t="n"/>
      <c r="F49" s="40" t="n"/>
      <c r="G49" s="40" t="n"/>
      <c r="H49" s="40" t="n"/>
      <c r="I49" s="40" t="n"/>
      <c r="J49" s="40" t="n"/>
      <c r="K49" s="40" t="n"/>
      <c r="L49" s="40" t="n"/>
      <c r="M49" s="40" t="n"/>
      <c r="N49" s="40" t="n"/>
      <c r="O49" s="40" t="n"/>
    </row>
  </sheetData>
  <mergeCells count="4">
    <mergeCell ref="A1:O1"/>
    <mergeCell ref="A33:O33"/>
    <mergeCell ref="A2:O2"/>
    <mergeCell ref="A17:O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9"/>
  <sheetViews>
    <sheetView showGridLines="0" workbookViewId="0">
      <selection activeCell="A1" sqref="A1"/>
    </sheetView>
  </sheetViews>
  <sheetFormatPr baseColWidth="8" defaultRowHeight="15"/>
  <cols>
    <col width="32" customWidth="1" min="1" max="1"/>
    <col width="16"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12-Month Cash Flow &amp; Burn</t>
        </is>
      </c>
    </row>
    <row r="2">
      <c r="A2" s="5" t="inlineStr">
        <is>
          <t>Base case still excludes DR and hyperscaler revenue unless switched on; external funding is now formula-driven via the 12M_Funding sheet.</t>
        </is>
      </c>
    </row>
    <row r="3">
      <c r="D3" s="44" t="n">
        <v>1</v>
      </c>
      <c r="E3" s="44" t="n">
        <v>2</v>
      </c>
      <c r="F3" s="44" t="n">
        <v>3</v>
      </c>
      <c r="G3" s="44" t="n">
        <v>4</v>
      </c>
      <c r="H3" s="44" t="n">
        <v>5</v>
      </c>
      <c r="I3" s="44" t="n">
        <v>6</v>
      </c>
      <c r="J3" s="44" t="n">
        <v>7</v>
      </c>
      <c r="K3" s="44" t="n">
        <v>8</v>
      </c>
      <c r="L3" s="44" t="n">
        <v>9</v>
      </c>
      <c r="M3" s="44" t="n">
        <v>10</v>
      </c>
      <c r="N3" s="44" t="n">
        <v>11</v>
      </c>
      <c r="O3" s="44" t="n">
        <v>12</v>
      </c>
    </row>
    <row r="4">
      <c r="D4" s="17" t="inlineStr">
        <is>
          <t>Jan-26</t>
        </is>
      </c>
      <c r="E4" s="17" t="inlineStr">
        <is>
          <t>Feb-26</t>
        </is>
      </c>
      <c r="F4" s="17" t="inlineStr">
        <is>
          <t>Mar-26</t>
        </is>
      </c>
      <c r="G4" s="17" t="inlineStr">
        <is>
          <t>Apr-26</t>
        </is>
      </c>
      <c r="H4" s="17" t="inlineStr">
        <is>
          <t>May-26</t>
        </is>
      </c>
      <c r="I4" s="17" t="inlineStr">
        <is>
          <t>Jun-26</t>
        </is>
      </c>
      <c r="J4" s="17" t="inlineStr">
        <is>
          <t>Jul-26</t>
        </is>
      </c>
      <c r="K4" s="17" t="inlineStr">
        <is>
          <t>Aug-26</t>
        </is>
      </c>
      <c r="L4" s="17" t="inlineStr">
        <is>
          <t>Sep-26</t>
        </is>
      </c>
      <c r="M4" s="17" t="inlineStr">
        <is>
          <t>Oct-26</t>
        </is>
      </c>
      <c r="N4" s="17" t="inlineStr">
        <is>
          <t>Nov-26</t>
        </is>
      </c>
      <c r="O4" s="17" t="inlineStr">
        <is>
          <t>Dec-26</t>
        </is>
      </c>
    </row>
    <row r="5">
      <c r="A5" s="7" t="inlineStr">
        <is>
          <t>Revenue - base case</t>
        </is>
      </c>
      <c r="B5" s="5" t="inlineStr">
        <is>
          <t>ZAR'000</t>
        </is>
      </c>
      <c r="D5" s="14">
        <f>'12M_Revenue'!D21</f>
        <v/>
      </c>
      <c r="E5" s="14">
        <f>'12M_Revenue'!E21</f>
        <v/>
      </c>
      <c r="F5" s="14">
        <f>'12M_Revenue'!F21</f>
        <v/>
      </c>
      <c r="G5" s="14">
        <f>'12M_Revenue'!G21</f>
        <v/>
      </c>
      <c r="H5" s="14">
        <f>'12M_Revenue'!H21</f>
        <v/>
      </c>
      <c r="I5" s="14">
        <f>'12M_Revenue'!I21</f>
        <v/>
      </c>
      <c r="J5" s="14">
        <f>'12M_Revenue'!J21</f>
        <v/>
      </c>
      <c r="K5" s="14">
        <f>'12M_Revenue'!K21</f>
        <v/>
      </c>
      <c r="L5" s="14">
        <f>'12M_Revenue'!L21</f>
        <v/>
      </c>
      <c r="M5" s="14">
        <f>'12M_Revenue'!M21</f>
        <v/>
      </c>
      <c r="N5" s="14">
        <f>'12M_Revenue'!N21</f>
        <v/>
      </c>
      <c r="O5" s="14">
        <f>'12M_Revenue'!O21</f>
        <v/>
      </c>
    </row>
    <row r="6">
      <c r="A6" s="7" t="inlineStr">
        <is>
          <t>Revenue - with upside</t>
        </is>
      </c>
      <c r="B6" s="5" t="inlineStr">
        <is>
          <t>ZAR'000</t>
        </is>
      </c>
      <c r="D6" s="14">
        <f>'12M_Revenue'!D22</f>
        <v/>
      </c>
      <c r="E6" s="14">
        <f>'12M_Revenue'!E22</f>
        <v/>
      </c>
      <c r="F6" s="14">
        <f>'12M_Revenue'!F22</f>
        <v/>
      </c>
      <c r="G6" s="14">
        <f>'12M_Revenue'!G22</f>
        <v/>
      </c>
      <c r="H6" s="14">
        <f>'12M_Revenue'!H22</f>
        <v/>
      </c>
      <c r="I6" s="14">
        <f>'12M_Revenue'!I22</f>
        <v/>
      </c>
      <c r="J6" s="14">
        <f>'12M_Revenue'!J22</f>
        <v/>
      </c>
      <c r="K6" s="14">
        <f>'12M_Revenue'!K22</f>
        <v/>
      </c>
      <c r="L6" s="14">
        <f>'12M_Revenue'!L22</f>
        <v/>
      </c>
      <c r="M6" s="14">
        <f>'12M_Revenue'!M22</f>
        <v/>
      </c>
      <c r="N6" s="14">
        <f>'12M_Revenue'!N22</f>
        <v/>
      </c>
      <c r="O6" s="14">
        <f>'12M_Revenue'!O22</f>
        <v/>
      </c>
    </row>
    <row r="7">
      <c r="A7" s="7" t="inlineStr">
        <is>
          <t>Cash opex</t>
        </is>
      </c>
      <c r="B7" s="5" t="inlineStr">
        <is>
          <t>ZAR'000</t>
        </is>
      </c>
      <c r="D7" s="14">
        <f>'12M_Opex'!D24</f>
        <v/>
      </c>
      <c r="E7" s="14">
        <f>'12M_Opex'!E24</f>
        <v/>
      </c>
      <c r="F7" s="14">
        <f>'12M_Opex'!F24</f>
        <v/>
      </c>
      <c r="G7" s="14">
        <f>'12M_Opex'!G24</f>
        <v/>
      </c>
      <c r="H7" s="14">
        <f>'12M_Opex'!H24</f>
        <v/>
      </c>
      <c r="I7" s="14">
        <f>'12M_Opex'!I24</f>
        <v/>
      </c>
      <c r="J7" s="14">
        <f>'12M_Opex'!J24</f>
        <v/>
      </c>
      <c r="K7" s="14">
        <f>'12M_Opex'!K24</f>
        <v/>
      </c>
      <c r="L7" s="14">
        <f>'12M_Opex'!L24</f>
        <v/>
      </c>
      <c r="M7" s="14">
        <f>'12M_Opex'!M24</f>
        <v/>
      </c>
      <c r="N7" s="14">
        <f>'12M_Opex'!N24</f>
        <v/>
      </c>
      <c r="O7" s="14">
        <f>'12M_Opex'!O24</f>
        <v/>
      </c>
    </row>
    <row r="8">
      <c r="A8" s="19" t="inlineStr">
        <is>
          <t>EBITDA - base case</t>
        </is>
      </c>
      <c r="B8" s="20" t="inlineStr">
        <is>
          <t>ZAR'000</t>
        </is>
      </c>
      <c r="C8" s="21" t="n"/>
      <c r="D8" s="22">
        <f>'12M_Opex'!D25</f>
        <v/>
      </c>
      <c r="E8" s="22">
        <f>'12M_Opex'!E25</f>
        <v/>
      </c>
      <c r="F8" s="22">
        <f>'12M_Opex'!F25</f>
        <v/>
      </c>
      <c r="G8" s="22">
        <f>'12M_Opex'!G25</f>
        <v/>
      </c>
      <c r="H8" s="22">
        <f>'12M_Opex'!H25</f>
        <v/>
      </c>
      <c r="I8" s="22">
        <f>'12M_Opex'!I25</f>
        <v/>
      </c>
      <c r="J8" s="22">
        <f>'12M_Opex'!J25</f>
        <v/>
      </c>
      <c r="K8" s="22">
        <f>'12M_Opex'!K25</f>
        <v/>
      </c>
      <c r="L8" s="22">
        <f>'12M_Opex'!L25</f>
        <v/>
      </c>
      <c r="M8" s="22">
        <f>'12M_Opex'!M25</f>
        <v/>
      </c>
      <c r="N8" s="22">
        <f>'12M_Opex'!N25</f>
        <v/>
      </c>
      <c r="O8" s="22">
        <f>'12M_Opex'!O25</f>
        <v/>
      </c>
    </row>
    <row r="9">
      <c r="A9" s="7" t="inlineStr">
        <is>
          <t>Capex cash spend</t>
        </is>
      </c>
      <c r="B9" s="5" t="inlineStr">
        <is>
          <t>ZAR'000</t>
        </is>
      </c>
      <c r="D9" s="14">
        <f>'12M_Capex'!D40</f>
        <v/>
      </c>
      <c r="E9" s="14">
        <f>'12M_Capex'!E40</f>
        <v/>
      </c>
      <c r="F9" s="14">
        <f>'12M_Capex'!F40</f>
        <v/>
      </c>
      <c r="G9" s="14">
        <f>'12M_Capex'!G40</f>
        <v/>
      </c>
      <c r="H9" s="14">
        <f>'12M_Capex'!H40</f>
        <v/>
      </c>
      <c r="I9" s="14">
        <f>'12M_Capex'!I40</f>
        <v/>
      </c>
      <c r="J9" s="14">
        <f>'12M_Capex'!J40</f>
        <v/>
      </c>
      <c r="K9" s="14">
        <f>'12M_Capex'!K40</f>
        <v/>
      </c>
      <c r="L9" s="14">
        <f>'12M_Capex'!L40</f>
        <v/>
      </c>
      <c r="M9" s="14">
        <f>'12M_Capex'!M40</f>
        <v/>
      </c>
      <c r="N9" s="14">
        <f>'12M_Capex'!N40</f>
        <v/>
      </c>
      <c r="O9" s="14">
        <f>'12M_Capex'!O40</f>
        <v/>
      </c>
    </row>
    <row r="10">
      <c r="A10" s="2" t="inlineStr">
        <is>
          <t>Unlevered cash flow - base case</t>
        </is>
      </c>
      <c r="B10" s="5" t="inlineStr">
        <is>
          <t>ZAR'000</t>
        </is>
      </c>
      <c r="D10" s="14">
        <f>D5-D7-D9</f>
        <v/>
      </c>
      <c r="E10" s="14">
        <f>E5-E7-E9</f>
        <v/>
      </c>
      <c r="F10" s="14">
        <f>F5-F7-F9</f>
        <v/>
      </c>
      <c r="G10" s="14">
        <f>G5-G7-G9</f>
        <v/>
      </c>
      <c r="H10" s="14">
        <f>H5-H7-H9</f>
        <v/>
      </c>
      <c r="I10" s="14">
        <f>I5-I7-I9</f>
        <v/>
      </c>
      <c r="J10" s="14">
        <f>J5-J7-J9</f>
        <v/>
      </c>
      <c r="K10" s="14">
        <f>K5-K7-K9</f>
        <v/>
      </c>
      <c r="L10" s="14">
        <f>L5-L7-L9</f>
        <v/>
      </c>
      <c r="M10" s="14">
        <f>M5-M7-M9</f>
        <v/>
      </c>
      <c r="N10" s="14">
        <f>N5-N7-N9</f>
        <v/>
      </c>
      <c r="O10" s="14">
        <f>O5-O7-O9</f>
        <v/>
      </c>
    </row>
    <row r="11">
      <c r="A11" s="2" t="inlineStr">
        <is>
          <t>Unlevered cash flow - with upside</t>
        </is>
      </c>
      <c r="B11" s="5" t="inlineStr">
        <is>
          <t>ZAR'000</t>
        </is>
      </c>
      <c r="D11" s="14">
        <f>D6-D7-D9</f>
        <v/>
      </c>
      <c r="E11" s="14">
        <f>E6-E7-E9</f>
        <v/>
      </c>
      <c r="F11" s="14">
        <f>F6-F7-F9</f>
        <v/>
      </c>
      <c r="G11" s="14">
        <f>G6-G7-G9</f>
        <v/>
      </c>
      <c r="H11" s="14">
        <f>H6-H7-H9</f>
        <v/>
      </c>
      <c r="I11" s="14">
        <f>I6-I7-I9</f>
        <v/>
      </c>
      <c r="J11" s="14">
        <f>J6-J7-J9</f>
        <v/>
      </c>
      <c r="K11" s="14">
        <f>K6-K7-K9</f>
        <v/>
      </c>
      <c r="L11" s="14">
        <f>L6-L7-L9</f>
        <v/>
      </c>
      <c r="M11" s="14">
        <f>M6-M7-M9</f>
        <v/>
      </c>
      <c r="N11" s="14">
        <f>N6-N7-N9</f>
        <v/>
      </c>
      <c r="O11" s="14">
        <f>O6-O7-O9</f>
        <v/>
      </c>
    </row>
    <row r="12">
      <c r="A12" s="7" t="inlineStr">
        <is>
          <t>Net external funding input</t>
        </is>
      </c>
      <c r="B12" s="5" t="inlineStr">
        <is>
          <t>ZAR'000</t>
        </is>
      </c>
      <c r="D12" s="28">
        <f>'12M_Funding'!D11</f>
        <v/>
      </c>
      <c r="E12" s="28">
        <f>'12M_Funding'!E11</f>
        <v/>
      </c>
      <c r="F12" s="28">
        <f>'12M_Funding'!F11</f>
        <v/>
      </c>
      <c r="G12" s="28">
        <f>'12M_Funding'!G11</f>
        <v/>
      </c>
      <c r="H12" s="28">
        <f>'12M_Funding'!H11</f>
        <v/>
      </c>
      <c r="I12" s="28">
        <f>'12M_Funding'!I11</f>
        <v/>
      </c>
      <c r="J12" s="28">
        <f>'12M_Funding'!J11</f>
        <v/>
      </c>
      <c r="K12" s="28">
        <f>'12M_Funding'!K11</f>
        <v/>
      </c>
      <c r="L12" s="28">
        <f>'12M_Funding'!L11</f>
        <v/>
      </c>
      <c r="M12" s="28">
        <f>'12M_Funding'!M11</f>
        <v/>
      </c>
      <c r="N12" s="28">
        <f>'12M_Funding'!N11</f>
        <v/>
      </c>
      <c r="O12" s="28">
        <f>'12M_Funding'!O11</f>
        <v/>
      </c>
    </row>
    <row r="13">
      <c r="A13" s="7" t="inlineStr">
        <is>
          <t>Opening cash</t>
        </is>
      </c>
      <c r="B13" s="5" t="inlineStr">
        <is>
          <t>ZAR'000</t>
        </is>
      </c>
      <c r="D13" s="14">
        <f>Control!$C$5</f>
        <v/>
      </c>
      <c r="E13" s="14">
        <f>D14</f>
        <v/>
      </c>
      <c r="F13" s="14">
        <f>E14</f>
        <v/>
      </c>
      <c r="G13" s="14">
        <f>F14</f>
        <v/>
      </c>
      <c r="H13" s="14">
        <f>G14</f>
        <v/>
      </c>
      <c r="I13" s="14">
        <f>H14</f>
        <v/>
      </c>
      <c r="J13" s="14">
        <f>I14</f>
        <v/>
      </c>
      <c r="K13" s="14">
        <f>J14</f>
        <v/>
      </c>
      <c r="L13" s="14">
        <f>K14</f>
        <v/>
      </c>
      <c r="M13" s="14">
        <f>L14</f>
        <v/>
      </c>
      <c r="N13" s="14">
        <f>M14</f>
        <v/>
      </c>
      <c r="O13" s="14">
        <f>N14</f>
        <v/>
      </c>
    </row>
    <row r="14">
      <c r="A14" s="2" t="inlineStr">
        <is>
          <t>Ending cash</t>
        </is>
      </c>
      <c r="B14" s="5" t="inlineStr">
        <is>
          <t>ZAR'000</t>
        </is>
      </c>
      <c r="D14" s="14">
        <f>D13+D10+D12</f>
        <v/>
      </c>
      <c r="E14" s="14">
        <f>E13+E10+E12</f>
        <v/>
      </c>
      <c r="F14" s="14">
        <f>F13+F10+F12</f>
        <v/>
      </c>
      <c r="G14" s="14">
        <f>G13+G10+G12</f>
        <v/>
      </c>
      <c r="H14" s="14">
        <f>H13+H10+H12</f>
        <v/>
      </c>
      <c r="I14" s="14">
        <f>I13+I10+I12</f>
        <v/>
      </c>
      <c r="J14" s="14">
        <f>J13+J10+J12</f>
        <v/>
      </c>
      <c r="K14" s="14">
        <f>K13+K10+K12</f>
        <v/>
      </c>
      <c r="L14" s="14">
        <f>L13+L10+L12</f>
        <v/>
      </c>
      <c r="M14" s="14">
        <f>M13+M10+M12</f>
        <v/>
      </c>
      <c r="N14" s="14">
        <f>N13+N10+N12</f>
        <v/>
      </c>
      <c r="O14" s="14">
        <f>O13+O10+O12</f>
        <v/>
      </c>
    </row>
    <row r="15">
      <c r="A15" s="2" t="inlineStr">
        <is>
          <t>Cumulative burn before funding</t>
        </is>
      </c>
      <c r="B15" s="5" t="inlineStr">
        <is>
          <t>ZAR'000</t>
        </is>
      </c>
      <c r="D15" s="14">
        <f>D10</f>
        <v/>
      </c>
      <c r="E15" s="14">
        <f>D15+E10</f>
        <v/>
      </c>
      <c r="F15" s="14">
        <f>E15+F10</f>
        <v/>
      </c>
      <c r="G15" s="14">
        <f>F15+G10</f>
        <v/>
      </c>
      <c r="H15" s="14">
        <f>G15+H10</f>
        <v/>
      </c>
      <c r="I15" s="14">
        <f>H15+I10</f>
        <v/>
      </c>
      <c r="J15" s="14">
        <f>I15+J10</f>
        <v/>
      </c>
      <c r="K15" s="14">
        <f>J15+K10</f>
        <v/>
      </c>
      <c r="L15" s="14">
        <f>K15+L10</f>
        <v/>
      </c>
      <c r="M15" s="14">
        <f>L15+M10</f>
        <v/>
      </c>
      <c r="N15" s="14">
        <f>M15+N10</f>
        <v/>
      </c>
      <c r="O15" s="14">
        <f>N15+O10</f>
        <v/>
      </c>
    </row>
    <row r="16">
      <c r="A16" s="19" t="inlineStr">
        <is>
          <t>Peak funding required</t>
        </is>
      </c>
      <c r="B16" s="20" t="inlineStr">
        <is>
          <t>ZAR'000</t>
        </is>
      </c>
      <c r="C16" s="21" t="n"/>
      <c r="D16" s="22">
        <f>MAX(0,-D15)</f>
        <v/>
      </c>
      <c r="E16" s="22">
        <f>MAX(D16,MAX(0,-E15))</f>
        <v/>
      </c>
      <c r="F16" s="22">
        <f>MAX(E16,MAX(0,-F15))</f>
        <v/>
      </c>
      <c r="G16" s="22">
        <f>MAX(F16,MAX(0,-G15))</f>
        <v/>
      </c>
      <c r="H16" s="22">
        <f>MAX(G16,MAX(0,-H15))</f>
        <v/>
      </c>
      <c r="I16" s="22">
        <f>MAX(H16,MAX(0,-I15))</f>
        <v/>
      </c>
      <c r="J16" s="22">
        <f>MAX(I16,MAX(0,-J15))</f>
        <v/>
      </c>
      <c r="K16" s="22">
        <f>MAX(J16,MAX(0,-K15))</f>
        <v/>
      </c>
      <c r="L16" s="22">
        <f>MAX(K16,MAX(0,-L15))</f>
        <v/>
      </c>
      <c r="M16" s="22">
        <f>MAX(L16,MAX(0,-M15))</f>
        <v/>
      </c>
      <c r="N16" s="22">
        <f>MAX(M16,MAX(0,-N15))</f>
        <v/>
      </c>
      <c r="O16" s="22">
        <f>MAX(N16,MAX(0,-O15))</f>
        <v/>
      </c>
    </row>
    <row r="17">
      <c r="A17" t="inlineStr">
        <is>
          <t>Equity draw</t>
        </is>
      </c>
      <c r="B17" t="inlineStr">
        <is>
          <t>ZAR'000</t>
        </is>
      </c>
      <c r="D17">
        <f>'12M_Funding'!D8</f>
        <v/>
      </c>
      <c r="E17">
        <f>'12M_Funding'!E8</f>
        <v/>
      </c>
      <c r="F17">
        <f>'12M_Funding'!F8</f>
        <v/>
      </c>
      <c r="G17">
        <f>'12M_Funding'!G8</f>
        <v/>
      </c>
      <c r="H17">
        <f>'12M_Funding'!H8</f>
        <v/>
      </c>
      <c r="I17">
        <f>'12M_Funding'!I8</f>
        <v/>
      </c>
      <c r="J17">
        <f>'12M_Funding'!J8</f>
        <v/>
      </c>
      <c r="K17">
        <f>'12M_Funding'!K8</f>
        <v/>
      </c>
      <c r="L17">
        <f>'12M_Funding'!L8</f>
        <v/>
      </c>
      <c r="M17">
        <f>'12M_Funding'!M8</f>
        <v/>
      </c>
      <c r="N17">
        <f>'12M_Funding'!N8</f>
        <v/>
      </c>
      <c r="O17">
        <f>'12M_Funding'!O8</f>
        <v/>
      </c>
    </row>
    <row r="18">
      <c r="A18" t="inlineStr">
        <is>
          <t>Senior debt draw</t>
        </is>
      </c>
      <c r="B18" t="inlineStr">
        <is>
          <t>ZAR'000</t>
        </is>
      </c>
      <c r="D18">
        <f>'12M_Funding'!D9</f>
        <v/>
      </c>
      <c r="E18">
        <f>'12M_Funding'!E9</f>
        <v/>
      </c>
      <c r="F18">
        <f>'12M_Funding'!F9</f>
        <v/>
      </c>
      <c r="G18">
        <f>'12M_Funding'!G9</f>
        <v/>
      </c>
      <c r="H18">
        <f>'12M_Funding'!H9</f>
        <v/>
      </c>
      <c r="I18">
        <f>'12M_Funding'!I9</f>
        <v/>
      </c>
      <c r="J18">
        <f>'12M_Funding'!J9</f>
        <v/>
      </c>
      <c r="K18">
        <f>'12M_Funding'!K9</f>
        <v/>
      </c>
      <c r="L18">
        <f>'12M_Funding'!L9</f>
        <v/>
      </c>
      <c r="M18">
        <f>'12M_Funding'!M9</f>
        <v/>
      </c>
      <c r="N18">
        <f>'12M_Funding'!N9</f>
        <v/>
      </c>
      <c r="O18">
        <f>'12M_Funding'!O9</f>
        <v/>
      </c>
    </row>
    <row r="19">
      <c r="A19" s="1" t="inlineStr">
        <is>
          <t>Phase 1 Year-1 Summary</t>
        </is>
      </c>
    </row>
    <row r="20">
      <c r="A20" s="19" t="inlineStr">
        <is>
          <t>Total BTC mined</t>
        </is>
      </c>
      <c r="B20" s="29" t="inlineStr">
        <is>
          <t>BTC</t>
        </is>
      </c>
      <c r="C20" s="22">
        <f>SUM('12M_Revenue'!D12:O12)</f>
        <v/>
      </c>
      <c r="D20" s="21" t="n"/>
      <c r="E20" s="21" t="n"/>
      <c r="F20" s="21" t="n"/>
      <c r="G20" s="21" t="n"/>
      <c r="H20" s="21" t="n"/>
      <c r="I20" s="21" t="n"/>
      <c r="J20" s="21" t="n"/>
      <c r="K20" s="21" t="n"/>
      <c r="L20" s="21" t="n"/>
      <c r="M20" s="21" t="n"/>
      <c r="N20" s="21" t="n"/>
      <c r="O20" s="21" t="n"/>
    </row>
    <row r="21">
      <c r="A21" s="19" t="inlineStr">
        <is>
          <t>Total revenue - base</t>
        </is>
      </c>
      <c r="B21" s="29" t="inlineStr">
        <is>
          <t>ZAR'000</t>
        </is>
      </c>
      <c r="C21" s="22">
        <f>SUM('12M_Cashflow'!D5:O5)</f>
        <v/>
      </c>
      <c r="D21" s="21" t="n"/>
      <c r="E21" s="21" t="n"/>
      <c r="F21" s="21" t="n"/>
      <c r="G21" s="21" t="n"/>
      <c r="H21" s="21" t="n"/>
      <c r="I21" s="21" t="n"/>
      <c r="J21" s="21" t="n"/>
      <c r="K21" s="21" t="n"/>
      <c r="L21" s="21" t="n"/>
      <c r="M21" s="21" t="n"/>
      <c r="N21" s="21" t="n"/>
      <c r="O21" s="21" t="n"/>
    </row>
    <row r="22">
      <c r="A22" s="19" t="inlineStr">
        <is>
          <t>Total cash opex</t>
        </is>
      </c>
      <c r="B22" s="29" t="inlineStr">
        <is>
          <t>ZAR'000</t>
        </is>
      </c>
      <c r="C22" s="22">
        <f>SUM('12M_Cashflow'!D7:O7)</f>
        <v/>
      </c>
      <c r="D22" s="21" t="n"/>
      <c r="E22" s="21" t="n"/>
      <c r="F22" s="21" t="n"/>
      <c r="G22" s="21" t="n"/>
      <c r="H22" s="21" t="n"/>
      <c r="I22" s="21" t="n"/>
      <c r="J22" s="21" t="n"/>
      <c r="K22" s="21" t="n"/>
      <c r="L22" s="21" t="n"/>
      <c r="M22" s="21" t="n"/>
      <c r="N22" s="21" t="n"/>
      <c r="O22" s="21" t="n"/>
    </row>
    <row r="23">
      <c r="A23" s="19" t="inlineStr">
        <is>
          <t>Total capex cash spend</t>
        </is>
      </c>
      <c r="B23" s="29" t="inlineStr">
        <is>
          <t>ZAR'000</t>
        </is>
      </c>
      <c r="C23" s="22">
        <f>SUM('12M_Cashflow'!D9:O9)</f>
        <v/>
      </c>
      <c r="D23" s="21" t="n"/>
      <c r="E23" s="21" t="n"/>
      <c r="F23" s="21" t="n"/>
      <c r="G23" s="21" t="n"/>
      <c r="H23" s="21" t="n"/>
      <c r="I23" s="21" t="n"/>
      <c r="J23" s="21" t="n"/>
      <c r="K23" s="21" t="n"/>
      <c r="L23" s="21" t="n"/>
      <c r="M23" s="21" t="n"/>
      <c r="N23" s="21" t="n"/>
      <c r="O23" s="21" t="n"/>
    </row>
    <row r="24">
      <c r="A24" s="19" t="inlineStr">
        <is>
          <t>Year-1 unlevered cash burn</t>
        </is>
      </c>
      <c r="B24" s="29" t="inlineStr">
        <is>
          <t>ZAR'000</t>
        </is>
      </c>
      <c r="C24" s="22">
        <f>SUM('12M_Cashflow'!D10:O10)</f>
        <v/>
      </c>
      <c r="D24" s="21" t="n"/>
      <c r="E24" s="21" t="n"/>
      <c r="F24" s="21" t="n"/>
      <c r="G24" s="21" t="n"/>
      <c r="H24" s="21" t="n"/>
      <c r="I24" s="21" t="n"/>
      <c r="J24" s="21" t="n"/>
      <c r="K24" s="21" t="n"/>
      <c r="L24" s="21" t="n"/>
      <c r="M24" s="21" t="n"/>
      <c r="N24" s="21" t="n"/>
      <c r="O24" s="21" t="n"/>
    </row>
    <row r="25">
      <c r="A25" s="19" t="inlineStr">
        <is>
          <t>Peak funding required</t>
        </is>
      </c>
      <c r="B25" s="29" t="inlineStr">
        <is>
          <t>ZAR'000</t>
        </is>
      </c>
      <c r="C25" s="22">
        <f>MAX('12M_Cashflow'!D16:O16)</f>
        <v/>
      </c>
      <c r="D25" s="21" t="n"/>
      <c r="E25" s="21" t="n"/>
      <c r="F25" s="21" t="n"/>
      <c r="G25" s="21" t="n"/>
      <c r="H25" s="21" t="n"/>
      <c r="I25" s="21" t="n"/>
      <c r="J25" s="21" t="n"/>
      <c r="K25" s="21" t="n"/>
      <c r="L25" s="21" t="n"/>
      <c r="M25" s="21" t="n"/>
      <c r="N25" s="21" t="n"/>
      <c r="O25" s="21" t="n"/>
    </row>
    <row r="26">
      <c r="A26" t="inlineStr">
        <is>
          <t>Total external funding</t>
        </is>
      </c>
      <c r="B26" t="inlineStr">
        <is>
          <t>ZAR'000</t>
        </is>
      </c>
      <c r="C26">
        <f>SUM('12M_Cashflow'!D12:O12)</f>
        <v/>
      </c>
    </row>
    <row r="27">
      <c r="A27" t="inlineStr">
        <is>
          <t>Total equity drawn</t>
        </is>
      </c>
      <c r="B27" t="inlineStr">
        <is>
          <t>ZAR'000</t>
        </is>
      </c>
      <c r="C27">
        <f>SUM('12M_Cashflow'!D17:O17)</f>
        <v/>
      </c>
    </row>
    <row r="28">
      <c r="A28" t="inlineStr">
        <is>
          <t>Total senior debt drawn</t>
        </is>
      </c>
      <c r="B28" t="inlineStr">
        <is>
          <t>ZAR'000</t>
        </is>
      </c>
      <c r="C28">
        <f>SUM('12M_Cashflow'!D18:O18)</f>
        <v/>
      </c>
    </row>
    <row r="29">
      <c r="A29" t="inlineStr">
        <is>
          <t>Ending cash in month 12</t>
        </is>
      </c>
      <c r="B29" t="inlineStr">
        <is>
          <t>ZAR'000</t>
        </is>
      </c>
      <c r="C29">
        <f>'12M_Cashflow'!O14</f>
        <v/>
      </c>
    </row>
  </sheetData>
  <mergeCells count="2">
    <mergeCell ref="A1:O1"/>
    <mergeCell ref="A19:C19"/>
  </mergeCell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32" customWidth="1" min="1" max="1"/>
    <col width="18" customWidth="1" min="2" max="2"/>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34" t="inlineStr">
        <is>
          <t>12-Month External Funding Schedule</t>
        </is>
      </c>
    </row>
    <row r="2">
      <c r="A2" s="48" t="inlineStr">
        <is>
          <t>This sheet sizes external equity and senior debt draws to the monthly funding need after vendor-style miner and EPC payment structures.</t>
        </is>
      </c>
    </row>
    <row r="3">
      <c r="D3" s="47" t="n">
        <v>1</v>
      </c>
      <c r="E3" s="47" t="n">
        <v>2</v>
      </c>
      <c r="F3" s="47" t="n">
        <v>3</v>
      </c>
      <c r="G3" s="47" t="n">
        <v>4</v>
      </c>
      <c r="H3" s="47" t="n">
        <v>5</v>
      </c>
      <c r="I3" s="47" t="n">
        <v>6</v>
      </c>
      <c r="J3" s="47" t="n">
        <v>7</v>
      </c>
      <c r="K3" s="47" t="n">
        <v>8</v>
      </c>
      <c r="L3" s="47" t="n">
        <v>9</v>
      </c>
      <c r="M3" s="47" t="n">
        <v>10</v>
      </c>
      <c r="N3" s="47" t="n">
        <v>11</v>
      </c>
      <c r="O3" s="47" t="n">
        <v>12</v>
      </c>
    </row>
    <row r="4">
      <c r="A4" s="40" t="n"/>
      <c r="B4" s="40" t="n"/>
      <c r="C4" s="40" t="n"/>
      <c r="D4" s="37">
        <f>'12M_Deployment'!D4</f>
        <v/>
      </c>
      <c r="E4" s="37">
        <f>'12M_Deployment'!E4</f>
        <v/>
      </c>
      <c r="F4" s="37">
        <f>'12M_Deployment'!F4</f>
        <v/>
      </c>
      <c r="G4" s="37">
        <f>'12M_Deployment'!G4</f>
        <v/>
      </c>
      <c r="H4" s="37">
        <f>'12M_Deployment'!H4</f>
        <v/>
      </c>
      <c r="I4" s="37">
        <f>'12M_Deployment'!I4</f>
        <v/>
      </c>
      <c r="J4" s="37">
        <f>'12M_Deployment'!J4</f>
        <v/>
      </c>
      <c r="K4" s="37">
        <f>'12M_Deployment'!K4</f>
        <v/>
      </c>
      <c r="L4" s="37">
        <f>'12M_Deployment'!L4</f>
        <v/>
      </c>
      <c r="M4" s="37">
        <f>'12M_Deployment'!M4</f>
        <v/>
      </c>
      <c r="N4" s="37">
        <f>'12M_Deployment'!N4</f>
        <v/>
      </c>
      <c r="O4" s="37">
        <f>'12M_Deployment'!O4</f>
        <v/>
      </c>
    </row>
    <row r="5">
      <c r="A5" s="37" t="inlineStr">
        <is>
          <t>Opening cash before external funding</t>
        </is>
      </c>
      <c r="B5" s="37" t="inlineStr">
        <is>
          <t>ZAR'000</t>
        </is>
      </c>
      <c r="C5" s="40" t="n"/>
      <c r="D5" s="37">
        <f>'12M_Cashflow'!D13</f>
        <v/>
      </c>
      <c r="E5" s="37">
        <f>'12M_Cashflow'!E13</f>
        <v/>
      </c>
      <c r="F5" s="37">
        <f>'12M_Cashflow'!F13</f>
        <v/>
      </c>
      <c r="G5" s="37">
        <f>'12M_Cashflow'!G13</f>
        <v/>
      </c>
      <c r="H5" s="37">
        <f>'12M_Cashflow'!H13</f>
        <v/>
      </c>
      <c r="I5" s="37">
        <f>'12M_Cashflow'!I13</f>
        <v/>
      </c>
      <c r="J5" s="37">
        <f>'12M_Cashflow'!J13</f>
        <v/>
      </c>
      <c r="K5" s="37">
        <f>'12M_Cashflow'!K13</f>
        <v/>
      </c>
      <c r="L5" s="37">
        <f>'12M_Cashflow'!L13</f>
        <v/>
      </c>
      <c r="M5" s="37">
        <f>'12M_Cashflow'!M13</f>
        <v/>
      </c>
      <c r="N5" s="37">
        <f>'12M_Cashflow'!N13</f>
        <v/>
      </c>
      <c r="O5" s="37">
        <f>'12M_Cashflow'!O13</f>
        <v/>
      </c>
    </row>
    <row r="6">
      <c r="A6" s="37" t="inlineStr">
        <is>
          <t>Unlevered cash flow before external funding</t>
        </is>
      </c>
      <c r="B6" s="37" t="inlineStr">
        <is>
          <t>ZAR'000</t>
        </is>
      </c>
      <c r="C6" s="40" t="n"/>
      <c r="D6" s="37">
        <f>'12M_Cashflow'!D10</f>
        <v/>
      </c>
      <c r="E6" s="37">
        <f>'12M_Cashflow'!E10</f>
        <v/>
      </c>
      <c r="F6" s="37">
        <f>'12M_Cashflow'!F10</f>
        <v/>
      </c>
      <c r="G6" s="37">
        <f>'12M_Cashflow'!G10</f>
        <v/>
      </c>
      <c r="H6" s="37">
        <f>'12M_Cashflow'!H10</f>
        <v/>
      </c>
      <c r="I6" s="37">
        <f>'12M_Cashflow'!I10</f>
        <v/>
      </c>
      <c r="J6" s="37">
        <f>'12M_Cashflow'!J10</f>
        <v/>
      </c>
      <c r="K6" s="37">
        <f>'12M_Cashflow'!K10</f>
        <v/>
      </c>
      <c r="L6" s="37">
        <f>'12M_Cashflow'!L10</f>
        <v/>
      </c>
      <c r="M6" s="37">
        <f>'12M_Cashflow'!M10</f>
        <v/>
      </c>
      <c r="N6" s="37">
        <f>'12M_Cashflow'!N10</f>
        <v/>
      </c>
      <c r="O6" s="37">
        <f>'12M_Cashflow'!O10</f>
        <v/>
      </c>
    </row>
    <row r="7">
      <c r="A7" s="37" t="inlineStr">
        <is>
          <t>Required net external funding</t>
        </is>
      </c>
      <c r="B7" s="37" t="inlineStr">
        <is>
          <t>ZAR'000</t>
        </is>
      </c>
      <c r="C7" s="40" t="n"/>
      <c r="D7" s="37">
        <f>MAX(Control!$C$116-(D5+D6),0)</f>
        <v/>
      </c>
      <c r="E7" s="37">
        <f>MAX(Control!$C$116-(E5+E6),0)</f>
        <v/>
      </c>
      <c r="F7" s="37">
        <f>MAX(Control!$C$116-(F5+F6),0)</f>
        <v/>
      </c>
      <c r="G7" s="37">
        <f>MAX(Control!$C$116-(G5+G6),0)</f>
        <v/>
      </c>
      <c r="H7" s="37">
        <f>MAX(Control!$C$116-(H5+H6),0)</f>
        <v/>
      </c>
      <c r="I7" s="37">
        <f>MAX(Control!$C$116-(I5+I6),0)</f>
        <v/>
      </c>
      <c r="J7" s="37">
        <f>MAX(Control!$C$116-(J5+J6),0)</f>
        <v/>
      </c>
      <c r="K7" s="37">
        <f>MAX(Control!$C$116-(K5+K6),0)</f>
        <v/>
      </c>
      <c r="L7" s="37">
        <f>MAX(Control!$C$116-(L5+L6),0)</f>
        <v/>
      </c>
      <c r="M7" s="37">
        <f>MAX(Control!$C$116-(M5+M6),0)</f>
        <v/>
      </c>
      <c r="N7" s="37">
        <f>MAX(Control!$C$116-(N5+N6),0)</f>
        <v/>
      </c>
      <c r="O7" s="37">
        <f>MAX(Control!$C$116-(O5+O6),0)</f>
        <v/>
      </c>
    </row>
    <row r="8">
      <c r="A8" s="37" t="inlineStr">
        <is>
          <t>Equity draw</t>
        </is>
      </c>
      <c r="B8" s="37" t="inlineStr">
        <is>
          <t>ZAR'000</t>
        </is>
      </c>
      <c r="C8" s="40" t="n"/>
      <c r="D8" s="37">
        <f>IF((Control!$C$110+Control!$C$111)=0,0,D7*Control!$C$110/(Control!$C$110+Control!$C$111))</f>
        <v/>
      </c>
      <c r="E8" s="37">
        <f>IF((Control!$C$110+Control!$C$111)=0,0,E7*Control!$C$110/(Control!$C$110+Control!$C$111))</f>
        <v/>
      </c>
      <c r="F8" s="37">
        <f>IF((Control!$C$110+Control!$C$111)=0,0,F7*Control!$C$110/(Control!$C$110+Control!$C$111))</f>
        <v/>
      </c>
      <c r="G8" s="37">
        <f>IF((Control!$C$110+Control!$C$111)=0,0,G7*Control!$C$110/(Control!$C$110+Control!$C$111))</f>
        <v/>
      </c>
      <c r="H8" s="37">
        <f>IF((Control!$C$110+Control!$C$111)=0,0,H7*Control!$C$110/(Control!$C$110+Control!$C$111))</f>
        <v/>
      </c>
      <c r="I8" s="37">
        <f>IF((Control!$C$110+Control!$C$111)=0,0,I7*Control!$C$110/(Control!$C$110+Control!$C$111))</f>
        <v/>
      </c>
      <c r="J8" s="37">
        <f>IF((Control!$C$110+Control!$C$111)=0,0,J7*Control!$C$110/(Control!$C$110+Control!$C$111))</f>
        <v/>
      </c>
      <c r="K8" s="37">
        <f>IF((Control!$C$110+Control!$C$111)=0,0,K7*Control!$C$110/(Control!$C$110+Control!$C$111))</f>
        <v/>
      </c>
      <c r="L8" s="37">
        <f>IF((Control!$C$110+Control!$C$111)=0,0,L7*Control!$C$110/(Control!$C$110+Control!$C$111))</f>
        <v/>
      </c>
      <c r="M8" s="37">
        <f>IF((Control!$C$110+Control!$C$111)=0,0,M7*Control!$C$110/(Control!$C$110+Control!$C$111))</f>
        <v/>
      </c>
      <c r="N8" s="37">
        <f>IF((Control!$C$110+Control!$C$111)=0,0,N7*Control!$C$110/(Control!$C$110+Control!$C$111))</f>
        <v/>
      </c>
      <c r="O8" s="37">
        <f>IF((Control!$C$110+Control!$C$111)=0,0,O7*Control!$C$110/(Control!$C$110+Control!$C$111))</f>
        <v/>
      </c>
    </row>
    <row r="9">
      <c r="A9" s="37" t="inlineStr">
        <is>
          <t>Senior debt gross draw</t>
        </is>
      </c>
      <c r="B9" s="37" t="inlineStr">
        <is>
          <t>ZAR'000</t>
        </is>
      </c>
      <c r="C9" s="40" t="n"/>
      <c r="D9" s="37">
        <f>IF(Control!$C$111&gt;0,(D7-D8)/(1-Control!$C$115),0)</f>
        <v/>
      </c>
      <c r="E9" s="37">
        <f>IF(Control!$C$111&gt;0,(E7-E8)/(1-Control!$C$115),0)</f>
        <v/>
      </c>
      <c r="F9" s="37">
        <f>IF(Control!$C$111&gt;0,(F7-F8)/(1-Control!$C$115),0)</f>
        <v/>
      </c>
      <c r="G9" s="37">
        <f>IF(Control!$C$111&gt;0,(G7-G8)/(1-Control!$C$115),0)</f>
        <v/>
      </c>
      <c r="H9" s="37">
        <f>IF(Control!$C$111&gt;0,(H7-H8)/(1-Control!$C$115),0)</f>
        <v/>
      </c>
      <c r="I9" s="37">
        <f>IF(Control!$C$111&gt;0,(I7-I8)/(1-Control!$C$115),0)</f>
        <v/>
      </c>
      <c r="J9" s="37">
        <f>IF(Control!$C$111&gt;0,(J7-J8)/(1-Control!$C$115),0)</f>
        <v/>
      </c>
      <c r="K9" s="37">
        <f>IF(Control!$C$111&gt;0,(K7-K8)/(1-Control!$C$115),0)</f>
        <v/>
      </c>
      <c r="L9" s="37">
        <f>IF(Control!$C$111&gt;0,(L7-L8)/(1-Control!$C$115),0)</f>
        <v/>
      </c>
      <c r="M9" s="37">
        <f>IF(Control!$C$111&gt;0,(M7-M8)/(1-Control!$C$115),0)</f>
        <v/>
      </c>
      <c r="N9" s="37">
        <f>IF(Control!$C$111&gt;0,(N7-N8)/(1-Control!$C$115),0)</f>
        <v/>
      </c>
      <c r="O9" s="37">
        <f>IF(Control!$C$111&gt;0,(O7-O8)/(1-Control!$C$115),0)</f>
        <v/>
      </c>
    </row>
    <row r="10">
      <c r="A10" s="37" t="inlineStr">
        <is>
          <t>Debt arrangement fee</t>
        </is>
      </c>
      <c r="B10" s="37" t="inlineStr">
        <is>
          <t>ZAR'000</t>
        </is>
      </c>
      <c r="C10" s="40" t="n"/>
      <c r="D10" s="37">
        <f>D9*Control!$C$115</f>
        <v/>
      </c>
      <c r="E10" s="37">
        <f>E9*Control!$C$115</f>
        <v/>
      </c>
      <c r="F10" s="37">
        <f>F9*Control!$C$115</f>
        <v/>
      </c>
      <c r="G10" s="37">
        <f>G9*Control!$C$115</f>
        <v/>
      </c>
      <c r="H10" s="37">
        <f>H9*Control!$C$115</f>
        <v/>
      </c>
      <c r="I10" s="37">
        <f>I9*Control!$C$115</f>
        <v/>
      </c>
      <c r="J10" s="37">
        <f>J9*Control!$C$115</f>
        <v/>
      </c>
      <c r="K10" s="37">
        <f>K9*Control!$C$115</f>
        <v/>
      </c>
      <c r="L10" s="37">
        <f>L9*Control!$C$115</f>
        <v/>
      </c>
      <c r="M10" s="37">
        <f>M9*Control!$C$115</f>
        <v/>
      </c>
      <c r="N10" s="37">
        <f>N9*Control!$C$115</f>
        <v/>
      </c>
      <c r="O10" s="37">
        <f>O9*Control!$C$115</f>
        <v/>
      </c>
    </row>
    <row r="11">
      <c r="A11" s="37" t="inlineStr">
        <is>
          <t>Net external funding input</t>
        </is>
      </c>
      <c r="B11" s="37" t="inlineStr">
        <is>
          <t>ZAR'000</t>
        </is>
      </c>
      <c r="C11" s="40" t="n"/>
      <c r="D11" s="37">
        <f>D8+D9-D10</f>
        <v/>
      </c>
      <c r="E11" s="37">
        <f>E8+E9-E10</f>
        <v/>
      </c>
      <c r="F11" s="37">
        <f>F8+F9-F10</f>
        <v/>
      </c>
      <c r="G11" s="37">
        <f>G8+G9-G10</f>
        <v/>
      </c>
      <c r="H11" s="37">
        <f>H8+H9-H10</f>
        <v/>
      </c>
      <c r="I11" s="37">
        <f>I8+I9-I10</f>
        <v/>
      </c>
      <c r="J11" s="37">
        <f>J8+J9-J10</f>
        <v/>
      </c>
      <c r="K11" s="37">
        <f>K8+K9-K10</f>
        <v/>
      </c>
      <c r="L11" s="37">
        <f>L8+L9-L10</f>
        <v/>
      </c>
      <c r="M11" s="37">
        <f>M8+M9-M10</f>
        <v/>
      </c>
      <c r="N11" s="37">
        <f>N8+N9-N10</f>
        <v/>
      </c>
      <c r="O11" s="37">
        <f>O8+O9-O10</f>
        <v/>
      </c>
    </row>
    <row r="12">
      <c r="A12" s="37" t="inlineStr">
        <is>
          <t>Closing cash after external funding</t>
        </is>
      </c>
      <c r="B12" s="37" t="inlineStr">
        <is>
          <t>ZAR'000</t>
        </is>
      </c>
      <c r="C12" s="40" t="n"/>
      <c r="D12" s="37">
        <f>D5+D6+D11</f>
        <v/>
      </c>
      <c r="E12" s="37">
        <f>E5+E6+E11</f>
        <v/>
      </c>
      <c r="F12" s="37">
        <f>F5+F6+F11</f>
        <v/>
      </c>
      <c r="G12" s="37">
        <f>G5+G6+G11</f>
        <v/>
      </c>
      <c r="H12" s="37">
        <f>H5+H6+H11</f>
        <v/>
      </c>
      <c r="I12" s="37">
        <f>I5+I6+I11</f>
        <v/>
      </c>
      <c r="J12" s="37">
        <f>J5+J6+J11</f>
        <v/>
      </c>
      <c r="K12" s="37">
        <f>K5+K6+K11</f>
        <v/>
      </c>
      <c r="L12" s="37">
        <f>L5+L6+L11</f>
        <v/>
      </c>
      <c r="M12" s="37">
        <f>M5+M6+M11</f>
        <v/>
      </c>
      <c r="N12" s="37">
        <f>N5+N6+N11</f>
        <v/>
      </c>
      <c r="O12" s="37">
        <f>O5+O6+O11</f>
        <v/>
      </c>
    </row>
    <row r="13">
      <c r="A13" s="37" t="inlineStr">
        <is>
          <t>Cumulative equity drawn</t>
        </is>
      </c>
      <c r="B13" s="37" t="inlineStr">
        <is>
          <t>ZAR'000</t>
        </is>
      </c>
      <c r="C13" s="40" t="n"/>
      <c r="D13" s="37">
        <f>D8</f>
        <v/>
      </c>
      <c r="E13" s="37">
        <f>D13+E8</f>
        <v/>
      </c>
      <c r="F13" s="37">
        <f>E13+F8</f>
        <v/>
      </c>
      <c r="G13" s="37">
        <f>F13+G8</f>
        <v/>
      </c>
      <c r="H13" s="37">
        <f>G13+H8</f>
        <v/>
      </c>
      <c r="I13" s="37">
        <f>H13+I8</f>
        <v/>
      </c>
      <c r="J13" s="37">
        <f>I13+J8</f>
        <v/>
      </c>
      <c r="K13" s="37">
        <f>J13+K8</f>
        <v/>
      </c>
      <c r="L13" s="37">
        <f>K13+L8</f>
        <v/>
      </c>
      <c r="M13" s="37">
        <f>L13+M8</f>
        <v/>
      </c>
      <c r="N13" s="37">
        <f>M13+N8</f>
        <v/>
      </c>
      <c r="O13" s="37">
        <f>N13+O8</f>
        <v/>
      </c>
    </row>
    <row r="14">
      <c r="A14" s="37" t="inlineStr">
        <is>
          <t>Cumulative senior debt drawn</t>
        </is>
      </c>
      <c r="B14" s="37" t="inlineStr">
        <is>
          <t>ZAR'000</t>
        </is>
      </c>
      <c r="C14" s="40" t="n"/>
      <c r="D14" s="37">
        <f>D9</f>
        <v/>
      </c>
      <c r="E14" s="37">
        <f>D14+E9</f>
        <v/>
      </c>
      <c r="F14" s="37">
        <f>E14+F9</f>
        <v/>
      </c>
      <c r="G14" s="37">
        <f>F14+G9</f>
        <v/>
      </c>
      <c r="H14" s="37">
        <f>G14+H9</f>
        <v/>
      </c>
      <c r="I14" s="37">
        <f>H14+I9</f>
        <v/>
      </c>
      <c r="J14" s="37">
        <f>I14+J9</f>
        <v/>
      </c>
      <c r="K14" s="37">
        <f>J14+K9</f>
        <v/>
      </c>
      <c r="L14" s="37">
        <f>K14+L9</f>
        <v/>
      </c>
      <c r="M14" s="37">
        <f>L14+M9</f>
        <v/>
      </c>
      <c r="N14" s="37">
        <f>M14+N9</f>
        <v/>
      </c>
      <c r="O14" s="37">
        <f>N14+O9</f>
        <v/>
      </c>
    </row>
  </sheetData>
  <mergeCells count="2">
    <mergeCell ref="A1:O1"/>
    <mergeCell ref="A2:O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M12"/>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s>
  <sheetData>
    <row r="1">
      <c r="A1" s="34" t="inlineStr">
        <is>
          <t>Senior Debt Amortization Schedule</t>
        </is>
      </c>
    </row>
    <row r="2">
      <c r="A2" s="48" t="inlineStr">
        <is>
          <t>By default, interest capitalizes during the grace period and is paid in cash only once amortization starts. Adjust tenor, grace and rate in Control.</t>
        </is>
      </c>
    </row>
    <row r="3">
      <c r="D3" s="49" t="n">
        <v>1</v>
      </c>
      <c r="E3" s="49" t="n">
        <v>2</v>
      </c>
      <c r="F3" s="49" t="n">
        <v>3</v>
      </c>
      <c r="G3" s="49" t="n">
        <v>4</v>
      </c>
      <c r="H3" s="49" t="n">
        <v>5</v>
      </c>
      <c r="I3" s="49" t="n">
        <v>6</v>
      </c>
      <c r="J3" s="49" t="n">
        <v>7</v>
      </c>
      <c r="K3" s="49" t="n">
        <v>8</v>
      </c>
      <c r="L3" s="49" t="n">
        <v>9</v>
      </c>
      <c r="M3" s="49" t="n">
        <v>10</v>
      </c>
      <c r="N3" s="49" t="n">
        <v>11</v>
      </c>
      <c r="O3" s="49" t="n">
        <v>12</v>
      </c>
      <c r="P3" s="49" t="n">
        <v>13</v>
      </c>
      <c r="Q3" s="49" t="n">
        <v>14</v>
      </c>
      <c r="R3" s="49" t="n">
        <v>15</v>
      </c>
      <c r="S3" s="49" t="n">
        <v>16</v>
      </c>
      <c r="T3" s="49" t="n">
        <v>17</v>
      </c>
      <c r="U3" s="49" t="n">
        <v>18</v>
      </c>
      <c r="V3" s="49" t="n">
        <v>19</v>
      </c>
      <c r="W3" s="49" t="n">
        <v>20</v>
      </c>
      <c r="X3" s="49" t="n">
        <v>21</v>
      </c>
      <c r="Y3" s="49" t="n">
        <v>22</v>
      </c>
      <c r="Z3" s="49" t="n">
        <v>23</v>
      </c>
      <c r="AA3" s="49" t="n">
        <v>24</v>
      </c>
      <c r="AB3" s="49" t="n">
        <v>25</v>
      </c>
      <c r="AC3" s="49" t="n">
        <v>26</v>
      </c>
      <c r="AD3" s="49" t="n">
        <v>27</v>
      </c>
      <c r="AE3" s="49" t="n">
        <v>28</v>
      </c>
      <c r="AF3" s="49" t="n">
        <v>29</v>
      </c>
      <c r="AG3" s="49" t="n">
        <v>30</v>
      </c>
      <c r="AH3" s="49" t="n">
        <v>31</v>
      </c>
      <c r="AI3" s="49" t="n">
        <v>32</v>
      </c>
      <c r="AJ3" s="49" t="n">
        <v>33</v>
      </c>
      <c r="AK3" s="49" t="n">
        <v>34</v>
      </c>
      <c r="AL3" s="49" t="n">
        <v>35</v>
      </c>
      <c r="AM3" s="49" t="n">
        <v>36</v>
      </c>
      <c r="AN3" s="49" t="n">
        <v>37</v>
      </c>
      <c r="AO3" s="49" t="n">
        <v>38</v>
      </c>
      <c r="AP3" s="49" t="n">
        <v>39</v>
      </c>
      <c r="AQ3" s="49" t="n">
        <v>40</v>
      </c>
      <c r="AR3" s="49" t="n">
        <v>41</v>
      </c>
      <c r="AS3" s="49" t="n">
        <v>42</v>
      </c>
      <c r="AT3" s="49" t="n">
        <v>43</v>
      </c>
      <c r="AU3" s="49" t="n">
        <v>44</v>
      </c>
      <c r="AV3" s="49" t="n">
        <v>45</v>
      </c>
      <c r="AW3" s="49" t="n">
        <v>46</v>
      </c>
      <c r="AX3" s="49" t="n">
        <v>47</v>
      </c>
      <c r="AY3" s="49" t="n">
        <v>48</v>
      </c>
      <c r="AZ3" s="49" t="n">
        <v>49</v>
      </c>
      <c r="BA3" s="49" t="n">
        <v>50</v>
      </c>
      <c r="BB3" s="49" t="n">
        <v>51</v>
      </c>
      <c r="BC3" s="49" t="n">
        <v>52</v>
      </c>
      <c r="BD3" s="49" t="n">
        <v>53</v>
      </c>
      <c r="BE3" s="49" t="n">
        <v>54</v>
      </c>
      <c r="BF3" s="49" t="n">
        <v>55</v>
      </c>
      <c r="BG3" s="49" t="n">
        <v>56</v>
      </c>
      <c r="BH3" s="49" t="n">
        <v>57</v>
      </c>
      <c r="BI3" s="49" t="n">
        <v>58</v>
      </c>
      <c r="BJ3" s="49" t="n">
        <v>59</v>
      </c>
      <c r="BK3" s="49" t="n">
        <v>60</v>
      </c>
    </row>
    <row r="4">
      <c r="A4" s="40" t="n"/>
      <c r="B4" s="40" t="n"/>
      <c r="C4" s="40" t="n"/>
      <c r="D4" s="50" t="inlineStr">
        <is>
          <t>Jan-26</t>
        </is>
      </c>
      <c r="E4" s="50" t="inlineStr">
        <is>
          <t>Feb-26</t>
        </is>
      </c>
      <c r="F4" s="50" t="inlineStr">
        <is>
          <t>Mar-26</t>
        </is>
      </c>
      <c r="G4" s="50" t="inlineStr">
        <is>
          <t>Apr-26</t>
        </is>
      </c>
      <c r="H4" s="50" t="inlineStr">
        <is>
          <t>May-26</t>
        </is>
      </c>
      <c r="I4" s="50" t="inlineStr">
        <is>
          <t>Jun-26</t>
        </is>
      </c>
      <c r="J4" s="50" t="inlineStr">
        <is>
          <t>Jul-26</t>
        </is>
      </c>
      <c r="K4" s="50" t="inlineStr">
        <is>
          <t>Aug-26</t>
        </is>
      </c>
      <c r="L4" s="50" t="inlineStr">
        <is>
          <t>Sep-26</t>
        </is>
      </c>
      <c r="M4" s="50" t="inlineStr">
        <is>
          <t>Oct-26</t>
        </is>
      </c>
      <c r="N4" s="50" t="inlineStr">
        <is>
          <t>Nov-26</t>
        </is>
      </c>
      <c r="O4" s="50" t="inlineStr">
        <is>
          <t>Dec-26</t>
        </is>
      </c>
      <c r="P4" s="50" t="inlineStr">
        <is>
          <t>Jan-27</t>
        </is>
      </c>
      <c r="Q4" s="50" t="inlineStr">
        <is>
          <t>Feb-27</t>
        </is>
      </c>
      <c r="R4" s="50" t="inlineStr">
        <is>
          <t>Mar-27</t>
        </is>
      </c>
      <c r="S4" s="50" t="inlineStr">
        <is>
          <t>Apr-27</t>
        </is>
      </c>
      <c r="T4" s="50" t="inlineStr">
        <is>
          <t>May-27</t>
        </is>
      </c>
      <c r="U4" s="50" t="inlineStr">
        <is>
          <t>Jun-27</t>
        </is>
      </c>
      <c r="V4" s="50" t="inlineStr">
        <is>
          <t>Jul-27</t>
        </is>
      </c>
      <c r="W4" s="50" t="inlineStr">
        <is>
          <t>Aug-27</t>
        </is>
      </c>
      <c r="X4" s="50" t="inlineStr">
        <is>
          <t>Sep-27</t>
        </is>
      </c>
      <c r="Y4" s="50" t="inlineStr">
        <is>
          <t>Oct-27</t>
        </is>
      </c>
      <c r="Z4" s="50" t="inlineStr">
        <is>
          <t>Nov-27</t>
        </is>
      </c>
      <c r="AA4" s="50" t="inlineStr">
        <is>
          <t>Dec-27</t>
        </is>
      </c>
      <c r="AB4" s="50" t="inlineStr">
        <is>
          <t>Jan-28</t>
        </is>
      </c>
      <c r="AC4" s="50" t="inlineStr">
        <is>
          <t>Feb-28</t>
        </is>
      </c>
      <c r="AD4" s="50" t="inlineStr">
        <is>
          <t>Mar-28</t>
        </is>
      </c>
      <c r="AE4" s="50" t="inlineStr">
        <is>
          <t>Apr-28</t>
        </is>
      </c>
      <c r="AF4" s="50" t="inlineStr">
        <is>
          <t>May-28</t>
        </is>
      </c>
      <c r="AG4" s="50" t="inlineStr">
        <is>
          <t>Jun-28</t>
        </is>
      </c>
      <c r="AH4" s="50" t="inlineStr">
        <is>
          <t>Jul-28</t>
        </is>
      </c>
      <c r="AI4" s="50" t="inlineStr">
        <is>
          <t>Aug-28</t>
        </is>
      </c>
      <c r="AJ4" s="50" t="inlineStr">
        <is>
          <t>Sep-28</t>
        </is>
      </c>
      <c r="AK4" s="50" t="inlineStr">
        <is>
          <t>Oct-28</t>
        </is>
      </c>
      <c r="AL4" s="50" t="inlineStr">
        <is>
          <t>Nov-28</t>
        </is>
      </c>
      <c r="AM4" s="50" t="inlineStr">
        <is>
          <t>Dec-28</t>
        </is>
      </c>
      <c r="AN4" s="50" t="inlineStr">
        <is>
          <t>Jan-29</t>
        </is>
      </c>
      <c r="AO4" s="50" t="inlineStr">
        <is>
          <t>Feb-29</t>
        </is>
      </c>
      <c r="AP4" s="50" t="inlineStr">
        <is>
          <t>Mar-29</t>
        </is>
      </c>
      <c r="AQ4" s="50" t="inlineStr">
        <is>
          <t>Apr-29</t>
        </is>
      </c>
      <c r="AR4" s="50" t="inlineStr">
        <is>
          <t>May-29</t>
        </is>
      </c>
      <c r="AS4" s="50" t="inlineStr">
        <is>
          <t>Jun-29</t>
        </is>
      </c>
      <c r="AT4" s="50" t="inlineStr">
        <is>
          <t>Jul-29</t>
        </is>
      </c>
      <c r="AU4" s="50" t="inlineStr">
        <is>
          <t>Aug-29</t>
        </is>
      </c>
      <c r="AV4" s="50" t="inlineStr">
        <is>
          <t>Sep-29</t>
        </is>
      </c>
      <c r="AW4" s="50" t="inlineStr">
        <is>
          <t>Oct-29</t>
        </is>
      </c>
      <c r="AX4" s="50" t="inlineStr">
        <is>
          <t>Nov-29</t>
        </is>
      </c>
      <c r="AY4" s="50" t="inlineStr">
        <is>
          <t>Dec-29</t>
        </is>
      </c>
      <c r="AZ4" s="50" t="inlineStr">
        <is>
          <t>Jan-30</t>
        </is>
      </c>
      <c r="BA4" s="50" t="inlineStr">
        <is>
          <t>Feb-30</t>
        </is>
      </c>
      <c r="BB4" s="50" t="inlineStr">
        <is>
          <t>Mar-30</t>
        </is>
      </c>
      <c r="BC4" s="50" t="inlineStr">
        <is>
          <t>Apr-30</t>
        </is>
      </c>
      <c r="BD4" s="50" t="inlineStr">
        <is>
          <t>May-30</t>
        </is>
      </c>
      <c r="BE4" s="50" t="inlineStr">
        <is>
          <t>Jun-30</t>
        </is>
      </c>
      <c r="BF4" s="50" t="inlineStr">
        <is>
          <t>Jul-30</t>
        </is>
      </c>
      <c r="BG4" s="50" t="inlineStr">
        <is>
          <t>Aug-30</t>
        </is>
      </c>
      <c r="BH4" s="50" t="inlineStr">
        <is>
          <t>Sep-30</t>
        </is>
      </c>
      <c r="BI4" s="50" t="inlineStr">
        <is>
          <t>Oct-30</t>
        </is>
      </c>
      <c r="BJ4" s="50" t="inlineStr">
        <is>
          <t>Nov-30</t>
        </is>
      </c>
      <c r="BK4" s="50" t="inlineStr">
        <is>
          <t>Dec-30</t>
        </is>
      </c>
      <c r="BL4" s="40" t="n"/>
      <c r="BM4" s="40" t="n"/>
    </row>
    <row r="5">
      <c r="A5" s="37" t="inlineStr">
        <is>
          <t>Opening debt balance</t>
        </is>
      </c>
      <c r="B5" s="37" t="inlineStr">
        <is>
          <t>ZAR'000</t>
        </is>
      </c>
      <c r="C5" s="40" t="n"/>
      <c r="D5" s="37">
        <f>0</f>
        <v/>
      </c>
      <c r="E5" s="37">
        <f>D10</f>
        <v/>
      </c>
      <c r="F5" s="37">
        <f>E10</f>
        <v/>
      </c>
      <c r="G5" s="37">
        <f>F10</f>
        <v/>
      </c>
      <c r="H5" s="37">
        <f>G10</f>
        <v/>
      </c>
      <c r="I5" s="37">
        <f>H10</f>
        <v/>
      </c>
      <c r="J5" s="37">
        <f>I10</f>
        <v/>
      </c>
      <c r="K5" s="37">
        <f>J10</f>
        <v/>
      </c>
      <c r="L5" s="37">
        <f>K10</f>
        <v/>
      </c>
      <c r="M5" s="37">
        <f>L10</f>
        <v/>
      </c>
      <c r="N5" s="37">
        <f>M10</f>
        <v/>
      </c>
      <c r="O5" s="37">
        <f>N10</f>
        <v/>
      </c>
      <c r="P5" s="37">
        <f>O10</f>
        <v/>
      </c>
      <c r="Q5" s="37">
        <f>P10</f>
        <v/>
      </c>
      <c r="R5" s="37">
        <f>Q10</f>
        <v/>
      </c>
      <c r="S5" s="37">
        <f>R10</f>
        <v/>
      </c>
      <c r="T5" s="37">
        <f>S10</f>
        <v/>
      </c>
      <c r="U5" s="37">
        <f>T10</f>
        <v/>
      </c>
      <c r="V5" s="37">
        <f>U10</f>
        <v/>
      </c>
      <c r="W5" s="37">
        <f>V10</f>
        <v/>
      </c>
      <c r="X5" s="37">
        <f>W10</f>
        <v/>
      </c>
      <c r="Y5" s="37">
        <f>X10</f>
        <v/>
      </c>
      <c r="Z5" s="37">
        <f>Y10</f>
        <v/>
      </c>
      <c r="AA5" s="37">
        <f>Z10</f>
        <v/>
      </c>
      <c r="AB5" s="37">
        <f>AA10</f>
        <v/>
      </c>
      <c r="AC5" s="37">
        <f>AB10</f>
        <v/>
      </c>
      <c r="AD5" s="37">
        <f>AC10</f>
        <v/>
      </c>
      <c r="AE5" s="37">
        <f>AD10</f>
        <v/>
      </c>
      <c r="AF5" s="37">
        <f>AE10</f>
        <v/>
      </c>
      <c r="AG5" s="37">
        <f>AF10</f>
        <v/>
      </c>
      <c r="AH5" s="37">
        <f>AG10</f>
        <v/>
      </c>
      <c r="AI5" s="37">
        <f>AH10</f>
        <v/>
      </c>
      <c r="AJ5" s="37">
        <f>AI10</f>
        <v/>
      </c>
      <c r="AK5" s="37">
        <f>AJ10</f>
        <v/>
      </c>
      <c r="AL5" s="37">
        <f>AK10</f>
        <v/>
      </c>
      <c r="AM5" s="37">
        <f>AL10</f>
        <v/>
      </c>
      <c r="AN5" s="37">
        <f>AM10</f>
        <v/>
      </c>
      <c r="AO5" s="37">
        <f>AN10</f>
        <v/>
      </c>
      <c r="AP5" s="37">
        <f>AO10</f>
        <v/>
      </c>
      <c r="AQ5" s="37">
        <f>AP10</f>
        <v/>
      </c>
      <c r="AR5" s="37">
        <f>AQ10</f>
        <v/>
      </c>
      <c r="AS5" s="37">
        <f>AR10</f>
        <v/>
      </c>
      <c r="AT5" s="37">
        <f>AS10</f>
        <v/>
      </c>
      <c r="AU5" s="37">
        <f>AT10</f>
        <v/>
      </c>
      <c r="AV5" s="37">
        <f>AU10</f>
        <v/>
      </c>
      <c r="AW5" s="37">
        <f>AV10</f>
        <v/>
      </c>
      <c r="AX5" s="37">
        <f>AW10</f>
        <v/>
      </c>
      <c r="AY5" s="37">
        <f>AX10</f>
        <v/>
      </c>
      <c r="AZ5" s="37">
        <f>AY10</f>
        <v/>
      </c>
      <c r="BA5" s="37">
        <f>AZ10</f>
        <v/>
      </c>
      <c r="BB5" s="37">
        <f>BA10</f>
        <v/>
      </c>
      <c r="BC5" s="37">
        <f>BB10</f>
        <v/>
      </c>
      <c r="BD5" s="37">
        <f>BC10</f>
        <v/>
      </c>
      <c r="BE5" s="37">
        <f>BD10</f>
        <v/>
      </c>
      <c r="BF5" s="37">
        <f>BE10</f>
        <v/>
      </c>
      <c r="BG5" s="37">
        <f>BF10</f>
        <v/>
      </c>
      <c r="BH5" s="37">
        <f>BG10</f>
        <v/>
      </c>
      <c r="BI5" s="37">
        <f>BH10</f>
        <v/>
      </c>
      <c r="BJ5" s="37">
        <f>BI10</f>
        <v/>
      </c>
      <c r="BK5" s="37">
        <f>BJ10</f>
        <v/>
      </c>
      <c r="BL5" s="40" t="n"/>
      <c r="BM5" s="40" t="n"/>
    </row>
    <row r="6">
      <c r="A6" s="37" t="inlineStr">
        <is>
          <t>New senior debt draw</t>
        </is>
      </c>
      <c r="B6" s="37" t="inlineStr">
        <is>
          <t>ZAR'000</t>
        </is>
      </c>
      <c r="C6" s="40" t="n"/>
      <c r="D6" s="37">
        <f>'12M_Funding'!D9</f>
        <v/>
      </c>
      <c r="E6" s="37">
        <f>'12M_Funding'!E9</f>
        <v/>
      </c>
      <c r="F6" s="37">
        <f>'12M_Funding'!F9</f>
        <v/>
      </c>
      <c r="G6" s="37">
        <f>'12M_Funding'!G9</f>
        <v/>
      </c>
      <c r="H6" s="37">
        <f>'12M_Funding'!H9</f>
        <v/>
      </c>
      <c r="I6" s="37">
        <f>'12M_Funding'!I9</f>
        <v/>
      </c>
      <c r="J6" s="37">
        <f>'12M_Funding'!J9</f>
        <v/>
      </c>
      <c r="K6" s="37">
        <f>'12M_Funding'!K9</f>
        <v/>
      </c>
      <c r="L6" s="37">
        <f>'12M_Funding'!L9</f>
        <v/>
      </c>
      <c r="M6" s="37">
        <f>'12M_Funding'!M9</f>
        <v/>
      </c>
      <c r="N6" s="37">
        <f>'12M_Funding'!N9</f>
        <v/>
      </c>
      <c r="O6" s="37">
        <f>'12M_Funding'!O9</f>
        <v/>
      </c>
      <c r="P6" s="37">
        <f>0</f>
        <v/>
      </c>
      <c r="Q6" s="37">
        <f>0</f>
        <v/>
      </c>
      <c r="R6" s="37">
        <f>0</f>
        <v/>
      </c>
      <c r="S6" s="37">
        <f>0</f>
        <v/>
      </c>
      <c r="T6" s="37">
        <f>0</f>
        <v/>
      </c>
      <c r="U6" s="37">
        <f>0</f>
        <v/>
      </c>
      <c r="V6" s="37">
        <f>0</f>
        <v/>
      </c>
      <c r="W6" s="37">
        <f>0</f>
        <v/>
      </c>
      <c r="X6" s="37">
        <f>0</f>
        <v/>
      </c>
      <c r="Y6" s="37">
        <f>0</f>
        <v/>
      </c>
      <c r="Z6" s="37">
        <f>0</f>
        <v/>
      </c>
      <c r="AA6" s="37">
        <f>0</f>
        <v/>
      </c>
      <c r="AB6" s="37">
        <f>0</f>
        <v/>
      </c>
      <c r="AC6" s="37">
        <f>0</f>
        <v/>
      </c>
      <c r="AD6" s="37">
        <f>0</f>
        <v/>
      </c>
      <c r="AE6" s="37">
        <f>0</f>
        <v/>
      </c>
      <c r="AF6" s="37">
        <f>0</f>
        <v/>
      </c>
      <c r="AG6" s="37">
        <f>0</f>
        <v/>
      </c>
      <c r="AH6" s="37">
        <f>0</f>
        <v/>
      </c>
      <c r="AI6" s="37">
        <f>0</f>
        <v/>
      </c>
      <c r="AJ6" s="37">
        <f>0</f>
        <v/>
      </c>
      <c r="AK6" s="37">
        <f>0</f>
        <v/>
      </c>
      <c r="AL6" s="37">
        <f>0</f>
        <v/>
      </c>
      <c r="AM6" s="37">
        <f>0</f>
        <v/>
      </c>
      <c r="AN6" s="37">
        <f>0</f>
        <v/>
      </c>
      <c r="AO6" s="37">
        <f>0</f>
        <v/>
      </c>
      <c r="AP6" s="37">
        <f>0</f>
        <v/>
      </c>
      <c r="AQ6" s="37">
        <f>0</f>
        <v/>
      </c>
      <c r="AR6" s="37">
        <f>0</f>
        <v/>
      </c>
      <c r="AS6" s="37">
        <f>0</f>
        <v/>
      </c>
      <c r="AT6" s="37">
        <f>0</f>
        <v/>
      </c>
      <c r="AU6" s="37">
        <f>0</f>
        <v/>
      </c>
      <c r="AV6" s="37">
        <f>0</f>
        <v/>
      </c>
      <c r="AW6" s="37">
        <f>0</f>
        <v/>
      </c>
      <c r="AX6" s="37">
        <f>0</f>
        <v/>
      </c>
      <c r="AY6" s="37">
        <f>0</f>
        <v/>
      </c>
      <c r="AZ6" s="37">
        <f>0</f>
        <v/>
      </c>
      <c r="BA6" s="37">
        <f>0</f>
        <v/>
      </c>
      <c r="BB6" s="37">
        <f>0</f>
        <v/>
      </c>
      <c r="BC6" s="37">
        <f>0</f>
        <v/>
      </c>
      <c r="BD6" s="37">
        <f>0</f>
        <v/>
      </c>
      <c r="BE6" s="37">
        <f>0</f>
        <v/>
      </c>
      <c r="BF6" s="37">
        <f>0</f>
        <v/>
      </c>
      <c r="BG6" s="37">
        <f>0</f>
        <v/>
      </c>
      <c r="BH6" s="37">
        <f>0</f>
        <v/>
      </c>
      <c r="BI6" s="37">
        <f>0</f>
        <v/>
      </c>
      <c r="BJ6" s="37">
        <f>0</f>
        <v/>
      </c>
      <c r="BK6" s="37">
        <f>0</f>
        <v/>
      </c>
      <c r="BL6" s="40" t="n"/>
      <c r="BM6" s="40" t="n"/>
    </row>
    <row r="7">
      <c r="A7" s="37" t="inlineStr">
        <is>
          <t>Interest accrued</t>
        </is>
      </c>
      <c r="B7" s="37" t="inlineStr">
        <is>
          <t>ZAR'000</t>
        </is>
      </c>
      <c r="C7" s="40" t="n"/>
      <c r="D7" s="37">
        <f>(D5+D6/2)*Control!$C$112/12</f>
        <v/>
      </c>
      <c r="E7" s="37">
        <f>(E5+E6/2)*Control!$C$112/12</f>
        <v/>
      </c>
      <c r="F7" s="37">
        <f>(F5+F6/2)*Control!$C$112/12</f>
        <v/>
      </c>
      <c r="G7" s="37">
        <f>(G5+G6/2)*Control!$C$112/12</f>
        <v/>
      </c>
      <c r="H7" s="37">
        <f>(H5+H6/2)*Control!$C$112/12</f>
        <v/>
      </c>
      <c r="I7" s="37">
        <f>(I5+I6/2)*Control!$C$112/12</f>
        <v/>
      </c>
      <c r="J7" s="37">
        <f>(J5+J6/2)*Control!$C$112/12</f>
        <v/>
      </c>
      <c r="K7" s="37">
        <f>(K5+K6/2)*Control!$C$112/12</f>
        <v/>
      </c>
      <c r="L7" s="37">
        <f>(L5+L6/2)*Control!$C$112/12</f>
        <v/>
      </c>
      <c r="M7" s="37">
        <f>(M5+M6/2)*Control!$C$112/12</f>
        <v/>
      </c>
      <c r="N7" s="37">
        <f>(N5+N6/2)*Control!$C$112/12</f>
        <v/>
      </c>
      <c r="O7" s="37">
        <f>(O5+O6/2)*Control!$C$112/12</f>
        <v/>
      </c>
      <c r="P7" s="37">
        <f>(P5+P6/2)*Control!$C$112/12</f>
        <v/>
      </c>
      <c r="Q7" s="37">
        <f>(Q5+Q6/2)*Control!$C$112/12</f>
        <v/>
      </c>
      <c r="R7" s="37">
        <f>(R5+R6/2)*Control!$C$112/12</f>
        <v/>
      </c>
      <c r="S7" s="37">
        <f>(S5+S6/2)*Control!$C$112/12</f>
        <v/>
      </c>
      <c r="T7" s="37">
        <f>(T5+T6/2)*Control!$C$112/12</f>
        <v/>
      </c>
      <c r="U7" s="37">
        <f>(U5+U6/2)*Control!$C$112/12</f>
        <v/>
      </c>
      <c r="V7" s="37">
        <f>(V5+V6/2)*Control!$C$112/12</f>
        <v/>
      </c>
      <c r="W7" s="37">
        <f>(W5+W6/2)*Control!$C$112/12</f>
        <v/>
      </c>
      <c r="X7" s="37">
        <f>(X5+X6/2)*Control!$C$112/12</f>
        <v/>
      </c>
      <c r="Y7" s="37">
        <f>(Y5+Y6/2)*Control!$C$112/12</f>
        <v/>
      </c>
      <c r="Z7" s="37">
        <f>(Z5+Z6/2)*Control!$C$112/12</f>
        <v/>
      </c>
      <c r="AA7" s="37">
        <f>(AA5+AA6/2)*Control!$C$112/12</f>
        <v/>
      </c>
      <c r="AB7" s="37">
        <f>(AB5+AB6/2)*Control!$C$112/12</f>
        <v/>
      </c>
      <c r="AC7" s="37">
        <f>(AC5+AC6/2)*Control!$C$112/12</f>
        <v/>
      </c>
      <c r="AD7" s="37">
        <f>(AD5+AD6/2)*Control!$C$112/12</f>
        <v/>
      </c>
      <c r="AE7" s="37">
        <f>(AE5+AE6/2)*Control!$C$112/12</f>
        <v/>
      </c>
      <c r="AF7" s="37">
        <f>(AF5+AF6/2)*Control!$C$112/12</f>
        <v/>
      </c>
      <c r="AG7" s="37">
        <f>(AG5+AG6/2)*Control!$C$112/12</f>
        <v/>
      </c>
      <c r="AH7" s="37">
        <f>(AH5+AH6/2)*Control!$C$112/12</f>
        <v/>
      </c>
      <c r="AI7" s="37">
        <f>(AI5+AI6/2)*Control!$C$112/12</f>
        <v/>
      </c>
      <c r="AJ7" s="37">
        <f>(AJ5+AJ6/2)*Control!$C$112/12</f>
        <v/>
      </c>
      <c r="AK7" s="37">
        <f>(AK5+AK6/2)*Control!$C$112/12</f>
        <v/>
      </c>
      <c r="AL7" s="37">
        <f>(AL5+AL6/2)*Control!$C$112/12</f>
        <v/>
      </c>
      <c r="AM7" s="37">
        <f>(AM5+AM6/2)*Control!$C$112/12</f>
        <v/>
      </c>
      <c r="AN7" s="37">
        <f>(AN5+AN6/2)*Control!$C$112/12</f>
        <v/>
      </c>
      <c r="AO7" s="37">
        <f>(AO5+AO6/2)*Control!$C$112/12</f>
        <v/>
      </c>
      <c r="AP7" s="37">
        <f>(AP5+AP6/2)*Control!$C$112/12</f>
        <v/>
      </c>
      <c r="AQ7" s="37">
        <f>(AQ5+AQ6/2)*Control!$C$112/12</f>
        <v/>
      </c>
      <c r="AR7" s="37">
        <f>(AR5+AR6/2)*Control!$C$112/12</f>
        <v/>
      </c>
      <c r="AS7" s="37">
        <f>(AS5+AS6/2)*Control!$C$112/12</f>
        <v/>
      </c>
      <c r="AT7" s="37">
        <f>(AT5+AT6/2)*Control!$C$112/12</f>
        <v/>
      </c>
      <c r="AU7" s="37">
        <f>(AU5+AU6/2)*Control!$C$112/12</f>
        <v/>
      </c>
      <c r="AV7" s="37">
        <f>(AV5+AV6/2)*Control!$C$112/12</f>
        <v/>
      </c>
      <c r="AW7" s="37">
        <f>(AW5+AW6/2)*Control!$C$112/12</f>
        <v/>
      </c>
      <c r="AX7" s="37">
        <f>(AX5+AX6/2)*Control!$C$112/12</f>
        <v/>
      </c>
      <c r="AY7" s="37">
        <f>(AY5+AY6/2)*Control!$C$112/12</f>
        <v/>
      </c>
      <c r="AZ7" s="37">
        <f>(AZ5+AZ6/2)*Control!$C$112/12</f>
        <v/>
      </c>
      <c r="BA7" s="37">
        <f>(BA5+BA6/2)*Control!$C$112/12</f>
        <v/>
      </c>
      <c r="BB7" s="37">
        <f>(BB5+BB6/2)*Control!$C$112/12</f>
        <v/>
      </c>
      <c r="BC7" s="37">
        <f>(BC5+BC6/2)*Control!$C$112/12</f>
        <v/>
      </c>
      <c r="BD7" s="37">
        <f>(BD5+BD6/2)*Control!$C$112/12</f>
        <v/>
      </c>
      <c r="BE7" s="37">
        <f>(BE5+BE6/2)*Control!$C$112/12</f>
        <v/>
      </c>
      <c r="BF7" s="37">
        <f>(BF5+BF6/2)*Control!$C$112/12</f>
        <v/>
      </c>
      <c r="BG7" s="37">
        <f>(BG5+BG6/2)*Control!$C$112/12</f>
        <v/>
      </c>
      <c r="BH7" s="37">
        <f>(BH5+BH6/2)*Control!$C$112/12</f>
        <v/>
      </c>
      <c r="BI7" s="37">
        <f>(BI5+BI6/2)*Control!$C$112/12</f>
        <v/>
      </c>
      <c r="BJ7" s="37">
        <f>(BJ5+BJ6/2)*Control!$C$112/12</f>
        <v/>
      </c>
      <c r="BK7" s="37">
        <f>(BK5+BK6/2)*Control!$C$112/12</f>
        <v/>
      </c>
      <c r="BL7" s="40" t="n"/>
      <c r="BM7" s="40" t="n"/>
    </row>
    <row r="8">
      <c r="A8" s="37" t="inlineStr">
        <is>
          <t>Scheduled principal</t>
        </is>
      </c>
      <c r="B8" s="37" t="inlineStr">
        <is>
          <t>ZAR'000</t>
        </is>
      </c>
      <c r="C8" s="40" t="n"/>
      <c r="D8" s="37">
        <f>IF(D$3&lt;=Control!$C$114,0,MIN(INDEX($D$10:$BM$10,1,Control!$C$114)/(Control!$C$113-Control!$C$114),D5+D6))</f>
        <v/>
      </c>
      <c r="E8" s="37">
        <f>IF(E$3&lt;=Control!$C$114,0,MIN(INDEX($D$10:$BM$10,1,Control!$C$114)/(Control!$C$113-Control!$C$114),E5+E6))</f>
        <v/>
      </c>
      <c r="F8" s="37">
        <f>IF(F$3&lt;=Control!$C$114,0,MIN(INDEX($D$10:$BM$10,1,Control!$C$114)/(Control!$C$113-Control!$C$114),F5+F6))</f>
        <v/>
      </c>
      <c r="G8" s="37">
        <f>IF(G$3&lt;=Control!$C$114,0,MIN(INDEX($D$10:$BM$10,1,Control!$C$114)/(Control!$C$113-Control!$C$114),G5+G6))</f>
        <v/>
      </c>
      <c r="H8" s="37">
        <f>IF(H$3&lt;=Control!$C$114,0,MIN(INDEX($D$10:$BM$10,1,Control!$C$114)/(Control!$C$113-Control!$C$114),H5+H6))</f>
        <v/>
      </c>
      <c r="I8" s="37">
        <f>IF(I$3&lt;=Control!$C$114,0,MIN(INDEX($D$10:$BM$10,1,Control!$C$114)/(Control!$C$113-Control!$C$114),I5+I6))</f>
        <v/>
      </c>
      <c r="J8" s="37">
        <f>IF(J$3&lt;=Control!$C$114,0,MIN(INDEX($D$10:$BM$10,1,Control!$C$114)/(Control!$C$113-Control!$C$114),J5+J6))</f>
        <v/>
      </c>
      <c r="K8" s="37">
        <f>IF(K$3&lt;=Control!$C$114,0,MIN(INDEX($D$10:$BM$10,1,Control!$C$114)/(Control!$C$113-Control!$C$114),K5+K6))</f>
        <v/>
      </c>
      <c r="L8" s="37">
        <f>IF(L$3&lt;=Control!$C$114,0,MIN(INDEX($D$10:$BM$10,1,Control!$C$114)/(Control!$C$113-Control!$C$114),L5+L6))</f>
        <v/>
      </c>
      <c r="M8" s="37">
        <f>IF(M$3&lt;=Control!$C$114,0,MIN(INDEX($D$10:$BM$10,1,Control!$C$114)/(Control!$C$113-Control!$C$114),M5+M6))</f>
        <v/>
      </c>
      <c r="N8" s="37">
        <f>IF(N$3&lt;=Control!$C$114,0,MIN(INDEX($D$10:$BM$10,1,Control!$C$114)/(Control!$C$113-Control!$C$114),N5+N6))</f>
        <v/>
      </c>
      <c r="O8" s="37">
        <f>IF(O$3&lt;=Control!$C$114,0,MIN(INDEX($D$10:$BM$10,1,Control!$C$114)/(Control!$C$113-Control!$C$114),O5+O6))</f>
        <v/>
      </c>
      <c r="P8" s="37">
        <f>IF(P$3&lt;=Control!$C$114,0,MIN(INDEX($D$10:$BM$10,1,Control!$C$114)/(Control!$C$113-Control!$C$114),P5+P6))</f>
        <v/>
      </c>
      <c r="Q8" s="37">
        <f>IF(Q$3&lt;=Control!$C$114,0,MIN(INDEX($D$10:$BM$10,1,Control!$C$114)/(Control!$C$113-Control!$C$114),Q5+Q6))</f>
        <v/>
      </c>
      <c r="R8" s="37">
        <f>IF(R$3&lt;=Control!$C$114,0,MIN(INDEX($D$10:$BM$10,1,Control!$C$114)/(Control!$C$113-Control!$C$114),R5+R6))</f>
        <v/>
      </c>
      <c r="S8" s="37">
        <f>IF(S$3&lt;=Control!$C$114,0,MIN(INDEX($D$10:$BM$10,1,Control!$C$114)/(Control!$C$113-Control!$C$114),S5+S6))</f>
        <v/>
      </c>
      <c r="T8" s="37">
        <f>IF(T$3&lt;=Control!$C$114,0,MIN(INDEX($D$10:$BM$10,1,Control!$C$114)/(Control!$C$113-Control!$C$114),T5+T6))</f>
        <v/>
      </c>
      <c r="U8" s="37">
        <f>IF(U$3&lt;=Control!$C$114,0,MIN(INDEX($D$10:$BM$10,1,Control!$C$114)/(Control!$C$113-Control!$C$114),U5+U6))</f>
        <v/>
      </c>
      <c r="V8" s="37">
        <f>IF(V$3&lt;=Control!$C$114,0,MIN(INDEX($D$10:$BM$10,1,Control!$C$114)/(Control!$C$113-Control!$C$114),V5+V6))</f>
        <v/>
      </c>
      <c r="W8" s="37">
        <f>IF(W$3&lt;=Control!$C$114,0,MIN(INDEX($D$10:$BM$10,1,Control!$C$114)/(Control!$C$113-Control!$C$114),W5+W6))</f>
        <v/>
      </c>
      <c r="X8" s="37">
        <f>IF(X$3&lt;=Control!$C$114,0,MIN(INDEX($D$10:$BM$10,1,Control!$C$114)/(Control!$C$113-Control!$C$114),X5+X6))</f>
        <v/>
      </c>
      <c r="Y8" s="37">
        <f>IF(Y$3&lt;=Control!$C$114,0,MIN(INDEX($D$10:$BM$10,1,Control!$C$114)/(Control!$C$113-Control!$C$114),Y5+Y6))</f>
        <v/>
      </c>
      <c r="Z8" s="37">
        <f>IF(Z$3&lt;=Control!$C$114,0,MIN(INDEX($D$10:$BM$10,1,Control!$C$114)/(Control!$C$113-Control!$C$114),Z5+Z6))</f>
        <v/>
      </c>
      <c r="AA8" s="37">
        <f>IF(AA$3&lt;=Control!$C$114,0,MIN(INDEX($D$10:$BM$10,1,Control!$C$114)/(Control!$C$113-Control!$C$114),AA5+AA6))</f>
        <v/>
      </c>
      <c r="AB8" s="37">
        <f>IF(AB$3&lt;=Control!$C$114,0,MIN(INDEX($D$10:$BM$10,1,Control!$C$114)/(Control!$C$113-Control!$C$114),AB5+AB6))</f>
        <v/>
      </c>
      <c r="AC8" s="37">
        <f>IF(AC$3&lt;=Control!$C$114,0,MIN(INDEX($D$10:$BM$10,1,Control!$C$114)/(Control!$C$113-Control!$C$114),AC5+AC6))</f>
        <v/>
      </c>
      <c r="AD8" s="37">
        <f>IF(AD$3&lt;=Control!$C$114,0,MIN(INDEX($D$10:$BM$10,1,Control!$C$114)/(Control!$C$113-Control!$C$114),AD5+AD6))</f>
        <v/>
      </c>
      <c r="AE8" s="37">
        <f>IF(AE$3&lt;=Control!$C$114,0,MIN(INDEX($D$10:$BM$10,1,Control!$C$114)/(Control!$C$113-Control!$C$114),AE5+AE6))</f>
        <v/>
      </c>
      <c r="AF8" s="37">
        <f>IF(AF$3&lt;=Control!$C$114,0,MIN(INDEX($D$10:$BM$10,1,Control!$C$114)/(Control!$C$113-Control!$C$114),AF5+AF6))</f>
        <v/>
      </c>
      <c r="AG8" s="37">
        <f>IF(AG$3&lt;=Control!$C$114,0,MIN(INDEX($D$10:$BM$10,1,Control!$C$114)/(Control!$C$113-Control!$C$114),AG5+AG6))</f>
        <v/>
      </c>
      <c r="AH8" s="37">
        <f>IF(AH$3&lt;=Control!$C$114,0,MIN(INDEX($D$10:$BM$10,1,Control!$C$114)/(Control!$C$113-Control!$C$114),AH5+AH6))</f>
        <v/>
      </c>
      <c r="AI8" s="37">
        <f>IF(AI$3&lt;=Control!$C$114,0,MIN(INDEX($D$10:$BM$10,1,Control!$C$114)/(Control!$C$113-Control!$C$114),AI5+AI6))</f>
        <v/>
      </c>
      <c r="AJ8" s="37">
        <f>IF(AJ$3&lt;=Control!$C$114,0,MIN(INDEX($D$10:$BM$10,1,Control!$C$114)/(Control!$C$113-Control!$C$114),AJ5+AJ6))</f>
        <v/>
      </c>
      <c r="AK8" s="37">
        <f>IF(AK$3&lt;=Control!$C$114,0,MIN(INDEX($D$10:$BM$10,1,Control!$C$114)/(Control!$C$113-Control!$C$114),AK5+AK6))</f>
        <v/>
      </c>
      <c r="AL8" s="37">
        <f>IF(AL$3&lt;=Control!$C$114,0,MIN(INDEX($D$10:$BM$10,1,Control!$C$114)/(Control!$C$113-Control!$C$114),AL5+AL6))</f>
        <v/>
      </c>
      <c r="AM8" s="37">
        <f>IF(AM$3&lt;=Control!$C$114,0,MIN(INDEX($D$10:$BM$10,1,Control!$C$114)/(Control!$C$113-Control!$C$114),AM5+AM6))</f>
        <v/>
      </c>
      <c r="AN8" s="37">
        <f>IF(AN$3&lt;=Control!$C$114,0,MIN(INDEX($D$10:$BM$10,1,Control!$C$114)/(Control!$C$113-Control!$C$114),AN5+AN6))</f>
        <v/>
      </c>
      <c r="AO8" s="37">
        <f>IF(AO$3&lt;=Control!$C$114,0,MIN(INDEX($D$10:$BM$10,1,Control!$C$114)/(Control!$C$113-Control!$C$114),AO5+AO6))</f>
        <v/>
      </c>
      <c r="AP8" s="37">
        <f>IF(AP$3&lt;=Control!$C$114,0,MIN(INDEX($D$10:$BM$10,1,Control!$C$114)/(Control!$C$113-Control!$C$114),AP5+AP6))</f>
        <v/>
      </c>
      <c r="AQ8" s="37">
        <f>IF(AQ$3&lt;=Control!$C$114,0,MIN(INDEX($D$10:$BM$10,1,Control!$C$114)/(Control!$C$113-Control!$C$114),AQ5+AQ6))</f>
        <v/>
      </c>
      <c r="AR8" s="37">
        <f>IF(AR$3&lt;=Control!$C$114,0,MIN(INDEX($D$10:$BM$10,1,Control!$C$114)/(Control!$C$113-Control!$C$114),AR5+AR6))</f>
        <v/>
      </c>
      <c r="AS8" s="37">
        <f>IF(AS$3&lt;=Control!$C$114,0,MIN(INDEX($D$10:$BM$10,1,Control!$C$114)/(Control!$C$113-Control!$C$114),AS5+AS6))</f>
        <v/>
      </c>
      <c r="AT8" s="37">
        <f>IF(AT$3&lt;=Control!$C$114,0,MIN(INDEX($D$10:$BM$10,1,Control!$C$114)/(Control!$C$113-Control!$C$114),AT5+AT6))</f>
        <v/>
      </c>
      <c r="AU8" s="37">
        <f>IF(AU$3&lt;=Control!$C$114,0,MIN(INDEX($D$10:$BM$10,1,Control!$C$114)/(Control!$C$113-Control!$C$114),AU5+AU6))</f>
        <v/>
      </c>
      <c r="AV8" s="37">
        <f>IF(AV$3&lt;=Control!$C$114,0,MIN(INDEX($D$10:$BM$10,1,Control!$C$114)/(Control!$C$113-Control!$C$114),AV5+AV6))</f>
        <v/>
      </c>
      <c r="AW8" s="37">
        <f>IF(AW$3&lt;=Control!$C$114,0,MIN(INDEX($D$10:$BM$10,1,Control!$C$114)/(Control!$C$113-Control!$C$114),AW5+AW6))</f>
        <v/>
      </c>
      <c r="AX8" s="37">
        <f>IF(AX$3&lt;=Control!$C$114,0,MIN(INDEX($D$10:$BM$10,1,Control!$C$114)/(Control!$C$113-Control!$C$114),AX5+AX6))</f>
        <v/>
      </c>
      <c r="AY8" s="37">
        <f>IF(AY$3&lt;=Control!$C$114,0,MIN(INDEX($D$10:$BM$10,1,Control!$C$114)/(Control!$C$113-Control!$C$114),AY5+AY6))</f>
        <v/>
      </c>
      <c r="AZ8" s="37">
        <f>IF(AZ$3&lt;=Control!$C$114,0,MIN(INDEX($D$10:$BM$10,1,Control!$C$114)/(Control!$C$113-Control!$C$114),AZ5+AZ6))</f>
        <v/>
      </c>
      <c r="BA8" s="37">
        <f>IF(BA$3&lt;=Control!$C$114,0,MIN(INDEX($D$10:$BM$10,1,Control!$C$114)/(Control!$C$113-Control!$C$114),BA5+BA6))</f>
        <v/>
      </c>
      <c r="BB8" s="37">
        <f>IF(BB$3&lt;=Control!$C$114,0,MIN(INDEX($D$10:$BM$10,1,Control!$C$114)/(Control!$C$113-Control!$C$114),BB5+BB6))</f>
        <v/>
      </c>
      <c r="BC8" s="37">
        <f>IF(BC$3&lt;=Control!$C$114,0,MIN(INDEX($D$10:$BM$10,1,Control!$C$114)/(Control!$C$113-Control!$C$114),BC5+BC6))</f>
        <v/>
      </c>
      <c r="BD8" s="37">
        <f>IF(BD$3&lt;=Control!$C$114,0,MIN(INDEX($D$10:$BM$10,1,Control!$C$114)/(Control!$C$113-Control!$C$114),BD5+BD6))</f>
        <v/>
      </c>
      <c r="BE8" s="37">
        <f>IF(BE$3&lt;=Control!$C$114,0,MIN(INDEX($D$10:$BM$10,1,Control!$C$114)/(Control!$C$113-Control!$C$114),BE5+BE6))</f>
        <v/>
      </c>
      <c r="BF8" s="37">
        <f>IF(BF$3&lt;=Control!$C$114,0,MIN(INDEX($D$10:$BM$10,1,Control!$C$114)/(Control!$C$113-Control!$C$114),BF5+BF6))</f>
        <v/>
      </c>
      <c r="BG8" s="37">
        <f>IF(BG$3&lt;=Control!$C$114,0,MIN(INDEX($D$10:$BM$10,1,Control!$C$114)/(Control!$C$113-Control!$C$114),BG5+BG6))</f>
        <v/>
      </c>
      <c r="BH8" s="37">
        <f>IF(BH$3&lt;=Control!$C$114,0,MIN(INDEX($D$10:$BM$10,1,Control!$C$114)/(Control!$C$113-Control!$C$114),BH5+BH6))</f>
        <v/>
      </c>
      <c r="BI8" s="37">
        <f>IF(BI$3&lt;=Control!$C$114,0,MIN(INDEX($D$10:$BM$10,1,Control!$C$114)/(Control!$C$113-Control!$C$114),BI5+BI6))</f>
        <v/>
      </c>
      <c r="BJ8" s="37">
        <f>IF(BJ$3&lt;=Control!$C$114,0,MIN(INDEX($D$10:$BM$10,1,Control!$C$114)/(Control!$C$113-Control!$C$114),BJ5+BJ6))</f>
        <v/>
      </c>
      <c r="BK8" s="37">
        <f>IF(BK$3&lt;=Control!$C$114,0,MIN(INDEX($D$10:$BM$10,1,Control!$C$114)/(Control!$C$113-Control!$C$114),BK5+BK6))</f>
        <v/>
      </c>
      <c r="BL8" s="40" t="n"/>
      <c r="BM8" s="40" t="n"/>
    </row>
    <row r="9">
      <c r="A9" s="37" t="inlineStr">
        <is>
          <t>Debt service cash</t>
        </is>
      </c>
      <c r="B9" s="37" t="inlineStr">
        <is>
          <t>ZAR'000</t>
        </is>
      </c>
      <c r="C9" s="40" t="n"/>
      <c r="D9" s="37">
        <f>IF(D$3&lt;=Control!$C$114,0,D7+D8)</f>
        <v/>
      </c>
      <c r="E9" s="37">
        <f>IF(E$3&lt;=Control!$C$114,0,E7+E8)</f>
        <v/>
      </c>
      <c r="F9" s="37">
        <f>IF(F$3&lt;=Control!$C$114,0,F7+F8)</f>
        <v/>
      </c>
      <c r="G9" s="37">
        <f>IF(G$3&lt;=Control!$C$114,0,G7+G8)</f>
        <v/>
      </c>
      <c r="H9" s="37">
        <f>IF(H$3&lt;=Control!$C$114,0,H7+H8)</f>
        <v/>
      </c>
      <c r="I9" s="37">
        <f>IF(I$3&lt;=Control!$C$114,0,I7+I8)</f>
        <v/>
      </c>
      <c r="J9" s="37">
        <f>IF(J$3&lt;=Control!$C$114,0,J7+J8)</f>
        <v/>
      </c>
      <c r="K9" s="37">
        <f>IF(K$3&lt;=Control!$C$114,0,K7+K8)</f>
        <v/>
      </c>
      <c r="L9" s="37">
        <f>IF(L$3&lt;=Control!$C$114,0,L7+L8)</f>
        <v/>
      </c>
      <c r="M9" s="37">
        <f>IF(M$3&lt;=Control!$C$114,0,M7+M8)</f>
        <v/>
      </c>
      <c r="N9" s="37">
        <f>IF(N$3&lt;=Control!$C$114,0,N7+N8)</f>
        <v/>
      </c>
      <c r="O9" s="37">
        <f>IF(O$3&lt;=Control!$C$114,0,O7+O8)</f>
        <v/>
      </c>
      <c r="P9" s="37">
        <f>IF(P$3&lt;=Control!$C$114,0,P7+P8)</f>
        <v/>
      </c>
      <c r="Q9" s="37">
        <f>IF(Q$3&lt;=Control!$C$114,0,Q7+Q8)</f>
        <v/>
      </c>
      <c r="R9" s="37">
        <f>IF(R$3&lt;=Control!$C$114,0,R7+R8)</f>
        <v/>
      </c>
      <c r="S9" s="37">
        <f>IF(S$3&lt;=Control!$C$114,0,S7+S8)</f>
        <v/>
      </c>
      <c r="T9" s="37">
        <f>IF(T$3&lt;=Control!$C$114,0,T7+T8)</f>
        <v/>
      </c>
      <c r="U9" s="37">
        <f>IF(U$3&lt;=Control!$C$114,0,U7+U8)</f>
        <v/>
      </c>
      <c r="V9" s="37">
        <f>IF(V$3&lt;=Control!$C$114,0,V7+V8)</f>
        <v/>
      </c>
      <c r="W9" s="37">
        <f>IF(W$3&lt;=Control!$C$114,0,W7+W8)</f>
        <v/>
      </c>
      <c r="X9" s="37">
        <f>IF(X$3&lt;=Control!$C$114,0,X7+X8)</f>
        <v/>
      </c>
      <c r="Y9" s="37">
        <f>IF(Y$3&lt;=Control!$C$114,0,Y7+Y8)</f>
        <v/>
      </c>
      <c r="Z9" s="37">
        <f>IF(Z$3&lt;=Control!$C$114,0,Z7+Z8)</f>
        <v/>
      </c>
      <c r="AA9" s="37">
        <f>IF(AA$3&lt;=Control!$C$114,0,AA7+AA8)</f>
        <v/>
      </c>
      <c r="AB9" s="37">
        <f>IF(AB$3&lt;=Control!$C$114,0,AB7+AB8)</f>
        <v/>
      </c>
      <c r="AC9" s="37">
        <f>IF(AC$3&lt;=Control!$C$114,0,AC7+AC8)</f>
        <v/>
      </c>
      <c r="AD9" s="37">
        <f>IF(AD$3&lt;=Control!$C$114,0,AD7+AD8)</f>
        <v/>
      </c>
      <c r="AE9" s="37">
        <f>IF(AE$3&lt;=Control!$C$114,0,AE7+AE8)</f>
        <v/>
      </c>
      <c r="AF9" s="37">
        <f>IF(AF$3&lt;=Control!$C$114,0,AF7+AF8)</f>
        <v/>
      </c>
      <c r="AG9" s="37">
        <f>IF(AG$3&lt;=Control!$C$114,0,AG7+AG8)</f>
        <v/>
      </c>
      <c r="AH9" s="37">
        <f>IF(AH$3&lt;=Control!$C$114,0,AH7+AH8)</f>
        <v/>
      </c>
      <c r="AI9" s="37">
        <f>IF(AI$3&lt;=Control!$C$114,0,AI7+AI8)</f>
        <v/>
      </c>
      <c r="AJ9" s="37">
        <f>IF(AJ$3&lt;=Control!$C$114,0,AJ7+AJ8)</f>
        <v/>
      </c>
      <c r="AK9" s="37">
        <f>IF(AK$3&lt;=Control!$C$114,0,AK7+AK8)</f>
        <v/>
      </c>
      <c r="AL9" s="37">
        <f>IF(AL$3&lt;=Control!$C$114,0,AL7+AL8)</f>
        <v/>
      </c>
      <c r="AM9" s="37">
        <f>IF(AM$3&lt;=Control!$C$114,0,AM7+AM8)</f>
        <v/>
      </c>
      <c r="AN9" s="37">
        <f>IF(AN$3&lt;=Control!$C$114,0,AN7+AN8)</f>
        <v/>
      </c>
      <c r="AO9" s="37">
        <f>IF(AO$3&lt;=Control!$C$114,0,AO7+AO8)</f>
        <v/>
      </c>
      <c r="AP9" s="37">
        <f>IF(AP$3&lt;=Control!$C$114,0,AP7+AP8)</f>
        <v/>
      </c>
      <c r="AQ9" s="37">
        <f>IF(AQ$3&lt;=Control!$C$114,0,AQ7+AQ8)</f>
        <v/>
      </c>
      <c r="AR9" s="37">
        <f>IF(AR$3&lt;=Control!$C$114,0,AR7+AR8)</f>
        <v/>
      </c>
      <c r="AS9" s="37">
        <f>IF(AS$3&lt;=Control!$C$114,0,AS7+AS8)</f>
        <v/>
      </c>
      <c r="AT9" s="37">
        <f>IF(AT$3&lt;=Control!$C$114,0,AT7+AT8)</f>
        <v/>
      </c>
      <c r="AU9" s="37">
        <f>IF(AU$3&lt;=Control!$C$114,0,AU7+AU8)</f>
        <v/>
      </c>
      <c r="AV9" s="37">
        <f>IF(AV$3&lt;=Control!$C$114,0,AV7+AV8)</f>
        <v/>
      </c>
      <c r="AW9" s="37">
        <f>IF(AW$3&lt;=Control!$C$114,0,AW7+AW8)</f>
        <v/>
      </c>
      <c r="AX9" s="37">
        <f>IF(AX$3&lt;=Control!$C$114,0,AX7+AX8)</f>
        <v/>
      </c>
      <c r="AY9" s="37">
        <f>IF(AY$3&lt;=Control!$C$114,0,AY7+AY8)</f>
        <v/>
      </c>
      <c r="AZ9" s="37">
        <f>IF(AZ$3&lt;=Control!$C$114,0,AZ7+AZ8)</f>
        <v/>
      </c>
      <c r="BA9" s="37">
        <f>IF(BA$3&lt;=Control!$C$114,0,BA7+BA8)</f>
        <v/>
      </c>
      <c r="BB9" s="37">
        <f>IF(BB$3&lt;=Control!$C$114,0,BB7+BB8)</f>
        <v/>
      </c>
      <c r="BC9" s="37">
        <f>IF(BC$3&lt;=Control!$C$114,0,BC7+BC8)</f>
        <v/>
      </c>
      <c r="BD9" s="37">
        <f>IF(BD$3&lt;=Control!$C$114,0,BD7+BD8)</f>
        <v/>
      </c>
      <c r="BE9" s="37">
        <f>IF(BE$3&lt;=Control!$C$114,0,BE7+BE8)</f>
        <v/>
      </c>
      <c r="BF9" s="37">
        <f>IF(BF$3&lt;=Control!$C$114,0,BF7+BF8)</f>
        <v/>
      </c>
      <c r="BG9" s="37">
        <f>IF(BG$3&lt;=Control!$C$114,0,BG7+BG8)</f>
        <v/>
      </c>
      <c r="BH9" s="37">
        <f>IF(BH$3&lt;=Control!$C$114,0,BH7+BH8)</f>
        <v/>
      </c>
      <c r="BI9" s="37">
        <f>IF(BI$3&lt;=Control!$C$114,0,BI7+BI8)</f>
        <v/>
      </c>
      <c r="BJ9" s="37">
        <f>IF(BJ$3&lt;=Control!$C$114,0,BJ7+BJ8)</f>
        <v/>
      </c>
      <c r="BK9" s="37">
        <f>IF(BK$3&lt;=Control!$C$114,0,BK7+BK8)</f>
        <v/>
      </c>
      <c r="BL9" s="40" t="n"/>
      <c r="BM9" s="40" t="n"/>
    </row>
    <row r="10">
      <c r="A10" s="37" t="inlineStr">
        <is>
          <t>Closing debt balance</t>
        </is>
      </c>
      <c r="B10" s="37" t="inlineStr">
        <is>
          <t>ZAR'000</t>
        </is>
      </c>
      <c r="C10" s="40" t="n"/>
      <c r="D10" s="37">
        <f>IF(D$3&lt;=Control!$C$114,D5+D6+D7-D8,D5+D6-D8)</f>
        <v/>
      </c>
      <c r="E10" s="37">
        <f>IF(E$3&lt;=Control!$C$114,E5+E6+E7-E8,E5+E6-E8)</f>
        <v/>
      </c>
      <c r="F10" s="37">
        <f>IF(F$3&lt;=Control!$C$114,F5+F6+F7-F8,F5+F6-F8)</f>
        <v/>
      </c>
      <c r="G10" s="37">
        <f>IF(G$3&lt;=Control!$C$114,G5+G6+G7-G8,G5+G6-G8)</f>
        <v/>
      </c>
      <c r="H10" s="37">
        <f>IF(H$3&lt;=Control!$C$114,H5+H6+H7-H8,H5+H6-H8)</f>
        <v/>
      </c>
      <c r="I10" s="37">
        <f>IF(I$3&lt;=Control!$C$114,I5+I6+I7-I8,I5+I6-I8)</f>
        <v/>
      </c>
      <c r="J10" s="37">
        <f>IF(J$3&lt;=Control!$C$114,J5+J6+J7-J8,J5+J6-J8)</f>
        <v/>
      </c>
      <c r="K10" s="37">
        <f>IF(K$3&lt;=Control!$C$114,K5+K6+K7-K8,K5+K6-K8)</f>
        <v/>
      </c>
      <c r="L10" s="37">
        <f>IF(L$3&lt;=Control!$C$114,L5+L6+L7-L8,L5+L6-L8)</f>
        <v/>
      </c>
      <c r="M10" s="37">
        <f>IF(M$3&lt;=Control!$C$114,M5+M6+M7-M8,M5+M6-M8)</f>
        <v/>
      </c>
      <c r="N10" s="37">
        <f>IF(N$3&lt;=Control!$C$114,N5+N6+N7-N8,N5+N6-N8)</f>
        <v/>
      </c>
      <c r="O10" s="37">
        <f>IF(O$3&lt;=Control!$C$114,O5+O6+O7-O8,O5+O6-O8)</f>
        <v/>
      </c>
      <c r="P10" s="37">
        <f>IF(P$3&lt;=Control!$C$114,P5+P6+P7-P8,P5+P6-P8)</f>
        <v/>
      </c>
      <c r="Q10" s="37">
        <f>IF(Q$3&lt;=Control!$C$114,Q5+Q6+Q7-Q8,Q5+Q6-Q8)</f>
        <v/>
      </c>
      <c r="R10" s="37">
        <f>IF(R$3&lt;=Control!$C$114,R5+R6+R7-R8,R5+R6-R8)</f>
        <v/>
      </c>
      <c r="S10" s="37">
        <f>IF(S$3&lt;=Control!$C$114,S5+S6+S7-S8,S5+S6-S8)</f>
        <v/>
      </c>
      <c r="T10" s="37">
        <f>IF(T$3&lt;=Control!$C$114,T5+T6+T7-T8,T5+T6-T8)</f>
        <v/>
      </c>
      <c r="U10" s="37">
        <f>IF(U$3&lt;=Control!$C$114,U5+U6+U7-U8,U5+U6-U8)</f>
        <v/>
      </c>
      <c r="V10" s="37">
        <f>IF(V$3&lt;=Control!$C$114,V5+V6+V7-V8,V5+V6-V8)</f>
        <v/>
      </c>
      <c r="W10" s="37">
        <f>IF(W$3&lt;=Control!$C$114,W5+W6+W7-W8,W5+W6-W8)</f>
        <v/>
      </c>
      <c r="X10" s="37">
        <f>IF(X$3&lt;=Control!$C$114,X5+X6+X7-X8,X5+X6-X8)</f>
        <v/>
      </c>
      <c r="Y10" s="37">
        <f>IF(Y$3&lt;=Control!$C$114,Y5+Y6+Y7-Y8,Y5+Y6-Y8)</f>
        <v/>
      </c>
      <c r="Z10" s="37">
        <f>IF(Z$3&lt;=Control!$C$114,Z5+Z6+Z7-Z8,Z5+Z6-Z8)</f>
        <v/>
      </c>
      <c r="AA10" s="37">
        <f>IF(AA$3&lt;=Control!$C$114,AA5+AA6+AA7-AA8,AA5+AA6-AA8)</f>
        <v/>
      </c>
      <c r="AB10" s="37">
        <f>IF(AB$3&lt;=Control!$C$114,AB5+AB6+AB7-AB8,AB5+AB6-AB8)</f>
        <v/>
      </c>
      <c r="AC10" s="37">
        <f>IF(AC$3&lt;=Control!$C$114,AC5+AC6+AC7-AC8,AC5+AC6-AC8)</f>
        <v/>
      </c>
      <c r="AD10" s="37">
        <f>IF(AD$3&lt;=Control!$C$114,AD5+AD6+AD7-AD8,AD5+AD6-AD8)</f>
        <v/>
      </c>
      <c r="AE10" s="37">
        <f>IF(AE$3&lt;=Control!$C$114,AE5+AE6+AE7-AE8,AE5+AE6-AE8)</f>
        <v/>
      </c>
      <c r="AF10" s="37">
        <f>IF(AF$3&lt;=Control!$C$114,AF5+AF6+AF7-AF8,AF5+AF6-AF8)</f>
        <v/>
      </c>
      <c r="AG10" s="37">
        <f>IF(AG$3&lt;=Control!$C$114,AG5+AG6+AG7-AG8,AG5+AG6-AG8)</f>
        <v/>
      </c>
      <c r="AH10" s="37">
        <f>IF(AH$3&lt;=Control!$C$114,AH5+AH6+AH7-AH8,AH5+AH6-AH8)</f>
        <v/>
      </c>
      <c r="AI10" s="37">
        <f>IF(AI$3&lt;=Control!$C$114,AI5+AI6+AI7-AI8,AI5+AI6-AI8)</f>
        <v/>
      </c>
      <c r="AJ10" s="37">
        <f>IF(AJ$3&lt;=Control!$C$114,AJ5+AJ6+AJ7-AJ8,AJ5+AJ6-AJ8)</f>
        <v/>
      </c>
      <c r="AK10" s="37">
        <f>IF(AK$3&lt;=Control!$C$114,AK5+AK6+AK7-AK8,AK5+AK6-AK8)</f>
        <v/>
      </c>
      <c r="AL10" s="37">
        <f>IF(AL$3&lt;=Control!$C$114,AL5+AL6+AL7-AL8,AL5+AL6-AL8)</f>
        <v/>
      </c>
      <c r="AM10" s="37">
        <f>IF(AM$3&lt;=Control!$C$114,AM5+AM6+AM7-AM8,AM5+AM6-AM8)</f>
        <v/>
      </c>
      <c r="AN10" s="37">
        <f>IF(AN$3&lt;=Control!$C$114,AN5+AN6+AN7-AN8,AN5+AN6-AN8)</f>
        <v/>
      </c>
      <c r="AO10" s="37">
        <f>IF(AO$3&lt;=Control!$C$114,AO5+AO6+AO7-AO8,AO5+AO6-AO8)</f>
        <v/>
      </c>
      <c r="AP10" s="37">
        <f>IF(AP$3&lt;=Control!$C$114,AP5+AP6+AP7-AP8,AP5+AP6-AP8)</f>
        <v/>
      </c>
      <c r="AQ10" s="37">
        <f>IF(AQ$3&lt;=Control!$C$114,AQ5+AQ6+AQ7-AQ8,AQ5+AQ6-AQ8)</f>
        <v/>
      </c>
      <c r="AR10" s="37">
        <f>IF(AR$3&lt;=Control!$C$114,AR5+AR6+AR7-AR8,AR5+AR6-AR8)</f>
        <v/>
      </c>
      <c r="AS10" s="37">
        <f>IF(AS$3&lt;=Control!$C$114,AS5+AS6+AS7-AS8,AS5+AS6-AS8)</f>
        <v/>
      </c>
      <c r="AT10" s="37">
        <f>IF(AT$3&lt;=Control!$C$114,AT5+AT6+AT7-AT8,AT5+AT6-AT8)</f>
        <v/>
      </c>
      <c r="AU10" s="37">
        <f>IF(AU$3&lt;=Control!$C$114,AU5+AU6+AU7-AU8,AU5+AU6-AU8)</f>
        <v/>
      </c>
      <c r="AV10" s="37">
        <f>IF(AV$3&lt;=Control!$C$114,AV5+AV6+AV7-AV8,AV5+AV6-AV8)</f>
        <v/>
      </c>
      <c r="AW10" s="37">
        <f>IF(AW$3&lt;=Control!$C$114,AW5+AW6+AW7-AW8,AW5+AW6-AW8)</f>
        <v/>
      </c>
      <c r="AX10" s="37">
        <f>IF(AX$3&lt;=Control!$C$114,AX5+AX6+AX7-AX8,AX5+AX6-AX8)</f>
        <v/>
      </c>
      <c r="AY10" s="37">
        <f>IF(AY$3&lt;=Control!$C$114,AY5+AY6+AY7-AY8,AY5+AY6-AY8)</f>
        <v/>
      </c>
      <c r="AZ10" s="37">
        <f>IF(AZ$3&lt;=Control!$C$114,AZ5+AZ6+AZ7-AZ8,AZ5+AZ6-AZ8)</f>
        <v/>
      </c>
      <c r="BA10" s="37">
        <f>IF(BA$3&lt;=Control!$C$114,BA5+BA6+BA7-BA8,BA5+BA6-BA8)</f>
        <v/>
      </c>
      <c r="BB10" s="37">
        <f>IF(BB$3&lt;=Control!$C$114,BB5+BB6+BB7-BB8,BB5+BB6-BB8)</f>
        <v/>
      </c>
      <c r="BC10" s="37">
        <f>IF(BC$3&lt;=Control!$C$114,BC5+BC6+BC7-BC8,BC5+BC6-BC8)</f>
        <v/>
      </c>
      <c r="BD10" s="37">
        <f>IF(BD$3&lt;=Control!$C$114,BD5+BD6+BD7-BD8,BD5+BD6-BD8)</f>
        <v/>
      </c>
      <c r="BE10" s="37">
        <f>IF(BE$3&lt;=Control!$C$114,BE5+BE6+BE7-BE8,BE5+BE6-BE8)</f>
        <v/>
      </c>
      <c r="BF10" s="37">
        <f>IF(BF$3&lt;=Control!$C$114,BF5+BF6+BF7-BF8,BF5+BF6-BF8)</f>
        <v/>
      </c>
      <c r="BG10" s="37">
        <f>IF(BG$3&lt;=Control!$C$114,BG5+BG6+BG7-BG8,BG5+BG6-BG8)</f>
        <v/>
      </c>
      <c r="BH10" s="37">
        <f>IF(BH$3&lt;=Control!$C$114,BH5+BH6+BH7-BH8,BH5+BH6-BH8)</f>
        <v/>
      </c>
      <c r="BI10" s="37">
        <f>IF(BI$3&lt;=Control!$C$114,BI5+BI6+BI7-BI8,BI5+BI6-BI8)</f>
        <v/>
      </c>
      <c r="BJ10" s="37">
        <f>IF(BJ$3&lt;=Control!$C$114,BJ5+BJ6+BJ7-BJ8,BJ5+BJ6-BJ8)</f>
        <v/>
      </c>
      <c r="BK10" s="37">
        <f>IF(BK$3&lt;=Control!$C$114,BK5+BK6+BK7-BK8,BK5+BK6-BK8)</f>
        <v/>
      </c>
      <c r="BL10" s="40" t="n"/>
      <c r="BM10" s="40" t="n"/>
    </row>
    <row r="11">
      <c r="A11" s="37" t="inlineStr">
        <is>
          <t>Cumulative draws</t>
        </is>
      </c>
      <c r="B11" s="37" t="inlineStr">
        <is>
          <t>ZAR'000</t>
        </is>
      </c>
      <c r="C11" s="40" t="n"/>
      <c r="D11" s="37">
        <f>D6</f>
        <v/>
      </c>
      <c r="E11" s="37">
        <f>D11+E6</f>
        <v/>
      </c>
      <c r="F11" s="37">
        <f>E11+F6</f>
        <v/>
      </c>
      <c r="G11" s="37">
        <f>F11+G6</f>
        <v/>
      </c>
      <c r="H11" s="37">
        <f>G11+H6</f>
        <v/>
      </c>
      <c r="I11" s="37">
        <f>H11+I6</f>
        <v/>
      </c>
      <c r="J11" s="37">
        <f>I11+J6</f>
        <v/>
      </c>
      <c r="K11" s="37">
        <f>J11+K6</f>
        <v/>
      </c>
      <c r="L11" s="37">
        <f>K11+L6</f>
        <v/>
      </c>
      <c r="M11" s="37">
        <f>L11+M6</f>
        <v/>
      </c>
      <c r="N11" s="37">
        <f>M11+N6</f>
        <v/>
      </c>
      <c r="O11" s="37">
        <f>N11+O6</f>
        <v/>
      </c>
      <c r="P11" s="37">
        <f>O11+P6</f>
        <v/>
      </c>
      <c r="Q11" s="37">
        <f>P11+Q6</f>
        <v/>
      </c>
      <c r="R11" s="37">
        <f>Q11+R6</f>
        <v/>
      </c>
      <c r="S11" s="37">
        <f>R11+S6</f>
        <v/>
      </c>
      <c r="T11" s="37">
        <f>S11+T6</f>
        <v/>
      </c>
      <c r="U11" s="37">
        <f>T11+U6</f>
        <v/>
      </c>
      <c r="V11" s="37">
        <f>U11+V6</f>
        <v/>
      </c>
      <c r="W11" s="37">
        <f>V11+W6</f>
        <v/>
      </c>
      <c r="X11" s="37">
        <f>W11+X6</f>
        <v/>
      </c>
      <c r="Y11" s="37">
        <f>X11+Y6</f>
        <v/>
      </c>
      <c r="Z11" s="37">
        <f>Y11+Z6</f>
        <v/>
      </c>
      <c r="AA11" s="37">
        <f>Z11+AA6</f>
        <v/>
      </c>
      <c r="AB11" s="37">
        <f>AA11+AB6</f>
        <v/>
      </c>
      <c r="AC11" s="37">
        <f>AB11+AC6</f>
        <v/>
      </c>
      <c r="AD11" s="37">
        <f>AC11+AD6</f>
        <v/>
      </c>
      <c r="AE11" s="37">
        <f>AD11+AE6</f>
        <v/>
      </c>
      <c r="AF11" s="37">
        <f>AE11+AF6</f>
        <v/>
      </c>
      <c r="AG11" s="37">
        <f>AF11+AG6</f>
        <v/>
      </c>
      <c r="AH11" s="37">
        <f>AG11+AH6</f>
        <v/>
      </c>
      <c r="AI11" s="37">
        <f>AH11+AI6</f>
        <v/>
      </c>
      <c r="AJ11" s="37">
        <f>AI11+AJ6</f>
        <v/>
      </c>
      <c r="AK11" s="37">
        <f>AJ11+AK6</f>
        <v/>
      </c>
      <c r="AL11" s="37">
        <f>AK11+AL6</f>
        <v/>
      </c>
      <c r="AM11" s="37">
        <f>AL11+AM6</f>
        <v/>
      </c>
      <c r="AN11" s="37">
        <f>AM11+AN6</f>
        <v/>
      </c>
      <c r="AO11" s="37">
        <f>AN11+AO6</f>
        <v/>
      </c>
      <c r="AP11" s="37">
        <f>AO11+AP6</f>
        <v/>
      </c>
      <c r="AQ11" s="37">
        <f>AP11+AQ6</f>
        <v/>
      </c>
      <c r="AR11" s="37">
        <f>AQ11+AR6</f>
        <v/>
      </c>
      <c r="AS11" s="37">
        <f>AR11+AS6</f>
        <v/>
      </c>
      <c r="AT11" s="37">
        <f>AS11+AT6</f>
        <v/>
      </c>
      <c r="AU11" s="37">
        <f>AT11+AU6</f>
        <v/>
      </c>
      <c r="AV11" s="37">
        <f>AU11+AV6</f>
        <v/>
      </c>
      <c r="AW11" s="37">
        <f>AV11+AW6</f>
        <v/>
      </c>
      <c r="AX11" s="37">
        <f>AW11+AX6</f>
        <v/>
      </c>
      <c r="AY11" s="37">
        <f>AX11+AY6</f>
        <v/>
      </c>
      <c r="AZ11" s="37">
        <f>AY11+AZ6</f>
        <v/>
      </c>
      <c r="BA11" s="37">
        <f>AZ11+BA6</f>
        <v/>
      </c>
      <c r="BB11" s="37">
        <f>BA11+BB6</f>
        <v/>
      </c>
      <c r="BC11" s="37">
        <f>BB11+BC6</f>
        <v/>
      </c>
      <c r="BD11" s="37">
        <f>BC11+BD6</f>
        <v/>
      </c>
      <c r="BE11" s="37">
        <f>BD11+BE6</f>
        <v/>
      </c>
      <c r="BF11" s="37">
        <f>BE11+BF6</f>
        <v/>
      </c>
      <c r="BG11" s="37">
        <f>BF11+BG6</f>
        <v/>
      </c>
      <c r="BH11" s="37">
        <f>BG11+BH6</f>
        <v/>
      </c>
      <c r="BI11" s="37">
        <f>BH11+BI6</f>
        <v/>
      </c>
      <c r="BJ11" s="37">
        <f>BI11+BJ6</f>
        <v/>
      </c>
      <c r="BK11" s="37">
        <f>BJ11+BK6</f>
        <v/>
      </c>
      <c r="BL11" s="40" t="n"/>
      <c r="BM11" s="40" t="n"/>
    </row>
    <row r="12">
      <c r="A12" s="37" t="inlineStr">
        <is>
          <t>Cumulative interest</t>
        </is>
      </c>
      <c r="B12" s="37" t="inlineStr">
        <is>
          <t>ZAR'000</t>
        </is>
      </c>
      <c r="C12" s="40" t="n"/>
      <c r="D12" s="37">
        <f>D7</f>
        <v/>
      </c>
      <c r="E12" s="37">
        <f>D12+E7</f>
        <v/>
      </c>
      <c r="F12" s="37">
        <f>E12+F7</f>
        <v/>
      </c>
      <c r="G12" s="37">
        <f>F12+G7</f>
        <v/>
      </c>
      <c r="H12" s="37">
        <f>G12+H7</f>
        <v/>
      </c>
      <c r="I12" s="37">
        <f>H12+I7</f>
        <v/>
      </c>
      <c r="J12" s="37">
        <f>I12+J7</f>
        <v/>
      </c>
      <c r="K12" s="37">
        <f>J12+K7</f>
        <v/>
      </c>
      <c r="L12" s="37">
        <f>K12+L7</f>
        <v/>
      </c>
      <c r="M12" s="37">
        <f>L12+M7</f>
        <v/>
      </c>
      <c r="N12" s="37">
        <f>M12+N7</f>
        <v/>
      </c>
      <c r="O12" s="37">
        <f>N12+O7</f>
        <v/>
      </c>
      <c r="P12" s="37">
        <f>O12+P7</f>
        <v/>
      </c>
      <c r="Q12" s="37">
        <f>P12+Q7</f>
        <v/>
      </c>
      <c r="R12" s="37">
        <f>Q12+R7</f>
        <v/>
      </c>
      <c r="S12" s="37">
        <f>R12+S7</f>
        <v/>
      </c>
      <c r="T12" s="37">
        <f>S12+T7</f>
        <v/>
      </c>
      <c r="U12" s="37">
        <f>T12+U7</f>
        <v/>
      </c>
      <c r="V12" s="37">
        <f>U12+V7</f>
        <v/>
      </c>
      <c r="W12" s="37">
        <f>V12+W7</f>
        <v/>
      </c>
      <c r="X12" s="37">
        <f>W12+X7</f>
        <v/>
      </c>
      <c r="Y12" s="37">
        <f>X12+Y7</f>
        <v/>
      </c>
      <c r="Z12" s="37">
        <f>Y12+Z7</f>
        <v/>
      </c>
      <c r="AA12" s="37">
        <f>Z12+AA7</f>
        <v/>
      </c>
      <c r="AB12" s="37">
        <f>AA12+AB7</f>
        <v/>
      </c>
      <c r="AC12" s="37">
        <f>AB12+AC7</f>
        <v/>
      </c>
      <c r="AD12" s="37">
        <f>AC12+AD7</f>
        <v/>
      </c>
      <c r="AE12" s="37">
        <f>AD12+AE7</f>
        <v/>
      </c>
      <c r="AF12" s="37">
        <f>AE12+AF7</f>
        <v/>
      </c>
      <c r="AG12" s="37">
        <f>AF12+AG7</f>
        <v/>
      </c>
      <c r="AH12" s="37">
        <f>AG12+AH7</f>
        <v/>
      </c>
      <c r="AI12" s="37">
        <f>AH12+AI7</f>
        <v/>
      </c>
      <c r="AJ12" s="37">
        <f>AI12+AJ7</f>
        <v/>
      </c>
      <c r="AK12" s="37">
        <f>AJ12+AK7</f>
        <v/>
      </c>
      <c r="AL12" s="37">
        <f>AK12+AL7</f>
        <v/>
      </c>
      <c r="AM12" s="37">
        <f>AL12+AM7</f>
        <v/>
      </c>
      <c r="AN12" s="37">
        <f>AM12+AN7</f>
        <v/>
      </c>
      <c r="AO12" s="37">
        <f>AN12+AO7</f>
        <v/>
      </c>
      <c r="AP12" s="37">
        <f>AO12+AP7</f>
        <v/>
      </c>
      <c r="AQ12" s="37">
        <f>AP12+AQ7</f>
        <v/>
      </c>
      <c r="AR12" s="37">
        <f>AQ12+AR7</f>
        <v/>
      </c>
      <c r="AS12" s="37">
        <f>AR12+AS7</f>
        <v/>
      </c>
      <c r="AT12" s="37">
        <f>AS12+AT7</f>
        <v/>
      </c>
      <c r="AU12" s="37">
        <f>AT12+AU7</f>
        <v/>
      </c>
      <c r="AV12" s="37">
        <f>AU12+AV7</f>
        <v/>
      </c>
      <c r="AW12" s="37">
        <f>AV12+AW7</f>
        <v/>
      </c>
      <c r="AX12" s="37">
        <f>AW12+AX7</f>
        <v/>
      </c>
      <c r="AY12" s="37">
        <f>AX12+AY7</f>
        <v/>
      </c>
      <c r="AZ12" s="37">
        <f>AY12+AZ7</f>
        <v/>
      </c>
      <c r="BA12" s="37">
        <f>AZ12+BA7</f>
        <v/>
      </c>
      <c r="BB12" s="37">
        <f>BA12+BB7</f>
        <v/>
      </c>
      <c r="BC12" s="37">
        <f>BB12+BC7</f>
        <v/>
      </c>
      <c r="BD12" s="37">
        <f>BC12+BD7</f>
        <v/>
      </c>
      <c r="BE12" s="37">
        <f>BD12+BE7</f>
        <v/>
      </c>
      <c r="BF12" s="37">
        <f>BE12+BF7</f>
        <v/>
      </c>
      <c r="BG12" s="37">
        <f>BF12+BG7</f>
        <v/>
      </c>
      <c r="BH12" s="37">
        <f>BG12+BH7</f>
        <v/>
      </c>
      <c r="BI12" s="37">
        <f>BH12+BI7</f>
        <v/>
      </c>
      <c r="BJ12" s="37">
        <f>BI12+BJ7</f>
        <v/>
      </c>
      <c r="BK12" s="37">
        <f>BJ12+BK7</f>
        <v/>
      </c>
      <c r="BL12" s="40" t="n"/>
      <c r="BM12" s="40" t="n"/>
    </row>
  </sheetData>
  <mergeCells count="2">
    <mergeCell ref="A1:BM1"/>
    <mergeCell ref="A2:BM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9"/>
  <sheetViews>
    <sheetView showGridLines="0" workbookViewId="0">
      <selection activeCell="A1" sqref="A1"/>
    </sheetView>
  </sheetViews>
  <sheetFormatPr baseColWidth="8" defaultRowHeight="15"/>
  <cols>
    <col width="32" customWidth="1" min="1" max="1"/>
    <col width="16"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10-Year Site &amp; Solar Ramp</t>
        </is>
      </c>
    </row>
    <row r="2">
      <c r="A2" s="5" t="inlineStr">
        <is>
          <t>Blue rows are the long-dated platform build assumptions. Base case reaches 2GW by 2034/2035.</t>
        </is>
      </c>
    </row>
    <row r="3">
      <c r="D3" s="16" t="n">
        <v>2026</v>
      </c>
      <c r="E3" s="16" t="n">
        <v>2027</v>
      </c>
      <c r="F3" s="16" t="n">
        <v>2028</v>
      </c>
      <c r="G3" s="16" t="n">
        <v>2029</v>
      </c>
      <c r="H3" s="16" t="n">
        <v>2030</v>
      </c>
      <c r="I3" s="16" t="n">
        <v>2031</v>
      </c>
      <c r="J3" s="16" t="n">
        <v>2032</v>
      </c>
      <c r="K3" s="16" t="n">
        <v>2033</v>
      </c>
      <c r="L3" s="16" t="n">
        <v>2034</v>
      </c>
      <c r="M3" s="16" t="n">
        <v>2035</v>
      </c>
    </row>
    <row r="4">
      <c r="D4" s="17" t="n">
        <v>2026</v>
      </c>
      <c r="E4" s="17" t="n">
        <v>2027</v>
      </c>
      <c r="F4" s="17" t="n">
        <v>2028</v>
      </c>
      <c r="G4" s="17" t="n">
        <v>2029</v>
      </c>
      <c r="H4" s="17" t="n">
        <v>2030</v>
      </c>
      <c r="I4" s="17" t="n">
        <v>2031</v>
      </c>
      <c r="J4" s="17" t="n">
        <v>2032</v>
      </c>
      <c r="K4" s="17" t="n">
        <v>2033</v>
      </c>
      <c r="L4" s="17" t="n">
        <v>2034</v>
      </c>
      <c r="M4" s="17" t="n">
        <v>2035</v>
      </c>
    </row>
    <row r="7">
      <c r="A7" s="7" t="inlineStr">
        <is>
          <t>Grootvlei compute MW</t>
        </is>
      </c>
      <c r="B7" s="5" t="inlineStr">
        <is>
          <t>MW</t>
        </is>
      </c>
      <c r="D7" s="10" t="n">
        <v>15</v>
      </c>
      <c r="E7" s="10" t="n">
        <v>40</v>
      </c>
      <c r="F7" s="10" t="n">
        <v>60</v>
      </c>
      <c r="G7" s="10" t="n">
        <v>80</v>
      </c>
      <c r="H7" s="10" t="n">
        <v>100</v>
      </c>
      <c r="I7" s="10" t="n">
        <v>120</v>
      </c>
      <c r="J7" s="10" t="n">
        <v>140</v>
      </c>
      <c r="K7" s="10" t="n">
        <v>160</v>
      </c>
      <c r="L7" s="10" t="n">
        <v>180</v>
      </c>
      <c r="M7" s="10" t="n">
        <v>200</v>
      </c>
    </row>
    <row r="8">
      <c r="A8" s="7" t="inlineStr">
        <is>
          <t>AMSA VB compute MW</t>
        </is>
      </c>
      <c r="B8" s="5" t="inlineStr">
        <is>
          <t>MW</t>
        </is>
      </c>
      <c r="D8" s="10" t="n">
        <v>5</v>
      </c>
      <c r="E8" s="10" t="n">
        <v>40</v>
      </c>
      <c r="F8" s="10" t="n">
        <v>120</v>
      </c>
      <c r="G8" s="10" t="n">
        <v>200</v>
      </c>
      <c r="H8" s="10" t="n">
        <v>220</v>
      </c>
      <c r="I8" s="10" t="n">
        <v>230</v>
      </c>
      <c r="J8" s="10" t="n">
        <v>240</v>
      </c>
      <c r="K8" s="10" t="n">
        <v>250</v>
      </c>
      <c r="L8" s="10" t="n">
        <v>250</v>
      </c>
      <c r="M8" s="10" t="n">
        <v>250</v>
      </c>
    </row>
    <row r="9">
      <c r="A9" s="7" t="inlineStr">
        <is>
          <t>AMSA Newcastle compute MW</t>
        </is>
      </c>
      <c r="B9" s="5" t="inlineStr">
        <is>
          <t>MW</t>
        </is>
      </c>
      <c r="D9" s="10" t="n">
        <v>0</v>
      </c>
      <c r="E9" s="10" t="n">
        <v>20</v>
      </c>
      <c r="F9" s="10" t="n">
        <v>80</v>
      </c>
      <c r="G9" s="10" t="n">
        <v>150</v>
      </c>
      <c r="H9" s="10" t="n">
        <v>220</v>
      </c>
      <c r="I9" s="10" t="n">
        <v>300</v>
      </c>
      <c r="J9" s="10" t="n">
        <v>360</v>
      </c>
      <c r="K9" s="10" t="n">
        <v>430</v>
      </c>
      <c r="L9" s="10" t="n">
        <v>500</v>
      </c>
      <c r="M9" s="10" t="n">
        <v>500</v>
      </c>
    </row>
    <row r="10">
      <c r="A10" s="7" t="inlineStr">
        <is>
          <t>Saldanha compute MW</t>
        </is>
      </c>
      <c r="B10" s="5" t="inlineStr">
        <is>
          <t>MW</t>
        </is>
      </c>
      <c r="D10" s="10" t="n">
        <v>0</v>
      </c>
      <c r="E10" s="10" t="n">
        <v>20</v>
      </c>
      <c r="F10" s="10" t="n">
        <v>80</v>
      </c>
      <c r="G10" s="10" t="n">
        <v>120</v>
      </c>
      <c r="H10" s="10" t="n">
        <v>220</v>
      </c>
      <c r="I10" s="10" t="n">
        <v>300</v>
      </c>
      <c r="J10" s="10" t="n">
        <v>360</v>
      </c>
      <c r="K10" s="10" t="n">
        <v>430</v>
      </c>
      <c r="L10" s="10" t="n">
        <v>500</v>
      </c>
      <c r="M10" s="10" t="n">
        <v>500</v>
      </c>
    </row>
    <row r="11">
      <c r="A11" s="7" t="inlineStr">
        <is>
          <t>Komati compute MW</t>
        </is>
      </c>
      <c r="B11" s="5" t="inlineStr">
        <is>
          <t>MW</t>
        </is>
      </c>
      <c r="D11" s="10" t="n">
        <v>0</v>
      </c>
      <c r="E11" s="10" t="n">
        <v>60</v>
      </c>
      <c r="F11" s="10" t="n">
        <v>130</v>
      </c>
      <c r="G11" s="10" t="n">
        <v>150</v>
      </c>
      <c r="H11" s="10" t="n">
        <v>440</v>
      </c>
      <c r="I11" s="10" t="n">
        <v>450</v>
      </c>
      <c r="J11" s="10" t="n">
        <v>500</v>
      </c>
      <c r="K11" s="10" t="n">
        <v>530</v>
      </c>
      <c r="L11" s="10" t="n">
        <v>570</v>
      </c>
      <c r="M11" s="10" t="n">
        <v>550</v>
      </c>
    </row>
    <row r="12">
      <c r="A12" s="19" t="inlineStr">
        <is>
          <t>Total compute MW</t>
        </is>
      </c>
      <c r="B12" s="20" t="inlineStr">
        <is>
          <t>MW</t>
        </is>
      </c>
      <c r="C12" s="21" t="n"/>
      <c r="D12" s="22">
        <f>SUM(D7:D11)</f>
        <v/>
      </c>
      <c r="E12" s="22">
        <f>SUM(E7:E11)</f>
        <v/>
      </c>
      <c r="F12" s="22">
        <f>SUM(F7:F11)</f>
        <v/>
      </c>
      <c r="G12" s="22">
        <f>SUM(G7:G11)</f>
        <v/>
      </c>
      <c r="H12" s="22">
        <f>SUM(H7:H11)</f>
        <v/>
      </c>
      <c r="I12" s="22">
        <f>SUM(I7:I11)</f>
        <v/>
      </c>
      <c r="J12" s="22">
        <f>SUM(J7:J11)</f>
        <v/>
      </c>
      <c r="K12" s="22">
        <f>SUM(K7:K11)</f>
        <v/>
      </c>
      <c r="L12" s="22">
        <f>SUM(L7:L11)</f>
        <v/>
      </c>
      <c r="M12" s="22">
        <f>SUM(M7:M11)</f>
        <v/>
      </c>
    </row>
    <row r="15">
      <c r="A15" s="7" t="inlineStr">
        <is>
          <t>AMSA VB solar MW</t>
        </is>
      </c>
      <c r="B15" s="5" t="inlineStr">
        <is>
          <t>MW</t>
        </is>
      </c>
      <c r="D15" s="10" t="n">
        <v>10</v>
      </c>
      <c r="E15" s="10" t="n">
        <v>180</v>
      </c>
      <c r="F15" s="10" t="n">
        <v>250</v>
      </c>
      <c r="G15" s="10" t="n">
        <v>250</v>
      </c>
      <c r="H15" s="10" t="n">
        <v>250</v>
      </c>
      <c r="I15" s="10" t="n">
        <v>250</v>
      </c>
      <c r="J15" s="10" t="n">
        <v>250</v>
      </c>
      <c r="K15" s="10" t="n">
        <v>250</v>
      </c>
      <c r="L15" s="10" t="n">
        <v>250</v>
      </c>
      <c r="M15" s="10" t="n">
        <v>250</v>
      </c>
    </row>
    <row r="16">
      <c r="A16" s="7" t="inlineStr">
        <is>
          <t>AMSA Newcastle solar MW</t>
        </is>
      </c>
      <c r="B16" s="5" t="inlineStr">
        <is>
          <t>MW</t>
        </is>
      </c>
      <c r="D16" s="10" t="n">
        <v>0</v>
      </c>
      <c r="E16" s="10" t="n">
        <v>0</v>
      </c>
      <c r="F16" s="10" t="n">
        <v>50</v>
      </c>
      <c r="G16" s="10" t="n">
        <v>100</v>
      </c>
      <c r="H16" s="10" t="n">
        <v>150</v>
      </c>
      <c r="I16" s="10" t="n">
        <v>200</v>
      </c>
      <c r="J16" s="10" t="n">
        <v>250</v>
      </c>
      <c r="K16" s="10" t="n">
        <v>250</v>
      </c>
      <c r="L16" s="10" t="n">
        <v>250</v>
      </c>
      <c r="M16" s="10" t="n">
        <v>250</v>
      </c>
    </row>
    <row r="17">
      <c r="A17" s="7" t="inlineStr">
        <is>
          <t>Saldanha solar MW</t>
        </is>
      </c>
      <c r="B17" s="5" t="inlineStr">
        <is>
          <t>MW</t>
        </is>
      </c>
      <c r="D17" s="10" t="n">
        <v>0</v>
      </c>
      <c r="E17" s="10" t="n">
        <v>0</v>
      </c>
      <c r="F17" s="10" t="n">
        <v>0</v>
      </c>
      <c r="G17" s="10" t="n">
        <v>50</v>
      </c>
      <c r="H17" s="10" t="n">
        <v>100</v>
      </c>
      <c r="I17" s="10" t="n">
        <v>150</v>
      </c>
      <c r="J17" s="10" t="n">
        <v>200</v>
      </c>
      <c r="K17" s="10" t="n">
        <v>250</v>
      </c>
      <c r="L17" s="10" t="n">
        <v>250</v>
      </c>
      <c r="M17" s="10" t="n">
        <v>250</v>
      </c>
    </row>
    <row r="18">
      <c r="A18" s="7" t="inlineStr">
        <is>
          <t>Komati solar MW</t>
        </is>
      </c>
      <c r="B18" s="5" t="inlineStr">
        <is>
          <t>MW</t>
        </is>
      </c>
      <c r="D18" s="10" t="n">
        <v>0</v>
      </c>
      <c r="E18" s="10" t="n">
        <v>0</v>
      </c>
      <c r="F18" s="10" t="n">
        <v>0</v>
      </c>
      <c r="G18" s="10" t="n">
        <v>20</v>
      </c>
      <c r="H18" s="10" t="n">
        <v>40</v>
      </c>
      <c r="I18" s="10" t="n">
        <v>60</v>
      </c>
      <c r="J18" s="10" t="n">
        <v>80</v>
      </c>
      <c r="K18" s="10" t="n">
        <v>100</v>
      </c>
      <c r="L18" s="10" t="n">
        <v>120</v>
      </c>
      <c r="M18" s="10" t="n">
        <v>150</v>
      </c>
    </row>
    <row r="19">
      <c r="A19" s="19" t="inlineStr">
        <is>
          <t>Total solar MW</t>
        </is>
      </c>
      <c r="B19" s="20" t="inlineStr">
        <is>
          <t>MW</t>
        </is>
      </c>
      <c r="C19" s="21" t="n"/>
      <c r="D19" s="22">
        <f>SUM(D15:D18)</f>
        <v/>
      </c>
      <c r="E19" s="22">
        <f>SUM(E15:E18)</f>
        <v/>
      </c>
      <c r="F19" s="22">
        <f>SUM(F15:F18)</f>
        <v/>
      </c>
      <c r="G19" s="22">
        <f>SUM(G15:G18)</f>
        <v/>
      </c>
      <c r="H19" s="22">
        <f>SUM(H15:H18)</f>
        <v/>
      </c>
      <c r="I19" s="22">
        <f>SUM(I15:I18)</f>
        <v/>
      </c>
      <c r="J19" s="22">
        <f>SUM(J15:J18)</f>
        <v/>
      </c>
      <c r="K19" s="22">
        <f>SUM(K15:K18)</f>
        <v/>
      </c>
      <c r="L19" s="22">
        <f>SUM(L15:L18)</f>
        <v/>
      </c>
      <c r="M19" s="22">
        <f>SUM(M15:M18)</f>
        <v/>
      </c>
    </row>
  </sheetData>
  <mergeCells count="1">
    <mergeCell ref="A1:M1"/>
  </mergeCell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41"/>
  <sheetViews>
    <sheetView showGridLines="0" workbookViewId="0">
      <selection activeCell="A1" sqref="A1"/>
    </sheetView>
  </sheetViews>
  <sheetFormatPr baseColWidth="8" defaultRowHeight="15"/>
  <cols>
    <col width="32" customWidth="1" min="1" max="1"/>
    <col width="16"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10-Year Platform Model</t>
        </is>
      </c>
    </row>
    <row r="2">
      <c r="A2" s="5" t="inlineStr">
        <is>
          <t>Simplified annual portfolio model. Phase 1 monthly sheet is the authoritative view for year one; this annual view supports strategic sizing and stress tests.</t>
        </is>
      </c>
    </row>
    <row r="3">
      <c r="D3" s="16" t="n">
        <v>2026</v>
      </c>
      <c r="E3" s="16" t="n">
        <v>2027</v>
      </c>
      <c r="F3" s="16" t="n">
        <v>2028</v>
      </c>
      <c r="G3" s="16" t="n">
        <v>2029</v>
      </c>
      <c r="H3" s="16" t="n">
        <v>2030</v>
      </c>
      <c r="I3" s="16" t="n">
        <v>2031</v>
      </c>
      <c r="J3" s="16" t="n">
        <v>2032</v>
      </c>
      <c r="K3" s="16" t="n">
        <v>2033</v>
      </c>
      <c r="L3" s="16" t="n">
        <v>2034</v>
      </c>
      <c r="M3" s="16" t="n">
        <v>2035</v>
      </c>
    </row>
    <row r="4">
      <c r="D4" s="17" t="n">
        <v>2026</v>
      </c>
      <c r="E4" s="17" t="n">
        <v>2027</v>
      </c>
      <c r="F4" s="17" t="n">
        <v>2028</v>
      </c>
      <c r="G4" s="17" t="n">
        <v>2029</v>
      </c>
      <c r="H4" s="17" t="n">
        <v>2030</v>
      </c>
      <c r="I4" s="17" t="n">
        <v>2031</v>
      </c>
      <c r="J4" s="17" t="n">
        <v>2032</v>
      </c>
      <c r="K4" s="17" t="n">
        <v>2033</v>
      </c>
      <c r="L4" s="17" t="n">
        <v>2034</v>
      </c>
      <c r="M4" s="17" t="n">
        <v>2035</v>
      </c>
    </row>
    <row r="5">
      <c r="A5" s="25" t="inlineStr">
        <is>
          <t>Total compute MW</t>
        </is>
      </c>
      <c r="B5" s="20" t="inlineStr">
        <is>
          <t>MW</t>
        </is>
      </c>
      <c r="C5" s="21" t="n"/>
      <c r="D5" s="22">
        <f>'10Y_Ramp'!D12</f>
        <v/>
      </c>
      <c r="E5" s="22">
        <f>'10Y_Ramp'!E12</f>
        <v/>
      </c>
      <c r="F5" s="22">
        <f>'10Y_Ramp'!F12</f>
        <v/>
      </c>
      <c r="G5" s="22">
        <f>'10Y_Ramp'!G12</f>
        <v/>
      </c>
      <c r="H5" s="22">
        <f>'10Y_Ramp'!H12</f>
        <v/>
      </c>
      <c r="I5" s="22">
        <f>'10Y_Ramp'!I12</f>
        <v/>
      </c>
      <c r="J5" s="22">
        <f>'10Y_Ramp'!J12</f>
        <v/>
      </c>
      <c r="K5" s="22">
        <f>'10Y_Ramp'!K12</f>
        <v/>
      </c>
      <c r="L5" s="22">
        <f>'10Y_Ramp'!L12</f>
        <v/>
      </c>
      <c r="M5" s="22">
        <f>'10Y_Ramp'!M12</f>
        <v/>
      </c>
      <c r="N5" s="22" t="n"/>
      <c r="O5" s="22" t="n"/>
    </row>
    <row r="6">
      <c r="A6" s="25" t="inlineStr">
        <is>
          <t>Total solar MW</t>
        </is>
      </c>
      <c r="B6" s="20" t="inlineStr">
        <is>
          <t>MW</t>
        </is>
      </c>
      <c r="C6" s="21" t="n"/>
      <c r="D6" s="22">
        <f>'10Y_Ramp'!D19</f>
        <v/>
      </c>
      <c r="E6" s="22">
        <f>'10Y_Ramp'!E19</f>
        <v/>
      </c>
      <c r="F6" s="22">
        <f>'10Y_Ramp'!F19</f>
        <v/>
      </c>
      <c r="G6" s="22">
        <f>'10Y_Ramp'!G19</f>
        <v/>
      </c>
      <c r="H6" s="22">
        <f>'10Y_Ramp'!H19</f>
        <v/>
      </c>
      <c r="I6" s="22">
        <f>'10Y_Ramp'!I19</f>
        <v/>
      </c>
      <c r="J6" s="22">
        <f>'10Y_Ramp'!J19</f>
        <v/>
      </c>
      <c r="K6" s="22">
        <f>'10Y_Ramp'!K19</f>
        <v/>
      </c>
      <c r="L6" s="22">
        <f>'10Y_Ramp'!L19</f>
        <v/>
      </c>
      <c r="M6" s="22">
        <f>'10Y_Ramp'!M19</f>
        <v/>
      </c>
      <c r="N6" s="22" t="n"/>
      <c r="O6" s="22" t="n"/>
    </row>
    <row r="7">
      <c r="A7" s="7" t="inlineStr">
        <is>
          <t>Installed miners</t>
        </is>
      </c>
      <c r="B7" s="5" t="inlineStr">
        <is>
          <t>miners</t>
        </is>
      </c>
      <c r="D7" s="14">
        <f>(D5/(1+Control!$C$34))*1000000/Control!$C$32</f>
        <v/>
      </c>
      <c r="E7" s="14">
        <f>(E5/(1+Control!$C$34))*1000000/Control!$C$32</f>
        <v/>
      </c>
      <c r="F7" s="14">
        <f>(F5/(1+Control!$C$34))*1000000/Control!$C$32</f>
        <v/>
      </c>
      <c r="G7" s="14">
        <f>(G5/(1+Control!$C$34))*1000000/Control!$C$32</f>
        <v/>
      </c>
      <c r="H7" s="14">
        <f>(H5/(1+Control!$C$34))*1000000/Control!$C$32</f>
        <v/>
      </c>
      <c r="I7" s="14">
        <f>(I5/(1+Control!$C$34))*1000000/Control!$C$32</f>
        <v/>
      </c>
      <c r="J7" s="14">
        <f>(J5/(1+Control!$C$34))*1000000/Control!$C$32</f>
        <v/>
      </c>
      <c r="K7" s="14">
        <f>(K5/(1+Control!$C$34))*1000000/Control!$C$32</f>
        <v/>
      </c>
      <c r="L7" s="14">
        <f>(L5/(1+Control!$C$34))*1000000/Control!$C$32</f>
        <v/>
      </c>
      <c r="M7" s="14">
        <f>(M5/(1+Control!$C$34))*1000000/Control!$C$32</f>
        <v/>
      </c>
      <c r="N7" s="14" t="n"/>
      <c r="O7" s="14" t="n"/>
    </row>
    <row r="8">
      <c r="A8" s="7" t="inlineStr">
        <is>
          <t>Effective hashrate</t>
        </is>
      </c>
      <c r="B8" s="5" t="inlineStr">
        <is>
          <t>TH/s</t>
        </is>
      </c>
      <c r="D8" s="27">
        <f>(('10Y_Ramp'!D7/(1+Control!$C$34))*1000000/Control!$C$32)*Control!$C$30*(Control!$C$21/24)*Control!$C$14+(('10Y_Ramp'!D8/(1+Control!$C$34))*1000000/Control!$C$32)*Control!$C$30*((Control!$C$22+Control!$C$23)/24)*Control!$C$14+(('10Y_Ramp'!D9/(1+Control!$C$34))*1000000/Control!$C$32)*Control!$C$30*((Control!$C$22+Control!$C$23)/24)*Control!$C$14+(('10Y_Ramp'!D10/(1+Control!$C$34))*1000000/Control!$C$32)*Control!$C$30*((Control!$C$22+Control!$C$23)/24)*Control!$C$14+(('10Y_Ramp'!D11/(1+Control!$C$34))*1000000/Control!$C$32)*Control!$C$30*((Control!$C$22+Control!$C$23)/24)*Control!$C$14</f>
        <v/>
      </c>
      <c r="E8" s="27">
        <f>(('10Y_Ramp'!E7/(1+Control!$C$34))*1000000/Control!$C$32)*Control!$C$30*(Control!$C$21/24)*Control!$C$14+(('10Y_Ramp'!E8/(1+Control!$C$34))*1000000/Control!$C$32)*Control!$C$30*((Control!$C$22+Control!$C$23)/24)*Control!$C$14+(('10Y_Ramp'!E9/(1+Control!$C$34))*1000000/Control!$C$32)*Control!$C$30*((Control!$C$22+Control!$C$23)/24)*Control!$C$14+(('10Y_Ramp'!E10/(1+Control!$C$34))*1000000/Control!$C$32)*Control!$C$30*((Control!$C$22+Control!$C$23)/24)*Control!$C$14+(('10Y_Ramp'!E11/(1+Control!$C$34))*1000000/Control!$C$32)*Control!$C$30*((Control!$C$22+Control!$C$23)/24)*Control!$C$14</f>
        <v/>
      </c>
      <c r="F8" s="27">
        <f>(('10Y_Ramp'!F7/(1+Control!$C$34))*1000000/Control!$C$32)*Control!$C$30*(Control!$C$21/24)*Control!$C$14+(('10Y_Ramp'!F8/(1+Control!$C$34))*1000000/Control!$C$32)*Control!$C$30*((Control!$C$22+Control!$C$23)/24)*Control!$C$14+(('10Y_Ramp'!F9/(1+Control!$C$34))*1000000/Control!$C$32)*Control!$C$30*((Control!$C$22+Control!$C$23)/24)*Control!$C$14+(('10Y_Ramp'!F10/(1+Control!$C$34))*1000000/Control!$C$32)*Control!$C$30*((Control!$C$22+Control!$C$23)/24)*Control!$C$14+(('10Y_Ramp'!F11/(1+Control!$C$34))*1000000/Control!$C$32)*Control!$C$30*((Control!$C$22+Control!$C$23)/24)*Control!$C$14</f>
        <v/>
      </c>
      <c r="G8" s="27">
        <f>(('10Y_Ramp'!G7/(1+Control!$C$34))*1000000/Control!$C$32)*Control!$C$30*(Control!$C$21/24)*Control!$C$14+(('10Y_Ramp'!G8/(1+Control!$C$34))*1000000/Control!$C$32)*Control!$C$30*((Control!$C$22+Control!$C$23)/24)*Control!$C$14+(('10Y_Ramp'!G9/(1+Control!$C$34))*1000000/Control!$C$32)*Control!$C$30*((Control!$C$22+Control!$C$23)/24)*Control!$C$14+(('10Y_Ramp'!G10/(1+Control!$C$34))*1000000/Control!$C$32)*Control!$C$30*((Control!$C$22+Control!$C$23)/24)*Control!$C$14+(('10Y_Ramp'!G11/(1+Control!$C$34))*1000000/Control!$C$32)*Control!$C$30*((Control!$C$22+Control!$C$23)/24)*Control!$C$14</f>
        <v/>
      </c>
      <c r="H8" s="27">
        <f>(('10Y_Ramp'!H7/(1+Control!$C$34))*1000000/Control!$C$32)*Control!$C$30*(Control!$C$21/24)*Control!$C$14+(('10Y_Ramp'!H8/(1+Control!$C$34))*1000000/Control!$C$32)*Control!$C$30*((Control!$C$22+Control!$C$23)/24)*Control!$C$14+(('10Y_Ramp'!H9/(1+Control!$C$34))*1000000/Control!$C$32)*Control!$C$30*((Control!$C$22+Control!$C$23)/24)*Control!$C$14+(('10Y_Ramp'!H10/(1+Control!$C$34))*1000000/Control!$C$32)*Control!$C$30*((Control!$C$22+Control!$C$23)/24)*Control!$C$14+(('10Y_Ramp'!H11/(1+Control!$C$34))*1000000/Control!$C$32)*Control!$C$30*((Control!$C$22+Control!$C$23)/24)*Control!$C$14</f>
        <v/>
      </c>
      <c r="I8" s="27">
        <f>(('10Y_Ramp'!I7/(1+Control!$C$34))*1000000/Control!$C$32)*Control!$C$30*(Control!$C$21/24)*Control!$C$14+(('10Y_Ramp'!I8/(1+Control!$C$34))*1000000/Control!$C$32)*Control!$C$30*((Control!$C$22+Control!$C$23)/24)*Control!$C$14+(('10Y_Ramp'!I9/(1+Control!$C$34))*1000000/Control!$C$32)*Control!$C$30*((Control!$C$22+Control!$C$23)/24)*Control!$C$14+(('10Y_Ramp'!I10/(1+Control!$C$34))*1000000/Control!$C$32)*Control!$C$30*((Control!$C$22+Control!$C$23)/24)*Control!$C$14+(('10Y_Ramp'!I11/(1+Control!$C$34))*1000000/Control!$C$32)*Control!$C$30*((Control!$C$22+Control!$C$23)/24)*Control!$C$14</f>
        <v/>
      </c>
      <c r="J8" s="27">
        <f>(('10Y_Ramp'!J7/(1+Control!$C$34))*1000000/Control!$C$32)*Control!$C$30*(Control!$C$21/24)*Control!$C$14+(('10Y_Ramp'!J8/(1+Control!$C$34))*1000000/Control!$C$32)*Control!$C$30*((Control!$C$22+Control!$C$23)/24)*Control!$C$14+(('10Y_Ramp'!J9/(1+Control!$C$34))*1000000/Control!$C$32)*Control!$C$30*((Control!$C$22+Control!$C$23)/24)*Control!$C$14+(('10Y_Ramp'!J10/(1+Control!$C$34))*1000000/Control!$C$32)*Control!$C$30*((Control!$C$22+Control!$C$23)/24)*Control!$C$14+(('10Y_Ramp'!J11/(1+Control!$C$34))*1000000/Control!$C$32)*Control!$C$30*((Control!$C$22+Control!$C$23)/24)*Control!$C$14</f>
        <v/>
      </c>
      <c r="K8" s="27">
        <f>(('10Y_Ramp'!K7/(1+Control!$C$34))*1000000/Control!$C$32)*Control!$C$30*(Control!$C$21/24)*Control!$C$14+(('10Y_Ramp'!K8/(1+Control!$C$34))*1000000/Control!$C$32)*Control!$C$30*((Control!$C$22+Control!$C$23)/24)*Control!$C$14+(('10Y_Ramp'!K9/(1+Control!$C$34))*1000000/Control!$C$32)*Control!$C$30*((Control!$C$22+Control!$C$23)/24)*Control!$C$14+(('10Y_Ramp'!K10/(1+Control!$C$34))*1000000/Control!$C$32)*Control!$C$30*((Control!$C$22+Control!$C$23)/24)*Control!$C$14+(('10Y_Ramp'!K11/(1+Control!$C$34))*1000000/Control!$C$32)*Control!$C$30*((Control!$C$22+Control!$C$23)/24)*Control!$C$14</f>
        <v/>
      </c>
      <c r="L8" s="27">
        <f>(('10Y_Ramp'!L7/(1+Control!$C$34))*1000000/Control!$C$32)*Control!$C$30*(Control!$C$21/24)*Control!$C$14+(('10Y_Ramp'!L8/(1+Control!$C$34))*1000000/Control!$C$32)*Control!$C$30*((Control!$C$22+Control!$C$23)/24)*Control!$C$14+(('10Y_Ramp'!L9/(1+Control!$C$34))*1000000/Control!$C$32)*Control!$C$30*((Control!$C$22+Control!$C$23)/24)*Control!$C$14+(('10Y_Ramp'!L10/(1+Control!$C$34))*1000000/Control!$C$32)*Control!$C$30*((Control!$C$22+Control!$C$23)/24)*Control!$C$14+(('10Y_Ramp'!L11/(1+Control!$C$34))*1000000/Control!$C$32)*Control!$C$30*((Control!$C$22+Control!$C$23)/24)*Control!$C$14</f>
        <v/>
      </c>
      <c r="M8" s="27">
        <f>(('10Y_Ramp'!M7/(1+Control!$C$34))*1000000/Control!$C$32)*Control!$C$30*(Control!$C$21/24)*Control!$C$14+(('10Y_Ramp'!M8/(1+Control!$C$34))*1000000/Control!$C$32)*Control!$C$30*((Control!$C$22+Control!$C$23)/24)*Control!$C$14+(('10Y_Ramp'!M9/(1+Control!$C$34))*1000000/Control!$C$32)*Control!$C$30*((Control!$C$22+Control!$C$23)/24)*Control!$C$14+(('10Y_Ramp'!M10/(1+Control!$C$34))*1000000/Control!$C$32)*Control!$C$30*((Control!$C$22+Control!$C$23)/24)*Control!$C$14+(('10Y_Ramp'!M11/(1+Control!$C$34))*1000000/Control!$C$32)*Control!$C$30*((Control!$C$22+Control!$C$23)/24)*Control!$C$14</f>
        <v/>
      </c>
      <c r="N8" s="14" t="n"/>
      <c r="O8" s="14" t="n"/>
    </row>
    <row r="9">
      <c r="A9" s="7" t="inlineStr">
        <is>
          <t>BTC mined</t>
        </is>
      </c>
      <c r="B9" s="5" t="inlineStr">
        <is>
          <t>BTC/yr</t>
        </is>
      </c>
      <c r="D9" s="14">
        <f>D8/Control!$C$8*(Control!$C$12*365*Control!$C$10*(1+Control!$C$11))</f>
        <v/>
      </c>
      <c r="E9" s="14">
        <f>E8/E41*(Control!$C$12*365*Control!$C$10*(1+Control!$C$11))</f>
        <v/>
      </c>
      <c r="F9" s="14">
        <f>F8/F41*(Control!$C$12*365*Control!$C$10*(1+Control!$C$11))</f>
        <v/>
      </c>
      <c r="G9" s="14">
        <f>G8/G41*(Control!$C$12*365*Control!$C$10*(1+Control!$C$11))</f>
        <v/>
      </c>
      <c r="H9" s="14">
        <f>H8/H41*(Control!$C$12*365*Control!$C$10*(1+Control!$C$11))</f>
        <v/>
      </c>
      <c r="I9" s="14">
        <f>I8/I41*(Control!$C$12*365*Control!$C$10*(1+Control!$C$11))</f>
        <v/>
      </c>
      <c r="J9" s="14">
        <f>J8/J41*(Control!$C$12*365*Control!$C$10*(1+Control!$C$11))</f>
        <v/>
      </c>
      <c r="K9" s="14">
        <f>K8/K41*(Control!$C$12*365*Control!$C$10*(1+Control!$C$11))</f>
        <v/>
      </c>
      <c r="L9" s="14">
        <f>L8/L41*(Control!$C$12*365*Control!$C$10*(1+Control!$C$11))</f>
        <v/>
      </c>
      <c r="M9" s="14">
        <f>M8/M41*(Control!$C$12*365*Control!$C$10*(1+Control!$C$11))</f>
        <v/>
      </c>
      <c r="N9" s="14" t="n"/>
      <c r="O9" s="14" t="n"/>
    </row>
    <row r="10">
      <c r="A10" s="7" t="inlineStr">
        <is>
          <t>BTC revenue</t>
        </is>
      </c>
      <c r="B10" s="5" t="inlineStr">
        <is>
          <t>ZAR'000</t>
        </is>
      </c>
      <c r="D10" s="14">
        <f>D9*Control!$C$6*Control!$C$4/1000</f>
        <v/>
      </c>
      <c r="E10" s="14">
        <f>E9*E40*Control!$C$4/1000</f>
        <v/>
      </c>
      <c r="F10" s="14">
        <f>F9*F40*Control!$C$4/1000</f>
        <v/>
      </c>
      <c r="G10" s="14">
        <f>G9*G40*Control!$C$4/1000</f>
        <v/>
      </c>
      <c r="H10" s="14">
        <f>H9*H40*Control!$C$4/1000</f>
        <v/>
      </c>
      <c r="I10" s="14">
        <f>I9*I40*Control!$C$4/1000</f>
        <v/>
      </c>
      <c r="J10" s="14">
        <f>J9*J40*Control!$C$4/1000</f>
        <v/>
      </c>
      <c r="K10" s="14">
        <f>K9*K40*Control!$C$4/1000</f>
        <v/>
      </c>
      <c r="L10" s="14">
        <f>L9*L40*Control!$C$4/1000</f>
        <v/>
      </c>
      <c r="M10" s="14">
        <f>M9*M40*Control!$C$4/1000</f>
        <v/>
      </c>
      <c r="N10" s="14" t="n"/>
      <c r="O10" s="14" t="n"/>
    </row>
    <row r="11">
      <c r="A11" s="7" t="inlineStr">
        <is>
          <t>DR revenue - base case</t>
        </is>
      </c>
      <c r="B11" s="5" t="inlineStr">
        <is>
          <t>ZAR'000</t>
        </is>
      </c>
      <c r="D11" s="14">
        <f>IF(Control!$C$85=1,D5*Control!$C$87*365*Control!$C$86,0)</f>
        <v/>
      </c>
      <c r="E11" s="14">
        <f>IF(Control!$C$85=1,E5*Control!$C$87*365*Control!$C$86,0)</f>
        <v/>
      </c>
      <c r="F11" s="14">
        <f>IF(Control!$C$85=1,F5*Control!$C$87*365*Control!$C$86,0)</f>
        <v/>
      </c>
      <c r="G11" s="14">
        <f>IF(Control!$C$85=1,G5*Control!$C$87*365*Control!$C$86,0)</f>
        <v/>
      </c>
      <c r="H11" s="14">
        <f>IF(Control!$C$85=1,H5*Control!$C$87*365*Control!$C$86,0)</f>
        <v/>
      </c>
      <c r="I11" s="14">
        <f>IF(Control!$C$85=1,I5*Control!$C$87*365*Control!$C$86,0)</f>
        <v/>
      </c>
      <c r="J11" s="14">
        <f>IF(Control!$C$85=1,J5*Control!$C$87*365*Control!$C$86,0)</f>
        <v/>
      </c>
      <c r="K11" s="14">
        <f>IF(Control!$C$85=1,K5*Control!$C$87*365*Control!$C$86,0)</f>
        <v/>
      </c>
      <c r="L11" s="14">
        <f>IF(Control!$C$85=1,L5*Control!$C$87*365*Control!$C$86,0)</f>
        <v/>
      </c>
      <c r="M11" s="14">
        <f>IF(Control!$C$85=1,M5*Control!$C$87*365*Control!$C$86,0)</f>
        <v/>
      </c>
      <c r="N11" s="14" t="n"/>
      <c r="O11" s="14" t="n"/>
    </row>
    <row r="12">
      <c r="A12" s="7" t="inlineStr">
        <is>
          <t>AI/Hyperscaler revenue - base case</t>
        </is>
      </c>
      <c r="B12" s="5" t="inlineStr">
        <is>
          <t>ZAR'000</t>
        </is>
      </c>
      <c r="D12" s="14">
        <f>IF(AND(Control!$C$81=1,D$4&gt;=Control!$C$82),D5*Control!$C$83*24*365*Control!$C$84*Control!$C$4/1000,0)</f>
        <v/>
      </c>
      <c r="E12" s="14">
        <f>IF(AND(Control!$C$81=1,E$4&gt;=Control!$C$82),E5*Control!$C$83*24*365*Control!$C$84*Control!$C$4/1000,0)</f>
        <v/>
      </c>
      <c r="F12" s="14">
        <f>IF(AND(Control!$C$81=1,F$4&gt;=Control!$C$82),F5*Control!$C$83*24*365*Control!$C$84*Control!$C$4/1000,0)</f>
        <v/>
      </c>
      <c r="G12" s="14">
        <f>IF(AND(Control!$C$81=1,G$4&gt;=Control!$C$82),G5*Control!$C$83*24*365*Control!$C$84*Control!$C$4/1000,0)</f>
        <v/>
      </c>
      <c r="H12" s="14">
        <f>IF(AND(Control!$C$81=1,H$4&gt;=Control!$C$82),H5*Control!$C$83*24*365*Control!$C$84*Control!$C$4/1000,0)</f>
        <v/>
      </c>
      <c r="I12" s="14">
        <f>IF(AND(Control!$C$81=1,I$4&gt;=Control!$C$82),I5*Control!$C$83*24*365*Control!$C$84*Control!$C$4/1000,0)</f>
        <v/>
      </c>
      <c r="J12" s="14">
        <f>IF(AND(Control!$C$81=1,J$4&gt;=Control!$C$82),J5*Control!$C$83*24*365*Control!$C$84*Control!$C$4/1000,0)</f>
        <v/>
      </c>
      <c r="K12" s="14">
        <f>IF(AND(Control!$C$81=1,K$4&gt;=Control!$C$82),K5*Control!$C$83*24*365*Control!$C$84*Control!$C$4/1000,0)</f>
        <v/>
      </c>
      <c r="L12" s="14">
        <f>IF(AND(Control!$C$81=1,L$4&gt;=Control!$C$82),L5*Control!$C$83*24*365*Control!$C$84*Control!$C$4/1000,0)</f>
        <v/>
      </c>
      <c r="M12" s="14">
        <f>IF(AND(Control!$C$81=1,M$4&gt;=Control!$C$82),M5*Control!$C$83*24*365*Control!$C$84*Control!$C$4/1000,0)</f>
        <v/>
      </c>
      <c r="N12" s="14" t="n"/>
      <c r="O12" s="14" t="n"/>
    </row>
    <row r="13">
      <c r="A13" s="19" t="inlineStr">
        <is>
          <t>Total revenue - base case</t>
        </is>
      </c>
      <c r="B13" s="20" t="inlineStr">
        <is>
          <t>ZAR'000</t>
        </is>
      </c>
      <c r="C13" s="21" t="n"/>
      <c r="D13" s="22">
        <f>SUM(D10:D12)</f>
        <v/>
      </c>
      <c r="E13" s="22">
        <f>SUM(E10:E12)</f>
        <v/>
      </c>
      <c r="F13" s="22">
        <f>SUM(F10:F12)</f>
        <v/>
      </c>
      <c r="G13" s="22">
        <f>SUM(G10:G12)</f>
        <v/>
      </c>
      <c r="H13" s="22">
        <f>SUM(H10:H12)</f>
        <v/>
      </c>
      <c r="I13" s="22">
        <f>SUM(I10:I12)</f>
        <v/>
      </c>
      <c r="J13" s="22">
        <f>SUM(J10:J12)</f>
        <v/>
      </c>
      <c r="K13" s="22">
        <f>SUM(K10:K12)</f>
        <v/>
      </c>
      <c r="L13" s="22">
        <f>SUM(L10:L12)</f>
        <v/>
      </c>
      <c r="M13" s="22">
        <f>SUM(M10:M12)</f>
        <v/>
      </c>
      <c r="N13" s="22" t="n"/>
      <c r="O13" s="22" t="n"/>
    </row>
    <row r="15">
      <c r="A15" s="7" t="inlineStr">
        <is>
          <t>GVL energy cost</t>
        </is>
      </c>
      <c r="B15" s="5" t="inlineStr">
        <is>
          <t>ZAR'000</t>
        </is>
      </c>
      <c r="D15" s="14">
        <f>'10Y_Ramp'!D7*Control!$C$21*365*Control!$C$14*Control!$C$25</f>
        <v/>
      </c>
      <c r="E15" s="14">
        <f>'10Y_Ramp'!E7*Control!$C$21*365*Control!$C$14*Control!$C$25</f>
        <v/>
      </c>
      <c r="F15" s="14">
        <f>'10Y_Ramp'!F7*Control!$C$21*365*Control!$C$14*Control!$C$25</f>
        <v/>
      </c>
      <c r="G15" s="14">
        <f>'10Y_Ramp'!G7*Control!$C$21*365*Control!$C$14*Control!$C$25</f>
        <v/>
      </c>
      <c r="H15" s="14">
        <f>'10Y_Ramp'!H7*Control!$C$21*365*Control!$C$14*Control!$C$25</f>
        <v/>
      </c>
      <c r="I15" s="14">
        <f>'10Y_Ramp'!I7*Control!$C$21*365*Control!$C$14*Control!$C$25</f>
        <v/>
      </c>
      <c r="J15" s="14">
        <f>'10Y_Ramp'!J7*Control!$C$21*365*Control!$C$14*Control!$C$25</f>
        <v/>
      </c>
      <c r="K15" s="14">
        <f>'10Y_Ramp'!K7*Control!$C$21*365*Control!$C$14*Control!$C$25</f>
        <v/>
      </c>
      <c r="L15" s="14">
        <f>'10Y_Ramp'!L7*Control!$C$21*365*Control!$C$14*Control!$C$25</f>
        <v/>
      </c>
      <c r="M15" s="14">
        <f>'10Y_Ramp'!M7*Control!$C$21*365*Control!$C$14*Control!$C$25</f>
        <v/>
      </c>
      <c r="N15" s="14" t="n"/>
      <c r="O15" s="14" t="n"/>
    </row>
    <row r="16">
      <c r="A16" s="7" t="inlineStr">
        <is>
          <t>AMSA VB energy cost</t>
        </is>
      </c>
      <c r="B16" s="5" t="inlineStr">
        <is>
          <t>ZAR'000</t>
        </is>
      </c>
      <c r="D16" s="14">
        <f>(('10Y_Ramp'!D8*(Control!$C$22+Control!$C$23)*365*Control!$C$14)-(MIN('10Y_Ramp'!D8,'10Y_Ramp'!D15)*Control!$C$23*365*Control!$C$14))*Control!$C$26</f>
        <v/>
      </c>
      <c r="E16" s="14">
        <f>(('10Y_Ramp'!E8*(Control!$C$22+Control!$C$23)*365*Control!$C$14)-(MIN('10Y_Ramp'!E8,'10Y_Ramp'!E15)*Control!$C$23*365*Control!$C$14))*Control!$C$26</f>
        <v/>
      </c>
      <c r="F16" s="14">
        <f>(('10Y_Ramp'!F8*(Control!$C$22+Control!$C$23)*365*Control!$C$14)-(MIN('10Y_Ramp'!F8,'10Y_Ramp'!F15)*Control!$C$23*365*Control!$C$14))*Control!$C$26</f>
        <v/>
      </c>
      <c r="G16" s="14">
        <f>(('10Y_Ramp'!G8*(Control!$C$22+Control!$C$23)*365*Control!$C$14)-(MIN('10Y_Ramp'!G8,'10Y_Ramp'!G15)*Control!$C$23*365*Control!$C$14))*Control!$C$26</f>
        <v/>
      </c>
      <c r="H16" s="14">
        <f>(('10Y_Ramp'!H8*(Control!$C$22+Control!$C$23)*365*Control!$C$14)-(MIN('10Y_Ramp'!H8,'10Y_Ramp'!H15)*Control!$C$23*365*Control!$C$14))*Control!$C$26</f>
        <v/>
      </c>
      <c r="I16" s="14">
        <f>(('10Y_Ramp'!I8*(Control!$C$22+Control!$C$23)*365*Control!$C$14)-(MIN('10Y_Ramp'!I8,'10Y_Ramp'!I15)*Control!$C$23*365*Control!$C$14))*Control!$C$26</f>
        <v/>
      </c>
      <c r="J16" s="14">
        <f>(('10Y_Ramp'!J8*(Control!$C$22+Control!$C$23)*365*Control!$C$14)-(MIN('10Y_Ramp'!J8,'10Y_Ramp'!J15)*Control!$C$23*365*Control!$C$14))*Control!$C$26</f>
        <v/>
      </c>
      <c r="K16" s="14">
        <f>(('10Y_Ramp'!K8*(Control!$C$22+Control!$C$23)*365*Control!$C$14)-(MIN('10Y_Ramp'!K8,'10Y_Ramp'!K15)*Control!$C$23*365*Control!$C$14))*Control!$C$26</f>
        <v/>
      </c>
      <c r="L16" s="14">
        <f>(('10Y_Ramp'!L8*(Control!$C$22+Control!$C$23)*365*Control!$C$14)-(MIN('10Y_Ramp'!L8,'10Y_Ramp'!L15)*Control!$C$23*365*Control!$C$14))*Control!$C$26</f>
        <v/>
      </c>
      <c r="M16" s="14">
        <f>(('10Y_Ramp'!M8*(Control!$C$22+Control!$C$23)*365*Control!$C$14)-(MIN('10Y_Ramp'!M8,'10Y_Ramp'!M15)*Control!$C$23*365*Control!$C$14))*Control!$C$26</f>
        <v/>
      </c>
      <c r="N16" s="14" t="n"/>
      <c r="O16" s="14" t="n"/>
    </row>
    <row r="17">
      <c r="A17" s="7" t="inlineStr">
        <is>
          <t>Newcastle energy cost</t>
        </is>
      </c>
      <c r="B17" s="5" t="inlineStr">
        <is>
          <t>ZAR'000</t>
        </is>
      </c>
      <c r="D17" s="14">
        <f>(('10Y_Ramp'!D9*(Control!$C$22+Control!$C$23)*365*Control!$C$14)-(MIN('10Y_Ramp'!D9,'10Y_Ramp'!D16)*Control!$C$23*365*Control!$C$14))*Control!$C$25</f>
        <v/>
      </c>
      <c r="E17" s="14">
        <f>(('10Y_Ramp'!E9*(Control!$C$22+Control!$C$23)*365*Control!$C$14)-(MIN('10Y_Ramp'!E9,'10Y_Ramp'!E16)*Control!$C$23*365*Control!$C$14))*Control!$C$25</f>
        <v/>
      </c>
      <c r="F17" s="14">
        <f>(('10Y_Ramp'!F9*(Control!$C$22+Control!$C$23)*365*Control!$C$14)-(MIN('10Y_Ramp'!F9,'10Y_Ramp'!F16)*Control!$C$23*365*Control!$C$14))*Control!$C$25</f>
        <v/>
      </c>
      <c r="G17" s="14">
        <f>(('10Y_Ramp'!G9*(Control!$C$22+Control!$C$23)*365*Control!$C$14)-(MIN('10Y_Ramp'!G9,'10Y_Ramp'!G16)*Control!$C$23*365*Control!$C$14))*Control!$C$25</f>
        <v/>
      </c>
      <c r="H17" s="14">
        <f>(('10Y_Ramp'!H9*(Control!$C$22+Control!$C$23)*365*Control!$C$14)-(MIN('10Y_Ramp'!H9,'10Y_Ramp'!H16)*Control!$C$23*365*Control!$C$14))*Control!$C$25</f>
        <v/>
      </c>
      <c r="I17" s="14">
        <f>(('10Y_Ramp'!I9*(Control!$C$22+Control!$C$23)*365*Control!$C$14)-(MIN('10Y_Ramp'!I9,'10Y_Ramp'!I16)*Control!$C$23*365*Control!$C$14))*Control!$C$25</f>
        <v/>
      </c>
      <c r="J17" s="14">
        <f>(('10Y_Ramp'!J9*(Control!$C$22+Control!$C$23)*365*Control!$C$14)-(MIN('10Y_Ramp'!J9,'10Y_Ramp'!J16)*Control!$C$23*365*Control!$C$14))*Control!$C$25</f>
        <v/>
      </c>
      <c r="K17" s="14">
        <f>(('10Y_Ramp'!K9*(Control!$C$22+Control!$C$23)*365*Control!$C$14)-(MIN('10Y_Ramp'!K9,'10Y_Ramp'!K16)*Control!$C$23*365*Control!$C$14))*Control!$C$25</f>
        <v/>
      </c>
      <c r="L17" s="14">
        <f>(('10Y_Ramp'!L9*(Control!$C$22+Control!$C$23)*365*Control!$C$14)-(MIN('10Y_Ramp'!L9,'10Y_Ramp'!L16)*Control!$C$23*365*Control!$C$14))*Control!$C$25</f>
        <v/>
      </c>
      <c r="M17" s="14">
        <f>(('10Y_Ramp'!M9*(Control!$C$22+Control!$C$23)*365*Control!$C$14)-(MIN('10Y_Ramp'!M9,'10Y_Ramp'!M16)*Control!$C$23*365*Control!$C$14))*Control!$C$25</f>
        <v/>
      </c>
      <c r="N17" s="14" t="n"/>
      <c r="O17" s="14" t="n"/>
    </row>
    <row r="18">
      <c r="A18" s="7" t="inlineStr">
        <is>
          <t>Saldanha energy cost</t>
        </is>
      </c>
      <c r="B18" s="5" t="inlineStr">
        <is>
          <t>ZAR'000</t>
        </is>
      </c>
      <c r="D18" s="14">
        <f>(('10Y_Ramp'!D10*(Control!$C$22+Control!$C$23)*365*Control!$C$14)-(MIN('10Y_Ramp'!D10,'10Y_Ramp'!D17)*Control!$C$23*365*Control!$C$14))*Control!$C$25</f>
        <v/>
      </c>
      <c r="E18" s="14">
        <f>(('10Y_Ramp'!E10*(Control!$C$22+Control!$C$23)*365*Control!$C$14)-(MIN('10Y_Ramp'!E10,'10Y_Ramp'!E17)*Control!$C$23*365*Control!$C$14))*Control!$C$25</f>
        <v/>
      </c>
      <c r="F18" s="14">
        <f>(('10Y_Ramp'!F10*(Control!$C$22+Control!$C$23)*365*Control!$C$14)-(MIN('10Y_Ramp'!F10,'10Y_Ramp'!F17)*Control!$C$23*365*Control!$C$14))*Control!$C$25</f>
        <v/>
      </c>
      <c r="G18" s="14">
        <f>(('10Y_Ramp'!G10*(Control!$C$22+Control!$C$23)*365*Control!$C$14)-(MIN('10Y_Ramp'!G10,'10Y_Ramp'!G17)*Control!$C$23*365*Control!$C$14))*Control!$C$25</f>
        <v/>
      </c>
      <c r="H18" s="14">
        <f>(('10Y_Ramp'!H10*(Control!$C$22+Control!$C$23)*365*Control!$C$14)-(MIN('10Y_Ramp'!H10,'10Y_Ramp'!H17)*Control!$C$23*365*Control!$C$14))*Control!$C$25</f>
        <v/>
      </c>
      <c r="I18" s="14">
        <f>(('10Y_Ramp'!I10*(Control!$C$22+Control!$C$23)*365*Control!$C$14)-(MIN('10Y_Ramp'!I10,'10Y_Ramp'!I17)*Control!$C$23*365*Control!$C$14))*Control!$C$25</f>
        <v/>
      </c>
      <c r="J18" s="14">
        <f>(('10Y_Ramp'!J10*(Control!$C$22+Control!$C$23)*365*Control!$C$14)-(MIN('10Y_Ramp'!J10,'10Y_Ramp'!J17)*Control!$C$23*365*Control!$C$14))*Control!$C$25</f>
        <v/>
      </c>
      <c r="K18" s="14">
        <f>(('10Y_Ramp'!K10*(Control!$C$22+Control!$C$23)*365*Control!$C$14)-(MIN('10Y_Ramp'!K10,'10Y_Ramp'!K17)*Control!$C$23*365*Control!$C$14))*Control!$C$25</f>
        <v/>
      </c>
      <c r="L18" s="14">
        <f>(('10Y_Ramp'!L10*(Control!$C$22+Control!$C$23)*365*Control!$C$14)-(MIN('10Y_Ramp'!L10,'10Y_Ramp'!L17)*Control!$C$23*365*Control!$C$14))*Control!$C$25</f>
        <v/>
      </c>
      <c r="M18" s="14">
        <f>(('10Y_Ramp'!M10*(Control!$C$22+Control!$C$23)*365*Control!$C$14)-(MIN('10Y_Ramp'!M10,'10Y_Ramp'!M17)*Control!$C$23*365*Control!$C$14))*Control!$C$25</f>
        <v/>
      </c>
      <c r="N18" s="14" t="n"/>
      <c r="O18" s="14" t="n"/>
    </row>
    <row r="19">
      <c r="A19" s="7" t="inlineStr">
        <is>
          <t>Komati energy cost</t>
        </is>
      </c>
      <c r="B19" s="5" t="inlineStr">
        <is>
          <t>ZAR'000</t>
        </is>
      </c>
      <c r="D19" s="14">
        <f>(('10Y_Ramp'!D11*(Control!$C$22+Control!$C$23)*365*Control!$C$14)-(MIN('10Y_Ramp'!D11,'10Y_Ramp'!D18)*Control!$C$23*365*Control!$C$14))*Control!$C$25</f>
        <v/>
      </c>
      <c r="E19" s="14">
        <f>(('10Y_Ramp'!E11*(Control!$C$22+Control!$C$23)*365*Control!$C$14)-(MIN('10Y_Ramp'!E11,'10Y_Ramp'!E18)*Control!$C$23*365*Control!$C$14))*Control!$C$25</f>
        <v/>
      </c>
      <c r="F19" s="14">
        <f>(('10Y_Ramp'!F11*(Control!$C$22+Control!$C$23)*365*Control!$C$14)-(MIN('10Y_Ramp'!F11,'10Y_Ramp'!F18)*Control!$C$23*365*Control!$C$14))*Control!$C$25</f>
        <v/>
      </c>
      <c r="G19" s="14">
        <f>(('10Y_Ramp'!G11*(Control!$C$22+Control!$C$23)*365*Control!$C$14)-(MIN('10Y_Ramp'!G11,'10Y_Ramp'!G18)*Control!$C$23*365*Control!$C$14))*Control!$C$25</f>
        <v/>
      </c>
      <c r="H19" s="14">
        <f>(('10Y_Ramp'!H11*(Control!$C$22+Control!$C$23)*365*Control!$C$14)-(MIN('10Y_Ramp'!H11,'10Y_Ramp'!H18)*Control!$C$23*365*Control!$C$14))*Control!$C$25</f>
        <v/>
      </c>
      <c r="I19" s="14">
        <f>(('10Y_Ramp'!I11*(Control!$C$22+Control!$C$23)*365*Control!$C$14)-(MIN('10Y_Ramp'!I11,'10Y_Ramp'!I18)*Control!$C$23*365*Control!$C$14))*Control!$C$25</f>
        <v/>
      </c>
      <c r="J19" s="14">
        <f>(('10Y_Ramp'!J11*(Control!$C$22+Control!$C$23)*365*Control!$C$14)-(MIN('10Y_Ramp'!J11,'10Y_Ramp'!J18)*Control!$C$23*365*Control!$C$14))*Control!$C$25</f>
        <v/>
      </c>
      <c r="K19" s="14">
        <f>(('10Y_Ramp'!K11*(Control!$C$22+Control!$C$23)*365*Control!$C$14)-(MIN('10Y_Ramp'!K11,'10Y_Ramp'!K18)*Control!$C$23*365*Control!$C$14))*Control!$C$25</f>
        <v/>
      </c>
      <c r="L19" s="14">
        <f>(('10Y_Ramp'!L11*(Control!$C$22+Control!$C$23)*365*Control!$C$14)-(MIN('10Y_Ramp'!L11,'10Y_Ramp'!L18)*Control!$C$23*365*Control!$C$14))*Control!$C$25</f>
        <v/>
      </c>
      <c r="M19" s="14">
        <f>(('10Y_Ramp'!M11*(Control!$C$22+Control!$C$23)*365*Control!$C$14)-(MIN('10Y_Ramp'!M11,'10Y_Ramp'!M18)*Control!$C$23*365*Control!$C$14))*Control!$C$25</f>
        <v/>
      </c>
      <c r="N19" s="14" t="n"/>
      <c r="O19" s="14" t="n"/>
    </row>
    <row r="20">
      <c r="A20" s="7" t="inlineStr">
        <is>
          <t>Solar O&amp;M</t>
        </is>
      </c>
      <c r="B20" s="5" t="inlineStr">
        <is>
          <t>ZAR'000</t>
        </is>
      </c>
      <c r="D20" s="14">
        <f>'10Y_Ramp'!D19*Control!$C$27*Control!$C$28</f>
        <v/>
      </c>
      <c r="E20" s="14">
        <f>'10Y_Ramp'!E19*Control!$C$27*Control!$C$28</f>
        <v/>
      </c>
      <c r="F20" s="14">
        <f>'10Y_Ramp'!F19*Control!$C$27*Control!$C$28</f>
        <v/>
      </c>
      <c r="G20" s="14">
        <f>'10Y_Ramp'!G19*Control!$C$27*Control!$C$28</f>
        <v/>
      </c>
      <c r="H20" s="14">
        <f>'10Y_Ramp'!H19*Control!$C$27*Control!$C$28</f>
        <v/>
      </c>
      <c r="I20" s="14">
        <f>'10Y_Ramp'!I19*Control!$C$27*Control!$C$28</f>
        <v/>
      </c>
      <c r="J20" s="14">
        <f>'10Y_Ramp'!J19*Control!$C$27*Control!$C$28</f>
        <v/>
      </c>
      <c r="K20" s="14">
        <f>'10Y_Ramp'!K19*Control!$C$27*Control!$C$28</f>
        <v/>
      </c>
      <c r="L20" s="14">
        <f>'10Y_Ramp'!L19*Control!$C$27*Control!$C$28</f>
        <v/>
      </c>
      <c r="M20" s="14">
        <f>'10Y_Ramp'!M19*Control!$C$27*Control!$C$28</f>
        <v/>
      </c>
      <c r="N20" s="14" t="n"/>
      <c r="O20" s="14" t="n"/>
    </row>
    <row r="21">
      <c r="A21" s="19" t="inlineStr">
        <is>
          <t>Total energy cost</t>
        </is>
      </c>
      <c r="B21" s="20" t="inlineStr">
        <is>
          <t>ZAR'000</t>
        </is>
      </c>
      <c r="C21" s="21" t="n"/>
      <c r="D21" s="22">
        <f>SUM(D15:D20)</f>
        <v/>
      </c>
      <c r="E21" s="22">
        <f>SUM(E15:E20)</f>
        <v/>
      </c>
      <c r="F21" s="22">
        <f>SUM(F15:F20)</f>
        <v/>
      </c>
      <c r="G21" s="22">
        <f>SUM(G15:G20)</f>
        <v/>
      </c>
      <c r="H21" s="22">
        <f>SUM(H15:H20)</f>
        <v/>
      </c>
      <c r="I21" s="22">
        <f>SUM(I15:I20)</f>
        <v/>
      </c>
      <c r="J21" s="22">
        <f>SUM(J15:J20)</f>
        <v/>
      </c>
      <c r="K21" s="22">
        <f>SUM(K15:K20)</f>
        <v/>
      </c>
      <c r="L21" s="22">
        <f>SUM(L15:L20)</f>
        <v/>
      </c>
      <c r="M21" s="22">
        <f>SUM(M15:M20)</f>
        <v/>
      </c>
      <c r="N21" s="22" t="n"/>
      <c r="O21" s="22" t="n"/>
    </row>
    <row r="23">
      <c r="A23" s="7" t="inlineStr">
        <is>
          <t>Salaries &amp; benefits</t>
        </is>
      </c>
      <c r="B23" s="5" t="inlineStr">
        <is>
          <t>ZAR'000</t>
        </is>
      </c>
      <c r="D23" s="14">
        <f>(Control!$C$52*Control!$C$53)+(((IF(D7&gt;0,1,0)+IF(D8&gt;0,1,0)+IF(D9&gt;0,1,0)+IF(D10&gt;0,1,0)+IF(D11&gt;0,1,0))*Control!$C$54*Control!$C$55)+(D5*Control!$C$56*Control!$C$57)+(D5*Control!$C$58*Control!$C$59))*(1+Control!$C$60)</f>
        <v/>
      </c>
      <c r="E23" s="14">
        <f>(Control!$C$52*Control!$C$53)+(((IF(E7&gt;0,1,0)+IF(E8&gt;0,1,0)+IF(E9&gt;0,1,0)+IF(E10&gt;0,1,0)+IF(E11&gt;0,1,0))*Control!$C$54*Control!$C$55)+(E5*Control!$C$56*Control!$C$57)+(E5*Control!$C$58*Control!$C$59))*(1+Control!$C$60)</f>
        <v/>
      </c>
      <c r="F23" s="14">
        <f>(Control!$C$52*Control!$C$53)+(((IF(F7&gt;0,1,0)+IF(F8&gt;0,1,0)+IF(F9&gt;0,1,0)+IF(F10&gt;0,1,0)+IF(F11&gt;0,1,0))*Control!$C$54*Control!$C$55)+(F5*Control!$C$56*Control!$C$57)+(F5*Control!$C$58*Control!$C$59))*(1+Control!$C$60)</f>
        <v/>
      </c>
      <c r="G23" s="14">
        <f>(Control!$C$52*Control!$C$53)+(((IF(G7&gt;0,1,0)+IF(G8&gt;0,1,0)+IF(G9&gt;0,1,0)+IF(G10&gt;0,1,0)+IF(G11&gt;0,1,0))*Control!$C$54*Control!$C$55)+(G5*Control!$C$56*Control!$C$57)+(G5*Control!$C$58*Control!$C$59))*(1+Control!$C$60)</f>
        <v/>
      </c>
      <c r="H23" s="14">
        <f>(Control!$C$52*Control!$C$53)+(((IF(H7&gt;0,1,0)+IF(H8&gt;0,1,0)+IF(H9&gt;0,1,0)+IF(H10&gt;0,1,0)+IF(H11&gt;0,1,0))*Control!$C$54*Control!$C$55)+(H5*Control!$C$56*Control!$C$57)+(H5*Control!$C$58*Control!$C$59))*(1+Control!$C$60)</f>
        <v/>
      </c>
      <c r="I23" s="14">
        <f>(Control!$C$52*Control!$C$53)+(((IF(I7&gt;0,1,0)+IF(I8&gt;0,1,0)+IF(I9&gt;0,1,0)+IF(I10&gt;0,1,0)+IF(I11&gt;0,1,0))*Control!$C$54*Control!$C$55)+(I5*Control!$C$56*Control!$C$57)+(I5*Control!$C$58*Control!$C$59))*(1+Control!$C$60)</f>
        <v/>
      </c>
      <c r="J23" s="14">
        <f>(Control!$C$52*Control!$C$53)+(((IF(J7&gt;0,1,0)+IF(J8&gt;0,1,0)+IF(J9&gt;0,1,0)+IF(J10&gt;0,1,0)+IF(J11&gt;0,1,0))*Control!$C$54*Control!$C$55)+(J5*Control!$C$56*Control!$C$57)+(J5*Control!$C$58*Control!$C$59))*(1+Control!$C$60)</f>
        <v/>
      </c>
      <c r="K23" s="14">
        <f>(Control!$C$52*Control!$C$53)+(((IF(K7&gt;0,1,0)+IF(K8&gt;0,1,0)+IF(K9&gt;0,1,0)+IF(K10&gt;0,1,0)+IF(K11&gt;0,1,0))*Control!$C$54*Control!$C$55)+(K5*Control!$C$56*Control!$C$57)+(K5*Control!$C$58*Control!$C$59))*(1+Control!$C$60)</f>
        <v/>
      </c>
      <c r="L23" s="14">
        <f>(Control!$C$52*Control!$C$53)+(((IF(L7&gt;0,1,0)+IF(L8&gt;0,1,0)+IF(L9&gt;0,1,0)+IF(L10&gt;0,1,0)+IF(L11&gt;0,1,0))*Control!$C$54*Control!$C$55)+(L5*Control!$C$56*Control!$C$57)+(L5*Control!$C$58*Control!$C$59))*(1+Control!$C$60)</f>
        <v/>
      </c>
      <c r="M23" s="14">
        <f>(Control!$C$52*Control!$C$53)+(((IF(M7&gt;0,1,0)+IF(M8&gt;0,1,0)+IF(M9&gt;0,1,0)+IF(M10&gt;0,1,0)+IF(M11&gt;0,1,0))*Control!$C$54*Control!$C$55)+(M5*Control!$C$56*Control!$C$57)+(M5*Control!$C$58*Control!$C$59))*(1+Control!$C$60)</f>
        <v/>
      </c>
      <c r="N23" s="14" t="n"/>
      <c r="O23" s="14" t="n"/>
    </row>
    <row r="24">
      <c r="A24" s="7" t="inlineStr">
        <is>
          <t>Admin / travel / software / office / legal</t>
        </is>
      </c>
      <c r="B24" s="5" t="inlineStr">
        <is>
          <t>ZAR'000</t>
        </is>
      </c>
      <c r="D24" s="14">
        <f>(D23/(1+Control!$C$60))*Control!$C$61+((Control!$C$52+(IF(D7&gt;0,1,0)+IF(D8&gt;0,1,0)+IF(D9&gt;0,1,0)+IF(D10&gt;0,1,0)+IF(D11&gt;0,1,0))*Control!$C$54+(D5*Control!$C$56)+(D5*Control!$C$58))*Control!$C$63*12)+(((IF(D7&gt;0,1,0)+IF(D8&gt;0,1,0)+IF(D9&gt;0,1,0)+IF(D10&gt;0,1,0)+IF(D11&gt;0,1,0))*Control!$C$64*12))+(Control!$C$67*12)+(Control!$C$66*12)+(Control!$C$65*12)</f>
        <v/>
      </c>
      <c r="E24" s="14">
        <f>(E23/(1+Control!$C$60))*Control!$C$61+((Control!$C$52+(IF(E7&gt;0,1,0)+IF(E8&gt;0,1,0)+IF(E9&gt;0,1,0)+IF(E10&gt;0,1,0)+IF(E11&gt;0,1,0))*Control!$C$54+(E5*Control!$C$56)+(E5*Control!$C$58))*Control!$C$63*12)+(((IF(E7&gt;0,1,0)+IF(E8&gt;0,1,0)+IF(E9&gt;0,1,0)+IF(E10&gt;0,1,0)+IF(E11&gt;0,1,0))*Control!$C$64*12))+(Control!$C$67*12)+(Control!$C$66*12)+(Control!$C$65*12)</f>
        <v/>
      </c>
      <c r="F24" s="14">
        <f>(F23/(1+Control!$C$60))*Control!$C$61+((Control!$C$52+(IF(F7&gt;0,1,0)+IF(F8&gt;0,1,0)+IF(F9&gt;0,1,0)+IF(F10&gt;0,1,0)+IF(F11&gt;0,1,0))*Control!$C$54+(F5*Control!$C$56)+(F5*Control!$C$58))*Control!$C$63*12)+(((IF(F7&gt;0,1,0)+IF(F8&gt;0,1,0)+IF(F9&gt;0,1,0)+IF(F10&gt;0,1,0)+IF(F11&gt;0,1,0))*Control!$C$64*12))+(Control!$C$67*12)+(Control!$C$66*12)+(Control!$C$65*12)</f>
        <v/>
      </c>
      <c r="G24" s="14">
        <f>(G23/(1+Control!$C$60))*Control!$C$61+((Control!$C$52+(IF(G7&gt;0,1,0)+IF(G8&gt;0,1,0)+IF(G9&gt;0,1,0)+IF(G10&gt;0,1,0)+IF(G11&gt;0,1,0))*Control!$C$54+(G5*Control!$C$56)+(G5*Control!$C$58))*Control!$C$63*12)+(((IF(G7&gt;0,1,0)+IF(G8&gt;0,1,0)+IF(G9&gt;0,1,0)+IF(G10&gt;0,1,0)+IF(G11&gt;0,1,0))*Control!$C$64*12))+(Control!$C$67*12)+(Control!$C$66*12)+(Control!$C$65*12)</f>
        <v/>
      </c>
      <c r="H24" s="14">
        <f>(H23/(1+Control!$C$60))*Control!$C$61+((Control!$C$52+(IF(H7&gt;0,1,0)+IF(H8&gt;0,1,0)+IF(H9&gt;0,1,0)+IF(H10&gt;0,1,0)+IF(H11&gt;0,1,0))*Control!$C$54+(H5*Control!$C$56)+(H5*Control!$C$58))*Control!$C$63*12)+(((IF(H7&gt;0,1,0)+IF(H8&gt;0,1,0)+IF(H9&gt;0,1,0)+IF(H10&gt;0,1,0)+IF(H11&gt;0,1,0))*Control!$C$64*12))+(Control!$C$67*12)+(Control!$C$66*12)+(Control!$C$65*12)</f>
        <v/>
      </c>
      <c r="I24" s="14">
        <f>(I23/(1+Control!$C$60))*Control!$C$61+((Control!$C$52+(IF(I7&gt;0,1,0)+IF(I8&gt;0,1,0)+IF(I9&gt;0,1,0)+IF(I10&gt;0,1,0)+IF(I11&gt;0,1,0))*Control!$C$54+(I5*Control!$C$56)+(I5*Control!$C$58))*Control!$C$63*12)+(((IF(I7&gt;0,1,0)+IF(I8&gt;0,1,0)+IF(I9&gt;0,1,0)+IF(I10&gt;0,1,0)+IF(I11&gt;0,1,0))*Control!$C$64*12))+(Control!$C$67*12)+(Control!$C$66*12)+(Control!$C$65*12)</f>
        <v/>
      </c>
      <c r="J24" s="14">
        <f>(J23/(1+Control!$C$60))*Control!$C$61+((Control!$C$52+(IF(J7&gt;0,1,0)+IF(J8&gt;0,1,0)+IF(J9&gt;0,1,0)+IF(J10&gt;0,1,0)+IF(J11&gt;0,1,0))*Control!$C$54+(J5*Control!$C$56)+(J5*Control!$C$58))*Control!$C$63*12)+(((IF(J7&gt;0,1,0)+IF(J8&gt;0,1,0)+IF(J9&gt;0,1,0)+IF(J10&gt;0,1,0)+IF(J11&gt;0,1,0))*Control!$C$64*12))+(Control!$C$67*12)+(Control!$C$66*12)+(Control!$C$65*12)</f>
        <v/>
      </c>
      <c r="K24" s="14">
        <f>(K23/(1+Control!$C$60))*Control!$C$61+((Control!$C$52+(IF(K7&gt;0,1,0)+IF(K8&gt;0,1,0)+IF(K9&gt;0,1,0)+IF(K10&gt;0,1,0)+IF(K11&gt;0,1,0))*Control!$C$54+(K5*Control!$C$56)+(K5*Control!$C$58))*Control!$C$63*12)+(((IF(K7&gt;0,1,0)+IF(K8&gt;0,1,0)+IF(K9&gt;0,1,0)+IF(K10&gt;0,1,0)+IF(K11&gt;0,1,0))*Control!$C$64*12))+(Control!$C$67*12)+(Control!$C$66*12)+(Control!$C$65*12)</f>
        <v/>
      </c>
      <c r="L24" s="14">
        <f>(L23/(1+Control!$C$60))*Control!$C$61+((Control!$C$52+(IF(L7&gt;0,1,0)+IF(L8&gt;0,1,0)+IF(L9&gt;0,1,0)+IF(L10&gt;0,1,0)+IF(L11&gt;0,1,0))*Control!$C$54+(L5*Control!$C$56)+(L5*Control!$C$58))*Control!$C$63*12)+(((IF(L7&gt;0,1,0)+IF(L8&gt;0,1,0)+IF(L9&gt;0,1,0)+IF(L10&gt;0,1,0)+IF(L11&gt;0,1,0))*Control!$C$64*12))+(Control!$C$67*12)+(Control!$C$66*12)+(Control!$C$65*12)</f>
        <v/>
      </c>
      <c r="M24" s="14">
        <f>(M23/(1+Control!$C$60))*Control!$C$61+((Control!$C$52+(IF(M7&gt;0,1,0)+IF(M8&gt;0,1,0)+IF(M9&gt;0,1,0)+IF(M10&gt;0,1,0)+IF(M11&gt;0,1,0))*Control!$C$54+(M5*Control!$C$56)+(M5*Control!$C$58))*Control!$C$63*12)+(((IF(M7&gt;0,1,0)+IF(M8&gt;0,1,0)+IF(M9&gt;0,1,0)+IF(M10&gt;0,1,0)+IF(M11&gt;0,1,0))*Control!$C$64*12))+(Control!$C$67*12)+(Control!$C$66*12)+(Control!$C$65*12)</f>
        <v/>
      </c>
      <c r="N24" s="14" t="n"/>
      <c r="O24" s="14" t="n"/>
    </row>
    <row r="25">
      <c r="A25" s="7" t="inlineStr">
        <is>
          <t>Security / tools / utilities</t>
        </is>
      </c>
      <c r="B25" s="5" t="inlineStr">
        <is>
          <t>ZAR'000</t>
        </is>
      </c>
      <c r="D25" s="14">
        <f>((IF(D7&gt;0,1,0)+IF(D8&gt;0,1,0)+IF(D9&gt;0,1,0)+IF(D10&gt;0,1,0)+IF(D11&gt;0,1,0))*Control!$C$69*12)+(D5*Control!$C$68*12)+(D5*Control!$C$70*12)</f>
        <v/>
      </c>
      <c r="E25" s="14">
        <f>((IF(E7&gt;0,1,0)+IF(E8&gt;0,1,0)+IF(E9&gt;0,1,0)+IF(E10&gt;0,1,0)+IF(E11&gt;0,1,0))*Control!$C$69*12)+(E5*Control!$C$68*12)+(E5*Control!$C$70*12)</f>
        <v/>
      </c>
      <c r="F25" s="14">
        <f>((IF(F7&gt;0,1,0)+IF(F8&gt;0,1,0)+IF(F9&gt;0,1,0)+IF(F10&gt;0,1,0)+IF(F11&gt;0,1,0))*Control!$C$69*12)+(F5*Control!$C$68*12)+(F5*Control!$C$70*12)</f>
        <v/>
      </c>
      <c r="G25" s="14">
        <f>((IF(G7&gt;0,1,0)+IF(G8&gt;0,1,0)+IF(G9&gt;0,1,0)+IF(G10&gt;0,1,0)+IF(G11&gt;0,1,0))*Control!$C$69*12)+(G5*Control!$C$68*12)+(G5*Control!$C$70*12)</f>
        <v/>
      </c>
      <c r="H25" s="14">
        <f>((IF(H7&gt;0,1,0)+IF(H8&gt;0,1,0)+IF(H9&gt;0,1,0)+IF(H10&gt;0,1,0)+IF(H11&gt;0,1,0))*Control!$C$69*12)+(H5*Control!$C$68*12)+(H5*Control!$C$70*12)</f>
        <v/>
      </c>
      <c r="I25" s="14">
        <f>((IF(I7&gt;0,1,0)+IF(I8&gt;0,1,0)+IF(I9&gt;0,1,0)+IF(I10&gt;0,1,0)+IF(I11&gt;0,1,0))*Control!$C$69*12)+(I5*Control!$C$68*12)+(I5*Control!$C$70*12)</f>
        <v/>
      </c>
      <c r="J25" s="14">
        <f>((IF(J7&gt;0,1,0)+IF(J8&gt;0,1,0)+IF(J9&gt;0,1,0)+IF(J10&gt;0,1,0)+IF(J11&gt;0,1,0))*Control!$C$69*12)+(J5*Control!$C$68*12)+(J5*Control!$C$70*12)</f>
        <v/>
      </c>
      <c r="K25" s="14">
        <f>((IF(K7&gt;0,1,0)+IF(K8&gt;0,1,0)+IF(K9&gt;0,1,0)+IF(K10&gt;0,1,0)+IF(K11&gt;0,1,0))*Control!$C$69*12)+(K5*Control!$C$68*12)+(K5*Control!$C$70*12)</f>
        <v/>
      </c>
      <c r="L25" s="14">
        <f>((IF(L7&gt;0,1,0)+IF(L8&gt;0,1,0)+IF(L9&gt;0,1,0)+IF(L10&gt;0,1,0)+IF(L11&gt;0,1,0))*Control!$C$69*12)+(L5*Control!$C$68*12)+(L5*Control!$C$70*12)</f>
        <v/>
      </c>
      <c r="M25" s="14">
        <f>((IF(M7&gt;0,1,0)+IF(M8&gt;0,1,0)+IF(M9&gt;0,1,0)+IF(M10&gt;0,1,0)+IF(M11&gt;0,1,0))*Control!$C$69*12)+(M5*Control!$C$68*12)+(M5*Control!$C$70*12)</f>
        <v/>
      </c>
      <c r="N25" s="14" t="n"/>
      <c r="O25" s="14" t="n"/>
    </row>
    <row r="26">
      <c r="A26" s="19" t="inlineStr">
        <is>
          <t>Total cash opex</t>
        </is>
      </c>
      <c r="B26" s="20" t="inlineStr">
        <is>
          <t>ZAR'000</t>
        </is>
      </c>
      <c r="C26" s="21" t="n"/>
      <c r="D26" s="22">
        <f>D21+D23+D24+D25</f>
        <v/>
      </c>
      <c r="E26" s="22">
        <f>E21+E23+E24+E25</f>
        <v/>
      </c>
      <c r="F26" s="22">
        <f>F21+F23+F24+F25</f>
        <v/>
      </c>
      <c r="G26" s="22">
        <f>G21+G23+G24+G25</f>
        <v/>
      </c>
      <c r="H26" s="22">
        <f>H21+H23+H24+H25</f>
        <v/>
      </c>
      <c r="I26" s="22">
        <f>I21+I23+I24+I25</f>
        <v/>
      </c>
      <c r="J26" s="22">
        <f>J21+J23+J24+J25</f>
        <v/>
      </c>
      <c r="K26" s="22">
        <f>K21+K23+K24+K25</f>
        <v/>
      </c>
      <c r="L26" s="22">
        <f>L21+L23+L24+L25</f>
        <v/>
      </c>
      <c r="M26" s="22">
        <f>M21+M23+M24+M25</f>
        <v/>
      </c>
      <c r="N26" s="22" t="n"/>
      <c r="O26" s="22" t="n"/>
    </row>
    <row r="27">
      <c r="A27" s="2" t="inlineStr">
        <is>
          <t>EBITDA</t>
        </is>
      </c>
      <c r="B27" s="5" t="inlineStr">
        <is>
          <t>ZAR'000</t>
        </is>
      </c>
      <c r="D27" s="14">
        <f>D13-D26</f>
        <v/>
      </c>
      <c r="E27" s="14">
        <f>E13-E26</f>
        <v/>
      </c>
      <c r="F27" s="14">
        <f>F13-F26</f>
        <v/>
      </c>
      <c r="G27" s="14">
        <f>G13-G26</f>
        <v/>
      </c>
      <c r="H27" s="14">
        <f>H13-H26</f>
        <v/>
      </c>
      <c r="I27" s="14">
        <f>I13-I26</f>
        <v/>
      </c>
      <c r="J27" s="14">
        <f>J13-J26</f>
        <v/>
      </c>
      <c r="K27" s="14">
        <f>K13-K26</f>
        <v/>
      </c>
      <c r="L27" s="14">
        <f>L13-L26</f>
        <v/>
      </c>
      <c r="M27" s="14">
        <f>M13-M26</f>
        <v/>
      </c>
      <c r="N27" s="14" t="n"/>
      <c r="O27" s="14" t="n"/>
    </row>
    <row r="29">
      <c r="A29" s="7" t="inlineStr">
        <is>
          <t>New MW</t>
        </is>
      </c>
      <c r="B29" s="5" t="inlineStr">
        <is>
          <t>MW</t>
        </is>
      </c>
      <c r="D29" s="14">
        <f>'10Y_Ramp'!D12</f>
        <v/>
      </c>
      <c r="E29" s="14">
        <f>MAX('10Y_Ramp'!E12-'10Y_Ramp'!D12,0)</f>
        <v/>
      </c>
      <c r="F29" s="14">
        <f>MAX('10Y_Ramp'!F12-'10Y_Ramp'!E12,0)</f>
        <v/>
      </c>
      <c r="G29" s="14">
        <f>MAX('10Y_Ramp'!G12-'10Y_Ramp'!F12,0)</f>
        <v/>
      </c>
      <c r="H29" s="14">
        <f>MAX('10Y_Ramp'!H12-'10Y_Ramp'!G12,0)</f>
        <v/>
      </c>
      <c r="I29" s="14">
        <f>MAX('10Y_Ramp'!I12-'10Y_Ramp'!H12,0)</f>
        <v/>
      </c>
      <c r="J29" s="14">
        <f>MAX('10Y_Ramp'!J12-'10Y_Ramp'!I12,0)</f>
        <v/>
      </c>
      <c r="K29" s="14">
        <f>MAX('10Y_Ramp'!K12-'10Y_Ramp'!J12,0)</f>
        <v/>
      </c>
      <c r="L29" s="14">
        <f>MAX('10Y_Ramp'!L12-'10Y_Ramp'!K12,0)</f>
        <v/>
      </c>
      <c r="M29" s="14">
        <f>MAX('10Y_Ramp'!M12-'10Y_Ramp'!L12,0)</f>
        <v/>
      </c>
      <c r="N29" s="14" t="n"/>
      <c r="O29" s="14" t="n"/>
    </row>
    <row r="30">
      <c r="A30" s="7" t="inlineStr">
        <is>
          <t>New solar MW</t>
        </is>
      </c>
      <c r="B30" s="5" t="inlineStr">
        <is>
          <t>MW</t>
        </is>
      </c>
      <c r="D30" s="14">
        <f>'10Y_Ramp'!D19</f>
        <v/>
      </c>
      <c r="E30" s="14">
        <f>MAX('10Y_Ramp'!E19-'10Y_Ramp'!D19,0)</f>
        <v/>
      </c>
      <c r="F30" s="14">
        <f>MAX('10Y_Ramp'!F19-'10Y_Ramp'!E19,0)</f>
        <v/>
      </c>
      <c r="G30" s="14">
        <f>MAX('10Y_Ramp'!G19-'10Y_Ramp'!F19,0)</f>
        <v/>
      </c>
      <c r="H30" s="14">
        <f>MAX('10Y_Ramp'!H19-'10Y_Ramp'!G19,0)</f>
        <v/>
      </c>
      <c r="I30" s="14">
        <f>MAX('10Y_Ramp'!I19-'10Y_Ramp'!H19,0)</f>
        <v/>
      </c>
      <c r="J30" s="14">
        <f>MAX('10Y_Ramp'!J19-'10Y_Ramp'!I19,0)</f>
        <v/>
      </c>
      <c r="K30" s="14">
        <f>MAX('10Y_Ramp'!K19-'10Y_Ramp'!J19,0)</f>
        <v/>
      </c>
      <c r="L30" s="14">
        <f>MAX('10Y_Ramp'!L19-'10Y_Ramp'!K19,0)</f>
        <v/>
      </c>
      <c r="M30" s="14">
        <f>MAX('10Y_Ramp'!M19-'10Y_Ramp'!L19,0)</f>
        <v/>
      </c>
      <c r="N30" s="14" t="n"/>
      <c r="O30" s="14" t="n"/>
    </row>
    <row r="31">
      <c r="A31" s="7" t="inlineStr">
        <is>
          <t>New containers</t>
        </is>
      </c>
      <c r="B31" s="5" t="inlineStr">
        <is>
          <t>containers</t>
        </is>
      </c>
      <c r="D31" s="14">
        <f>ROUNDUP(D29/Control!$C$37,0)</f>
        <v/>
      </c>
      <c r="E31" s="14">
        <f>ROUNDUP(E29/Control!$C$37,0)</f>
        <v/>
      </c>
      <c r="F31" s="14">
        <f>ROUNDUP(F29/Control!$C$37,0)</f>
        <v/>
      </c>
      <c r="G31" s="14">
        <f>ROUNDUP(G29/Control!$C$37,0)</f>
        <v/>
      </c>
      <c r="H31" s="14">
        <f>ROUNDUP(H29/Control!$C$37,0)</f>
        <v/>
      </c>
      <c r="I31" s="14">
        <f>ROUNDUP(I29/Control!$C$37,0)</f>
        <v/>
      </c>
      <c r="J31" s="14">
        <f>ROUNDUP(J29/Control!$C$37,0)</f>
        <v/>
      </c>
      <c r="K31" s="14">
        <f>ROUNDUP(K29/Control!$C$37,0)</f>
        <v/>
      </c>
      <c r="L31" s="14">
        <f>ROUNDUP(L29/Control!$C$37,0)</f>
        <v/>
      </c>
      <c r="M31" s="14">
        <f>ROUNDUP(M29/Control!$C$37,0)</f>
        <v/>
      </c>
      <c r="N31" s="14" t="n"/>
      <c r="O31" s="14" t="n"/>
    </row>
    <row r="32">
      <c r="A32" s="7" t="inlineStr">
        <is>
          <t>Miner capex</t>
        </is>
      </c>
      <c r="B32" s="5" t="inlineStr">
        <is>
          <t>ZAR'000</t>
        </is>
      </c>
      <c r="D32" s="14">
        <f>(D29/(1+Control!$C$34))*1000000/Control!$C$32*Control!$C$33*Control!$C$4/1000</f>
        <v/>
      </c>
      <c r="E32" s="14">
        <f>(E29/(1+Control!$C$34))*1000000/Control!$C$32*Control!$C$33*Control!$C$4/1000</f>
        <v/>
      </c>
      <c r="F32" s="14">
        <f>(F29/(1+Control!$C$34))*1000000/Control!$C$32*Control!$C$33*Control!$C$4/1000</f>
        <v/>
      </c>
      <c r="G32" s="14">
        <f>(G29/(1+Control!$C$34))*1000000/Control!$C$32*Control!$C$33*Control!$C$4/1000</f>
        <v/>
      </c>
      <c r="H32" s="14">
        <f>(H29/(1+Control!$C$34))*1000000/Control!$C$32*Control!$C$33*Control!$C$4/1000</f>
        <v/>
      </c>
      <c r="I32" s="14">
        <f>(I29/(1+Control!$C$34))*1000000/Control!$C$32*Control!$C$33*Control!$C$4/1000</f>
        <v/>
      </c>
      <c r="J32" s="14">
        <f>(J29/(1+Control!$C$34))*1000000/Control!$C$32*Control!$C$33*Control!$C$4/1000</f>
        <v/>
      </c>
      <c r="K32" s="14">
        <f>(K29/(1+Control!$C$34))*1000000/Control!$C$32*Control!$C$33*Control!$C$4/1000</f>
        <v/>
      </c>
      <c r="L32" s="14">
        <f>(L29/(1+Control!$C$34))*1000000/Control!$C$32*Control!$C$33*Control!$C$4/1000</f>
        <v/>
      </c>
      <c r="M32" s="14">
        <f>(M29/(1+Control!$C$34))*1000000/Control!$C$32*Control!$C$33*Control!$C$4/1000</f>
        <v/>
      </c>
      <c r="N32" s="14" t="n"/>
      <c r="O32" s="14" t="n"/>
    </row>
    <row r="33">
      <c r="A33" s="7" t="inlineStr">
        <is>
          <t>Container capex</t>
        </is>
      </c>
      <c r="B33" s="5" t="inlineStr">
        <is>
          <t>ZAR'000</t>
        </is>
      </c>
      <c r="D33" s="14">
        <f>D31*Control!$C$36*Control!$C$4/1000</f>
        <v/>
      </c>
      <c r="E33" s="14">
        <f>E31*Control!$C$36*Control!$C$4/1000</f>
        <v/>
      </c>
      <c r="F33" s="14">
        <f>F31*Control!$C$36*Control!$C$4/1000</f>
        <v/>
      </c>
      <c r="G33" s="14">
        <f>G31*Control!$C$36*Control!$C$4/1000</f>
        <v/>
      </c>
      <c r="H33" s="14">
        <f>H31*Control!$C$36*Control!$C$4/1000</f>
        <v/>
      </c>
      <c r="I33" s="14">
        <f>I31*Control!$C$36*Control!$C$4/1000</f>
        <v/>
      </c>
      <c r="J33" s="14">
        <f>J31*Control!$C$36*Control!$C$4/1000</f>
        <v/>
      </c>
      <c r="K33" s="14">
        <f>K31*Control!$C$36*Control!$C$4/1000</f>
        <v/>
      </c>
      <c r="L33" s="14">
        <f>L31*Control!$C$36*Control!$C$4/1000</f>
        <v/>
      </c>
      <c r="M33" s="14">
        <f>M31*Control!$C$36*Control!$C$4/1000</f>
        <v/>
      </c>
      <c r="N33" s="14" t="n"/>
      <c r="O33" s="14" t="n"/>
    </row>
    <row r="34">
      <c r="A34" s="7" t="inlineStr">
        <is>
          <t>Electrical EPC capex (site-fixed + variable/MW)</t>
        </is>
      </c>
      <c r="B34" s="5" t="inlineStr">
        <is>
          <t>ZAR'000</t>
        </is>
      </c>
      <c r="D34" s="14">
        <f>(IF('10Y_Ramp'!D7&gt;0,1,0)+IF('10Y_Ramp'!D8&gt;0,1,0)+IF('10Y_Ramp'!D9&gt;0,1,0)+IF('10Y_Ramp'!D10&gt;0,1,0)+IF('10Y_Ramp'!D11&gt;0,1,0))*CAPEX_Electrical_Detail!$C$26+D29*CAPEX_Electrical_Detail!$C$27</f>
        <v/>
      </c>
      <c r="E34" s="14">
        <f>(IF(AND('10Y_Ramp'!D7=0,'10Y_Ramp'!E7&gt;0),1,0)+IF(AND('10Y_Ramp'!D8=0,'10Y_Ramp'!E8&gt;0),1,0)+IF(AND('10Y_Ramp'!D9=0,'10Y_Ramp'!E9&gt;0),1,0)+IF(AND('10Y_Ramp'!D10=0,'10Y_Ramp'!E10&gt;0),1,0)+IF(AND('10Y_Ramp'!D11=0,'10Y_Ramp'!E11&gt;0),1,0))*CAPEX_Electrical_Detail!$C$26+E29*CAPEX_Electrical_Detail!$C$27</f>
        <v/>
      </c>
      <c r="F34" s="14">
        <f>(IF(AND('10Y_Ramp'!E7=0,'10Y_Ramp'!F7&gt;0),1,0)+IF(AND('10Y_Ramp'!E8=0,'10Y_Ramp'!F8&gt;0),1,0)+IF(AND('10Y_Ramp'!E9=0,'10Y_Ramp'!F9&gt;0),1,0)+IF(AND('10Y_Ramp'!E10=0,'10Y_Ramp'!F10&gt;0),1,0)+IF(AND('10Y_Ramp'!E11=0,'10Y_Ramp'!F11&gt;0),1,0))*CAPEX_Electrical_Detail!$C$26+F29*CAPEX_Electrical_Detail!$C$27</f>
        <v/>
      </c>
      <c r="G34" s="14">
        <f>(IF(AND('10Y_Ramp'!F7=0,'10Y_Ramp'!G7&gt;0),1,0)+IF(AND('10Y_Ramp'!F8=0,'10Y_Ramp'!G8&gt;0),1,0)+IF(AND('10Y_Ramp'!F9=0,'10Y_Ramp'!G9&gt;0),1,0)+IF(AND('10Y_Ramp'!F10=0,'10Y_Ramp'!G10&gt;0),1,0)+IF(AND('10Y_Ramp'!F11=0,'10Y_Ramp'!G11&gt;0),1,0))*CAPEX_Electrical_Detail!$C$26+G29*CAPEX_Electrical_Detail!$C$27</f>
        <v/>
      </c>
      <c r="H34" s="14">
        <f>(IF(AND('10Y_Ramp'!G7=0,'10Y_Ramp'!H7&gt;0),1,0)+IF(AND('10Y_Ramp'!G8=0,'10Y_Ramp'!H8&gt;0),1,0)+IF(AND('10Y_Ramp'!G9=0,'10Y_Ramp'!H9&gt;0),1,0)+IF(AND('10Y_Ramp'!G10=0,'10Y_Ramp'!H10&gt;0),1,0)+IF(AND('10Y_Ramp'!G11=0,'10Y_Ramp'!H11&gt;0),1,0))*CAPEX_Electrical_Detail!$C$26+H29*CAPEX_Electrical_Detail!$C$27</f>
        <v/>
      </c>
      <c r="I34" s="14">
        <f>(IF(AND('10Y_Ramp'!H7=0,'10Y_Ramp'!I7&gt;0),1,0)+IF(AND('10Y_Ramp'!H8=0,'10Y_Ramp'!I8&gt;0),1,0)+IF(AND('10Y_Ramp'!H9=0,'10Y_Ramp'!I9&gt;0),1,0)+IF(AND('10Y_Ramp'!H10=0,'10Y_Ramp'!I10&gt;0),1,0)+IF(AND('10Y_Ramp'!H11=0,'10Y_Ramp'!I11&gt;0),1,0))*CAPEX_Electrical_Detail!$C$26+I29*CAPEX_Electrical_Detail!$C$27</f>
        <v/>
      </c>
      <c r="J34" s="14">
        <f>(IF(AND('10Y_Ramp'!I7=0,'10Y_Ramp'!J7&gt;0),1,0)+IF(AND('10Y_Ramp'!I8=0,'10Y_Ramp'!J8&gt;0),1,0)+IF(AND('10Y_Ramp'!I9=0,'10Y_Ramp'!J9&gt;0),1,0)+IF(AND('10Y_Ramp'!I10=0,'10Y_Ramp'!J10&gt;0),1,0)+IF(AND('10Y_Ramp'!I11=0,'10Y_Ramp'!J11&gt;0),1,0))*CAPEX_Electrical_Detail!$C$26+J29*CAPEX_Electrical_Detail!$C$27</f>
        <v/>
      </c>
      <c r="K34" s="14">
        <f>(IF(AND('10Y_Ramp'!J7=0,'10Y_Ramp'!K7&gt;0),1,0)+IF(AND('10Y_Ramp'!J8=0,'10Y_Ramp'!K8&gt;0),1,0)+IF(AND('10Y_Ramp'!J9=0,'10Y_Ramp'!K9&gt;0),1,0)+IF(AND('10Y_Ramp'!J10=0,'10Y_Ramp'!K10&gt;0),1,0)+IF(AND('10Y_Ramp'!J11=0,'10Y_Ramp'!K11&gt;0),1,0))*CAPEX_Electrical_Detail!$C$26+K29*CAPEX_Electrical_Detail!$C$27</f>
        <v/>
      </c>
      <c r="L34" s="14">
        <f>(IF(AND('10Y_Ramp'!K7=0,'10Y_Ramp'!L7&gt;0),1,0)+IF(AND('10Y_Ramp'!K8=0,'10Y_Ramp'!L8&gt;0),1,0)+IF(AND('10Y_Ramp'!K9=0,'10Y_Ramp'!L9&gt;0),1,0)+IF(AND('10Y_Ramp'!K10=0,'10Y_Ramp'!L10&gt;0),1,0)+IF(AND('10Y_Ramp'!K11=0,'10Y_Ramp'!L11&gt;0),1,0))*CAPEX_Electrical_Detail!$C$26+L29*CAPEX_Electrical_Detail!$C$27</f>
        <v/>
      </c>
      <c r="M34" s="14">
        <f>(IF(AND('10Y_Ramp'!L7=0,'10Y_Ramp'!M7&gt;0),1,0)+IF(AND('10Y_Ramp'!L8=0,'10Y_Ramp'!M8&gt;0),1,0)+IF(AND('10Y_Ramp'!L9=0,'10Y_Ramp'!M9&gt;0),1,0)+IF(AND('10Y_Ramp'!L10=0,'10Y_Ramp'!M10&gt;0),1,0)+IF(AND('10Y_Ramp'!L11=0,'10Y_Ramp'!M11&gt;0),1,0))*CAPEX_Electrical_Detail!$C$26+M29*CAPEX_Electrical_Detail!$C$27</f>
        <v/>
      </c>
      <c r="N34" s="14" t="n"/>
      <c r="O34" s="14" t="n"/>
    </row>
    <row r="35">
      <c r="A35" s="7" t="inlineStr">
        <is>
          <t>Solar capex</t>
        </is>
      </c>
      <c r="B35" s="5" t="inlineStr">
        <is>
          <t>ZAR'000</t>
        </is>
      </c>
      <c r="D35" s="14">
        <f>D30*Control!$C$27</f>
        <v/>
      </c>
      <c r="E35" s="14">
        <f>E30*Control!$C$27</f>
        <v/>
      </c>
      <c r="F35" s="14">
        <f>F30*Control!$C$27</f>
        <v/>
      </c>
      <c r="G35" s="14">
        <f>G30*Control!$C$27</f>
        <v/>
      </c>
      <c r="H35" s="14">
        <f>H30*Control!$C$27</f>
        <v/>
      </c>
      <c r="I35" s="14">
        <f>I30*Control!$C$27</f>
        <v/>
      </c>
      <c r="J35" s="14">
        <f>J30*Control!$C$27</f>
        <v/>
      </c>
      <c r="K35" s="14">
        <f>K30*Control!$C$27</f>
        <v/>
      </c>
      <c r="L35" s="14">
        <f>L30*Control!$C$27</f>
        <v/>
      </c>
      <c r="M35" s="14">
        <f>M30*Control!$C$27</f>
        <v/>
      </c>
      <c r="N35" s="14" t="n"/>
      <c r="O35" s="14" t="n"/>
    </row>
    <row r="36">
      <c r="A36" s="7" t="inlineStr">
        <is>
          <t>Logistics / duties / spares</t>
        </is>
      </c>
      <c r="B36" s="5" t="inlineStr">
        <is>
          <t>ZAR'000</t>
        </is>
      </c>
      <c r="D36" s="14">
        <f>(D31*Control!$C$40*Control!$C$4/1000)+(D31*(Control!$C$41+Control!$C$42+Control!$C$43))+((D32+D33)*(Control!$C$44+Control!$C$45+Control!$C$46))+((IF(D7&gt;0,1,0)+IF(D8&gt;0,1,0)+IF(D9&gt;0,1,0)+IF(D10&gt;0,1,0)+IF(D11&gt;0,1,0))*Control!$C$47*0.25)</f>
        <v/>
      </c>
      <c r="E36" s="14">
        <f>(E31*Control!$C$40*Control!$C$4/1000)+(E31*(Control!$C$41+Control!$C$42+Control!$C$43))+((E32+E33)*(Control!$C$44+Control!$C$45+Control!$C$46))+((IF(E7&gt;0,1,0)+IF(E8&gt;0,1,0)+IF(E9&gt;0,1,0)+IF(E10&gt;0,1,0)+IF(E11&gt;0,1,0))*Control!$C$47*0.25)</f>
        <v/>
      </c>
      <c r="F36" s="14">
        <f>(F31*Control!$C$40*Control!$C$4/1000)+(F31*(Control!$C$41+Control!$C$42+Control!$C$43))+((F32+F33)*(Control!$C$44+Control!$C$45+Control!$C$46))+((IF(F7&gt;0,1,0)+IF(F8&gt;0,1,0)+IF(F9&gt;0,1,0)+IF(F10&gt;0,1,0)+IF(F11&gt;0,1,0))*Control!$C$47*0.25)</f>
        <v/>
      </c>
      <c r="G36" s="14">
        <f>(G31*Control!$C$40*Control!$C$4/1000)+(G31*(Control!$C$41+Control!$C$42+Control!$C$43))+((G32+G33)*(Control!$C$44+Control!$C$45+Control!$C$46))+((IF(G7&gt;0,1,0)+IF(G8&gt;0,1,0)+IF(G9&gt;0,1,0)+IF(G10&gt;0,1,0)+IF(G11&gt;0,1,0))*Control!$C$47*0.25)</f>
        <v/>
      </c>
      <c r="H36" s="14">
        <f>(H31*Control!$C$40*Control!$C$4/1000)+(H31*(Control!$C$41+Control!$C$42+Control!$C$43))+((H32+H33)*(Control!$C$44+Control!$C$45+Control!$C$46))+((IF(H7&gt;0,1,0)+IF(H8&gt;0,1,0)+IF(H9&gt;0,1,0)+IF(H10&gt;0,1,0)+IF(H11&gt;0,1,0))*Control!$C$47*0.25)</f>
        <v/>
      </c>
      <c r="I36" s="14">
        <f>(I31*Control!$C$40*Control!$C$4/1000)+(I31*(Control!$C$41+Control!$C$42+Control!$C$43))+((I32+I33)*(Control!$C$44+Control!$C$45+Control!$C$46))+((IF(I7&gt;0,1,0)+IF(I8&gt;0,1,0)+IF(I9&gt;0,1,0)+IF(I10&gt;0,1,0)+IF(I11&gt;0,1,0))*Control!$C$47*0.25)</f>
        <v/>
      </c>
      <c r="J36" s="14">
        <f>(J31*Control!$C$40*Control!$C$4/1000)+(J31*(Control!$C$41+Control!$C$42+Control!$C$43))+((J32+J33)*(Control!$C$44+Control!$C$45+Control!$C$46))+((IF(J7&gt;0,1,0)+IF(J8&gt;0,1,0)+IF(J9&gt;0,1,0)+IF(J10&gt;0,1,0)+IF(J11&gt;0,1,0))*Control!$C$47*0.25)</f>
        <v/>
      </c>
      <c r="K36" s="14">
        <f>(K31*Control!$C$40*Control!$C$4/1000)+(K31*(Control!$C$41+Control!$C$42+Control!$C$43))+((K32+K33)*(Control!$C$44+Control!$C$45+Control!$C$46))+((IF(K7&gt;0,1,0)+IF(K8&gt;0,1,0)+IF(K9&gt;0,1,0)+IF(K10&gt;0,1,0)+IF(K11&gt;0,1,0))*Control!$C$47*0.25)</f>
        <v/>
      </c>
      <c r="L36" s="14">
        <f>(L31*Control!$C$40*Control!$C$4/1000)+(L31*(Control!$C$41+Control!$C$42+Control!$C$43))+((L32+L33)*(Control!$C$44+Control!$C$45+Control!$C$46))+((IF(L7&gt;0,1,0)+IF(L8&gt;0,1,0)+IF(L9&gt;0,1,0)+IF(L10&gt;0,1,0)+IF(L11&gt;0,1,0))*Control!$C$47*0.25)</f>
        <v/>
      </c>
      <c r="M36" s="14">
        <f>(M31*Control!$C$40*Control!$C$4/1000)+(M31*(Control!$C$41+Control!$C$42+Control!$C$43))+((M32+M33)*(Control!$C$44+Control!$C$45+Control!$C$46))+((IF(M7&gt;0,1,0)+IF(M8&gt;0,1,0)+IF(M9&gt;0,1,0)+IF(M10&gt;0,1,0)+IF(M11&gt;0,1,0))*Control!$C$47*0.25)</f>
        <v/>
      </c>
      <c r="N36" s="14" t="n"/>
      <c r="O36" s="14" t="n"/>
    </row>
    <row r="37">
      <c r="A37" s="19" t="inlineStr">
        <is>
          <t>Total capex</t>
        </is>
      </c>
      <c r="B37" s="20" t="inlineStr">
        <is>
          <t>ZAR'000</t>
        </is>
      </c>
      <c r="C37" s="21" t="n"/>
      <c r="D37" s="22">
        <f>D32+D33+D34+D35+D36</f>
        <v/>
      </c>
      <c r="E37" s="22">
        <f>E32+E33+E34+E35+E36</f>
        <v/>
      </c>
      <c r="F37" s="22">
        <f>F32+F33+F34+F35+F36</f>
        <v/>
      </c>
      <c r="G37" s="22">
        <f>G32+G33+G34+G35+G36</f>
        <v/>
      </c>
      <c r="H37" s="22">
        <f>H32+H33+H34+H35+H36</f>
        <v/>
      </c>
      <c r="I37" s="22">
        <f>I32+I33+I34+I35+I36</f>
        <v/>
      </c>
      <c r="J37" s="22">
        <f>J32+J33+J34+J35+J36</f>
        <v/>
      </c>
      <c r="K37" s="22">
        <f>K32+K33+K34+K35+K36</f>
        <v/>
      </c>
      <c r="L37" s="22">
        <f>L32+L33+L34+L35+L36</f>
        <v/>
      </c>
      <c r="M37" s="22">
        <f>M32+M33+M34+M35+M36</f>
        <v/>
      </c>
      <c r="N37" s="22" t="n"/>
      <c r="O37" s="22" t="n"/>
    </row>
    <row r="38">
      <c r="A38" s="19" t="inlineStr">
        <is>
          <t>Annual cash flow before financing</t>
        </is>
      </c>
      <c r="B38" s="20" t="inlineStr">
        <is>
          <t>ZAR'000</t>
        </is>
      </c>
      <c r="C38" s="21" t="n"/>
      <c r="D38" s="22">
        <f>D27-D37</f>
        <v/>
      </c>
      <c r="E38" s="22">
        <f>E27-E37</f>
        <v/>
      </c>
      <c r="F38" s="22">
        <f>F27-F37</f>
        <v/>
      </c>
      <c r="G38" s="22">
        <f>G27-G37</f>
        <v/>
      </c>
      <c r="H38" s="22">
        <f>H27-H37</f>
        <v/>
      </c>
      <c r="I38" s="22">
        <f>I27-I37</f>
        <v/>
      </c>
      <c r="J38" s="22">
        <f>J27-J37</f>
        <v/>
      </c>
      <c r="K38" s="22">
        <f>K27-K37</f>
        <v/>
      </c>
      <c r="L38" s="22">
        <f>L27-L37</f>
        <v/>
      </c>
      <c r="M38" s="22">
        <f>M27-M37</f>
        <v/>
      </c>
      <c r="N38" s="22" t="n"/>
      <c r="O38" s="22" t="n"/>
    </row>
    <row r="40">
      <c r="D40">
        <f>Control!$C$6</f>
        <v/>
      </c>
      <c r="E40">
        <f>D40*(1+Control!$C$7)</f>
        <v/>
      </c>
      <c r="F40">
        <f>E40*(1+Control!$C$7)</f>
        <v/>
      </c>
      <c r="G40">
        <f>F40*(1+Control!$C$7)</f>
        <v/>
      </c>
      <c r="H40">
        <f>G40*(1+Control!$C$7)</f>
        <v/>
      </c>
      <c r="I40">
        <f>H40*(1+Control!$C$7)</f>
        <v/>
      </c>
      <c r="J40">
        <f>I40*(1+Control!$C$7)</f>
        <v/>
      </c>
      <c r="K40">
        <f>J40*(1+Control!$C$7)</f>
        <v/>
      </c>
      <c r="L40">
        <f>K40*(1+Control!$C$7)</f>
        <v/>
      </c>
      <c r="M40">
        <f>L40*(1+Control!$C$7)</f>
        <v/>
      </c>
    </row>
    <row r="41">
      <c r="D41">
        <f>Control!$C$8</f>
        <v/>
      </c>
      <c r="E41">
        <f>D41*(1+Control!$C$9)</f>
        <v/>
      </c>
      <c r="F41">
        <f>E41*(1+Control!$C$9)</f>
        <v/>
      </c>
      <c r="G41">
        <f>F41*(1+Control!$C$9)</f>
        <v/>
      </c>
      <c r="H41">
        <f>G41*(1+Control!$C$9)</f>
        <v/>
      </c>
      <c r="I41">
        <f>H41*(1+Control!$C$9)</f>
        <v/>
      </c>
      <c r="J41">
        <f>I41*(1+Control!$C$9)</f>
        <v/>
      </c>
      <c r="K41">
        <f>J41*(1+Control!$C$9)</f>
        <v/>
      </c>
      <c r="L41">
        <f>K41*(1+Control!$C$9)</f>
        <v/>
      </c>
      <c r="M41">
        <f>L41*(1+Control!$C$9)</f>
        <v/>
      </c>
    </row>
  </sheetData>
  <mergeCells count="1">
    <mergeCell ref="A1:M1"/>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34" customWidth="1" min="1" max="1"/>
    <col width="26" customWidth="1" min="2" max="2"/>
    <col width="42" customWidth="1" min="3" max="3"/>
    <col width="14" customWidth="1" min="4" max="4"/>
  </cols>
  <sheetData>
    <row r="1">
      <c r="A1" s="1" t="inlineStr">
        <is>
          <t>Model Checks</t>
        </is>
      </c>
    </row>
    <row r="3">
      <c r="A3" s="6" t="inlineStr">
        <is>
          <t>Check</t>
        </is>
      </c>
      <c r="B3" s="6" t="inlineStr">
        <is>
          <t>Formula / Output</t>
        </is>
      </c>
      <c r="C3" s="6" t="inlineStr">
        <is>
          <t>Interpretation</t>
        </is>
      </c>
      <c r="D3" s="6" t="inlineStr">
        <is>
          <t>Status</t>
        </is>
      </c>
    </row>
    <row r="4">
      <c r="A4" s="7" t="inlineStr">
        <is>
          <t>Phase 1 total MW closes at 20</t>
        </is>
      </c>
      <c r="B4" s="14">
        <f>'12M_Deployment'!O8+'12M_Deployment'!O7</f>
        <v/>
      </c>
      <c r="C4" s="5" t="inlineStr">
        <is>
          <t>Should equal 20MW</t>
        </is>
      </c>
      <c r="D4" s="30">
        <f>IF(B4=20,"PASS","CHECK")</f>
        <v/>
      </c>
    </row>
    <row r="5">
      <c r="A5" s="7" t="inlineStr">
        <is>
          <t>M7DS efficiency input</t>
        </is>
      </c>
      <c r="B5" s="14">
        <f>Control!C31</f>
        <v/>
      </c>
      <c r="C5" s="5" t="inlineStr">
        <is>
          <t>Should equal 12.5 J/T</t>
        </is>
      </c>
      <c r="D5" s="30">
        <f>IF(B5=12.5,"PASS","CHECK")</f>
        <v/>
      </c>
    </row>
    <row r="6">
      <c r="A6" s="7" t="inlineStr">
        <is>
          <t>Base-case DR revenue</t>
        </is>
      </c>
      <c r="B6" s="14">
        <f>SUM('12M_Revenue'!D15:O15)</f>
        <v/>
      </c>
      <c r="C6" s="5" t="inlineStr">
        <is>
          <t>Should be 0 if DR flag is off</t>
        </is>
      </c>
      <c r="D6" s="30">
        <f>IF(B6=0,"PASS","CHECK")</f>
        <v/>
      </c>
    </row>
    <row r="7">
      <c r="A7" s="7" t="inlineStr">
        <is>
          <t>Base-case hyperscaler revenue</t>
        </is>
      </c>
      <c r="B7" s="14">
        <f>SUM('12M_Revenue'!D18:O18)</f>
        <v/>
      </c>
      <c r="C7" s="5" t="inlineStr">
        <is>
          <t>Should be 0 if hyperscaler flag is off</t>
        </is>
      </c>
      <c r="D7" s="30">
        <f>IF(B7=0,"PASS","CHECK")</f>
        <v/>
      </c>
    </row>
    <row r="8">
      <c r="A8" s="7" t="inlineStr">
        <is>
          <t>10Y ramp hits 2GW</t>
        </is>
      </c>
      <c r="B8" s="14">
        <f>'10Y_Ramp'!M12</f>
        <v/>
      </c>
      <c r="C8" s="5" t="inlineStr">
        <is>
          <t>Should equal 2,000MW</t>
        </is>
      </c>
      <c r="D8" s="30">
        <f>IF(B8=2000,"PASS","CHECK")</f>
        <v/>
      </c>
    </row>
    <row r="9">
      <c r="A9" s="7" t="inlineStr">
        <is>
          <t>No negative ending cash if funding added</t>
        </is>
      </c>
      <c r="B9" s="14">
        <f>MIN('12M_Cashflow'!D14:O14)</f>
        <v/>
      </c>
      <c r="C9" s="5" t="inlineStr">
        <is>
          <t>Without funding this can be negative; add funding if needed</t>
        </is>
      </c>
      <c r="D9" s="30">
        <f>IF(B9&gt;=0,"FUNDED","BURN")</f>
        <v/>
      </c>
    </row>
    <row r="10">
      <c r="A10" s="7" t="inlineStr">
        <is>
          <t>Phase 1 year-1 BTC mined</t>
        </is>
      </c>
      <c r="B10" s="14">
        <f>'12M_Cashflow'!C20</f>
        <v/>
      </c>
      <c r="C10" s="5" t="inlineStr">
        <is>
          <t>Informational</t>
        </is>
      </c>
      <c r="D10" s="30" t="inlineStr">
        <is>
          <t>INFO</t>
        </is>
      </c>
    </row>
    <row r="11">
      <c r="A11" s="25" t="inlineStr">
        <is>
          <t>Peak funding required</t>
        </is>
      </c>
      <c r="B11" s="31">
        <f>'12M_Cashflow'!C25</f>
        <v/>
      </c>
      <c r="C11" s="21" t="inlineStr">
        <is>
          <t>Informational</t>
        </is>
      </c>
      <c r="D11" s="32" t="inlineStr">
        <is>
          <t>INFO</t>
        </is>
      </c>
    </row>
    <row r="12">
      <c r="A12" t="inlineStr">
        <is>
          <t>Electrical EPC basis date</t>
        </is>
      </c>
      <c r="B12" t="inlineStr">
        <is>
          <t>25 Mar 2026</t>
        </is>
      </c>
      <c r="C12" t="inlineStr">
        <is>
          <t>T2603-24 quote date</t>
        </is>
      </c>
      <c r="D12" t="inlineStr">
        <is>
          <t>INFO</t>
        </is>
      </c>
    </row>
    <row r="13">
      <c r="A13" t="inlineStr">
        <is>
          <t>Miner vendor finance shares sum to 100%</t>
        </is>
      </c>
      <c r="B13">
        <f>Control!C98+Control!C99</f>
        <v/>
      </c>
      <c r="C13" t="inlineStr">
        <is>
          <t>Should equal 1.00</t>
        </is>
      </c>
      <c r="D13">
        <f>IF(ABS(B13-1)&lt;0.0001,"PASS","CHECK")</f>
        <v/>
      </c>
    </row>
    <row r="14">
      <c r="A14" t="inlineStr">
        <is>
          <t>EPC tranche shares sum to 100%</t>
        </is>
      </c>
      <c r="B14">
        <f>Control!C103+Control!C104+Control!C105+Control!C106+Control!C107</f>
        <v/>
      </c>
      <c r="C14" t="inlineStr">
        <is>
          <t>Should equal 1.00</t>
        </is>
      </c>
      <c r="D14">
        <f>IF(ABS(B14-1)&lt;0.0001,"PASS","CHECK")</f>
        <v/>
      </c>
    </row>
    <row r="15">
      <c r="A15" t="inlineStr">
        <is>
          <t>External funding shares sum to 100%</t>
        </is>
      </c>
      <c r="B15">
        <f>Control!C110+Control!C111</f>
        <v/>
      </c>
      <c r="C15" t="inlineStr">
        <is>
          <t>Should equal 1.00</t>
        </is>
      </c>
      <c r="D15">
        <f>IF(ABS(B15-1)&lt;0.0001,"PASS","CHECK")</f>
        <v/>
      </c>
    </row>
    <row r="16">
      <c r="A16" t="inlineStr">
        <is>
          <t>Funding sheet closes to cashflow</t>
        </is>
      </c>
      <c r="B16">
        <f>'12M_Funding'!O12-'12M_Cashflow'!O14</f>
        <v/>
      </c>
      <c r="C16" t="inlineStr">
        <is>
          <t>Should equal 0</t>
        </is>
      </c>
      <c r="D16">
        <f>IF(ABS(B16)&lt;0.0001,"PASS","CHECK")</f>
        <v/>
      </c>
    </row>
    <row r="17">
      <c r="A17" t="inlineStr">
        <is>
          <t>Year-1 ending cash after funding</t>
        </is>
      </c>
      <c r="B17">
        <f>'12M_Cashflow'!C29</f>
        <v/>
      </c>
      <c r="C17" t="inlineStr">
        <is>
          <t>Informational</t>
        </is>
      </c>
      <c r="D17" t="inlineStr">
        <is>
          <t>INFO</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2026-04-17T08:14:48Z</dcterms:created>
  <dcterms:modified xmlns:dcterms="http://purl.org/dc/terms/" xmlns:xsi="http://www.w3.org/2001/XMLSchema-instance" xsi:type="dcterms:W3CDTF">2026-04-17T08:19:46Z</dcterms:modified>
</cp:coreProperties>
</file>