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1b6d0a93824b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11e8b5656f94d37"/>
    <x:sheet xmlns:r="http://schemas.openxmlformats.org/officeDocument/2006/relationships" name="Inputs" sheetId="2" r:id="R515b3c2400e54ea4"/>
    <x:sheet xmlns:r="http://schemas.openxmlformats.org/officeDocument/2006/relationships" name="Deployment_36M" sheetId="3" r:id="R3c456ca3a3974072"/>
    <x:sheet xmlns:r="http://schemas.openxmlformats.org/officeDocument/2006/relationships" name="Revenue_36M" sheetId="4" r:id="Rbbb3a4de0d974337"/>
    <x:sheet xmlns:r="http://schemas.openxmlformats.org/officeDocument/2006/relationships" name="Opex_36M" sheetId="5" r:id="R5ef8adf9a7bf4bf5"/>
    <x:sheet xmlns:r="http://schemas.openxmlformats.org/officeDocument/2006/relationships" name="Capex_36M" sheetId="6" r:id="R08dc963bc19d4e91"/>
    <x:sheet xmlns:r="http://schemas.openxmlformats.org/officeDocument/2006/relationships" name="Funding_36M" sheetId="7" r:id="Rcb1f47316b064b12"/>
    <x:sheet xmlns:r="http://schemas.openxmlformats.org/officeDocument/2006/relationships" name="Debt_Schedule" sheetId="8" r:id="Re87e76e6b35549bc"/>
    <x:sheet xmlns:r="http://schemas.openxmlformats.org/officeDocument/2006/relationships" name="Annual_Summary" sheetId="9" r:id="R65a69d2577e24f95"/>
    <x:sheet xmlns:r="http://schemas.openxmlformats.org/officeDocument/2006/relationships" name="Sources_Notes" sheetId="10" r:id="R328b5cbce59b4855"/>
    <x:sheet xmlns:r="http://schemas.openxmlformats.org/officeDocument/2006/relationships" name="Checks" sheetId="11" r:id="Rdd93c13af18f4c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yyyy-mm-dd"/>
    <x:numFmt numFmtId="201" formatCode="#,##0.00"/>
    <x:numFmt numFmtId="202" formatCode="0.0%"/>
    <x:numFmt numFmtId="203" formatCode="#,##0.0"/>
    <x:numFmt numFmtId="204" formatCode="0"/>
    <x:numFmt numFmtId="205" formatCode="mmm-yy"/>
    <x:numFmt numFmtId="206" formatCode="0.0"/>
    <x:numFmt numFmtId="207" formatCode="#,##0;[Red](#,##0);-"/>
    <x:numFmt numFmtId="208" formatCode="0.0x;[Red](0.0x);-"/>
    <x:numFmt numFmtId="209" formatCode="#,##0.0;[Red](#,##0.0);-"/>
    <x:numFmt numFmtId="210" formatCode="0.0%;[Red](0.0%);-"/>
    <x:numFmt numFmtId="211" formatCode="0;[Red](0);-"/>
    <x:numFmt numFmtId="212" formatCode="#,##0.00;[Red](#,##0.00);-"/>
  </x:numFmts>
  <x:fonts count="24">
    <x:font>
      <x:sz val="11"/>
      <x:name val="Carlito"/>
    </x:font>
    <x:font>
      <x:b/>
      <x:sz val="16"/>
      <x:color rgb="FFFFFF"/>
      <x:name val="Carlito"/>
    </x:font>
    <x:font>
      <x:sz val="11"/>
      <x:color rgb="1F2937"/>
      <x:name val="Carlito"/>
    </x:font>
    <x:font>
      <x:b/>
      <x:sz val="11"/>
      <x:color rgb="FFFFFF"/>
      <x:name val="Carlito"/>
    </x:font>
    <x:font>
      <x:sz val="10"/>
      <x:color rgb="111827"/>
      <x:name val="Carlito"/>
    </x:font>
    <x:font>
      <x:b/>
      <x:sz val="10"/>
      <x:color rgb="1F2937"/>
      <x:name val="Carlito"/>
    </x:font>
    <x:font>
      <x:b/>
      <x:sz val="14"/>
      <x:color rgb="FFFFFF"/>
      <x:name val="Carlito"/>
    </x:font>
    <x:font>
      <x:sz val="10"/>
      <x:color rgb="1F2937"/>
      <x:name val="Carlito"/>
    </x:font>
    <x:font>
      <x:sz val="11"/>
      <x:name val="Carlito"/>
    </x:font>
    <x:font>
      <x:sz val="11"/>
      <x:color rgb="008000"/>
      <x:name val="Carlito"/>
    </x:font>
    <x:font>
      <x:sz val="11"/>
      <x:color rgb="000000"/>
      <x:name val="Carlito"/>
    </x:font>
    <x:font>
      <x:b/>
      <x:sz val="18"/>
      <x:color rgb="FFFFFF"/>
      <x:name val="Carlito"/>
    </x:font>
    <x:font>
      <x:b/>
      <x:sz val="12"/>
      <x:color rgb="FFFFFF"/>
      <x:name val="Carlito"/>
    </x:font>
    <x:font>
      <x:b/>
      <x:sz val="10"/>
      <x:color rgb="111827"/>
      <x:name val="Carlito"/>
    </x:font>
    <x:font>
      <x:b/>
      <x:sz val="18"/>
      <x:color rgb="111827"/>
      <x:name val="Carlito"/>
    </x:font>
    <x:font>
      <x:b/>
      <x:sz val="11"/>
      <x:name val="Carlito"/>
    </x:font>
    <x:font>
      <x:b/>
      <x:sz val="12"/>
      <x:name val="Carlito"/>
    </x:font>
    <x:font>
      <x:b/>
      <x:sz val="10"/>
      <x:color rgb="0000FF"/>
      <x:name val="Carlito"/>
    </x:font>
    <x:font>
      <x:sz val="10"/>
      <x:color rgb="0000FF"/>
      <x:name val="Carlito"/>
    </x:font>
    <x:font>
      <x:sz val="10"/>
      <x:color rgb="008000"/>
      <x:name val="Carlito"/>
    </x:font>
    <x:font>
      <x:sz val="11"/>
      <x:color rgb="0000FF"/>
      <x:name val="Carlito"/>
    </x:font>
    <x:font>
      <x:b/>
      <x:sz val="10"/>
      <x:name val="Carlito"/>
    </x:font>
    <x:font>
      <x:sz val="10"/>
      <x:name val="Carlito"/>
    </x:font>
    <x:font>
      <x:b/>
      <x:sz val="10"/>
      <x:color rgb="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2563EB"/>
      </x:patternFill>
    </x:fill>
    <x:fill>
      <x:patternFill patternType="solid">
        <x:fgColor rgb="EFF6FF"/>
      </x:patternFill>
    </x:fill>
    <x:fill>
      <x:patternFill patternType="solid">
        <x:fgColor rgb="1F2937"/>
      </x:patternFill>
    </x:fill>
    <x:fill>
      <x:patternFill patternType="solid">
        <x:fgColor rgb="DBEAFE"/>
      </x:patternFill>
    </x:fill>
    <x:fill>
      <x:patternFill patternType="solid">
        <x:fgColor rgb="FEF3C7"/>
      </x:patternFill>
    </x:fill>
    <x:fill>
      <x:patternFill patternType="solid">
        <x:fgColor rgb="F8FAFC"/>
      </x:patternFill>
    </x:fill>
    <x:fill>
      <x:patternFill patternType="solid">
        <x:fgColor theme="4" tint="0.8"/>
      </x:patternFill>
    </x:fill>
    <x:fill>
      <x:patternFill patternType="solid">
        <x:fgColor theme="4" tint="0.85"/>
      </x:patternFill>
    </x:fill>
    <x:fill>
      <x:patternFill patternType="solid">
        <x:fgColor rgb="111827"/>
      </x:patternFill>
    </x:fill>
    <x:fill>
      <x:patternFill patternType="solid">
        <x:fgColor rgb="F3E8FF"/>
      </x:patternFill>
    </x:fill>
    <x:fill>
      <x:patternFill patternType="solid">
        <x:fgColor rgb="DCFCE7"/>
      </x:patternFill>
    </x:fill>
    <x:fill>
      <x:patternFill patternType="solid">
        <x:fgColor rgb="F3F4F6"/>
      </x:patternFill>
    </x:fill>
  </x:fills>
  <x:borders count="26">
    <x:border/>
    <x:border/>
    <x:border>
      <x:left style="thin">
        <x:color rgb="CBD5E1"/>
      </x:left>
      <x:top style="thin">
        <x:color rgb="CBD5E1"/>
      </x:top>
      <x:bottom style="thin">
        <x:color rgb="CBD5E1"/>
      </x:bottom>
    </x:border>
    <x:border>
      <x:top style="thin">
        <x:color rgb="CBD5E1"/>
      </x:top>
      <x:bottom style="thin">
        <x:color rgb="CBD5E1"/>
      </x:bottom>
    </x:border>
    <x:border>
      <x:right style="thin">
        <x:color rgb="CBD5E1"/>
      </x:right>
      <x:top style="thin">
        <x:color rgb="CBD5E1"/>
      </x:top>
      <x:bottom style="thin">
        <x:color rgb="CBD5E1"/>
      </x:bottom>
    </x:border>
    <x:border>
      <x:left style="thin">
        <x:color rgb="CBD5E1"/>
      </x:left>
      <x:top style="thin">
        <x:color rgb="CBD5E1"/>
      </x:top>
      <x:bottom style="thin">
        <x:color rgb="CBD5E1"/>
      </x:bottom>
    </x:border>
    <x:border>
      <x:top style="thin">
        <x:color rgb="CBD5E1"/>
      </x:top>
      <x:bottom style="thin">
        <x:color rgb="CBD5E1"/>
      </x:bottom>
    </x:border>
    <x:border>
      <x:right style="thin">
        <x:color rgb="CBD5E1"/>
      </x:right>
      <x:top style="thin">
        <x:color rgb="CBD5E1"/>
      </x:top>
      <x:bottom style="thin">
        <x:color rgb="CBD5E1"/>
      </x:bottom>
    </x:border>
    <x:border>
      <x:left style="thin">
        <x:color rgb="CBD5E1"/>
      </x:left>
      <x:top style="thin">
        <x:color rgb="CBD5E1"/>
      </x:top>
    </x:border>
    <x:border>
      <x:top style="thin">
        <x:color rgb="CBD5E1"/>
      </x:top>
    </x:border>
    <x:border>
      <x:right style="thin">
        <x:color rgb="CBD5E1"/>
      </x:right>
      <x:top style="thin">
        <x:color rgb="CBD5E1"/>
      </x:top>
    </x:border>
    <x:border>
      <x:left style="thin">
        <x:color rgb="CBD5E1"/>
      </x:left>
    </x:border>
    <x:border>
      <x:right style="thin">
        <x:color rgb="CBD5E1"/>
      </x:right>
    </x:border>
    <x:border>
      <x:left style="thin">
        <x:color rgb="CBD5E1"/>
      </x:left>
      <x:bottom style="thin">
        <x:color rgb="CBD5E1"/>
      </x:bottom>
    </x:border>
    <x:border>
      <x:bottom style="thin">
        <x:color rgb="CBD5E1"/>
      </x:bottom>
    </x:border>
    <x:border>
      <x:right style="thin">
        <x:color rgb="CBD5E1"/>
      </x:right>
      <x:bottom style="thin">
        <x:color rgb="CBD5E1"/>
      </x:bottom>
    </x:border>
    <x:border>
      <x:left style="thin">
        <x:color rgb="CBD5E1"/>
      </x:left>
      <x:top style="thin">
        <x:color rgb="CBD5E1"/>
      </x:top>
    </x:border>
    <x:border>
      <x:top style="thin">
        <x:color rgb="CBD5E1"/>
      </x:top>
    </x:border>
    <x:border>
      <x:right style="thin">
        <x:color rgb="CBD5E1"/>
      </x:right>
      <x:top style="thin">
        <x:color rgb="CBD5E1"/>
      </x:top>
    </x:border>
    <x:border>
      <x:left style="thin">
        <x:color rgb="CBD5E1"/>
      </x:left>
    </x:border>
    <x:border>
      <x:right style="thin">
        <x:color rgb="CBD5E1"/>
      </x:right>
    </x:border>
    <x:border>
      <x:left style="thin">
        <x:color rgb="CBD5E1"/>
      </x:left>
      <x:bottom style="thin">
        <x:color rgb="CBD5E1"/>
      </x:bottom>
    </x:border>
    <x:border>
      <x:bottom style="thin">
        <x:color rgb="CBD5E1"/>
      </x:bottom>
    </x:border>
    <x:border>
      <x:right style="thin">
        <x:color rgb="CBD5E1"/>
      </x:right>
      <x:bottom style="thin">
        <x:color rgb="CBD5E1"/>
      </x:bottom>
    </x:border>
    <x:border>
      <x:left style="thin">
        <x:color rgb="CBD5E1"/>
      </x:left>
      <x:right style="thin">
        <x:color rgb="CBD5E1"/>
      </x:right>
      <x:top style="thin">
        <x:color rgb="CBD5E1"/>
      </x:top>
      <x:bottom style="thin">
        <x:color rgb="CBD5E1"/>
      </x:bottom>
    </x:border>
    <x:border>
      <x:left style="thin">
        <x:color rgb="CBD5E1"/>
      </x:left>
      <x:right style="thin">
        <x:color rgb="CBD5E1"/>
      </x:right>
      <x:top style="thin">
        <x:color rgb="CBD5E1"/>
      </x:top>
      <x:bottom style="thin">
        <x:color rgb="CBD5E1"/>
      </x:bottom>
    </x:border>
  </x:borders>
  <x:cellStyleXfs count="1">
    <x:xf numFmtId="0" fontId="0" fillId="0" borderId="0"/>
  </x:cellStyleXfs>
  <x:cellXfs count="14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4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4" borderId="4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horizontal="center"/>
    </x:xf>
    <x:xf numFmtId="0" fontId="3" fillId="4" borderId="6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 applyAlignment="1">
      <x:alignment horizontal="center" vertic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20" xfId="0" applyNumberFormat="1" applyFont="1" applyFill="1" applyBorder="1"/>
    <x:xf numFmtId="0" fontId="4" fillId="0" borderId="21" xfId="0" applyNumberFormat="1" applyFont="1" applyFill="1" applyBorder="1"/>
    <x:xf numFmtId="0" fontId="4" fillId="0" borderId="22" xfId="0" applyNumberFormat="1" applyFont="1" applyFill="1" applyBorder="1"/>
    <x:xf numFmtId="0" fontId="4" fillId="0" borderId="23" xfId="0" applyNumberFormat="1" applyFont="1" applyFill="1" applyBorder="1"/>
    <x:xf numFmtId="0" fontId="4" fillId="0" borderId="10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18" xfId="0" applyNumberFormat="1" applyFont="1" applyFill="1" applyBorder="1" applyAlignment="1">
      <x:alignment wrapText="1"/>
    </x:xf>
    <x:xf numFmtId="0" fontId="4" fillId="0" borderId="20" xfId="0" applyNumberFormat="1" applyFont="1" applyFill="1" applyBorder="1" applyAlignment="1">
      <x:alignment wrapText="1"/>
    </x:xf>
    <x:xf numFmtId="0" fontId="4" fillId="0" borderId="23" xfId="0" applyNumberFormat="1" applyFont="1" applyFill="1" applyBorder="1" applyAlignment="1">
      <x:alignment wrapText="1"/>
    </x:xf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 applyAlignment="1">
      <x:alignment wrapText="1"/>
    </x:xf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4" fillId="5" borderId="16" xfId="0" applyNumberFormat="1" applyFont="1" applyFill="1" applyBorder="1"/>
    <x:xf numFmtId="0" fontId="4" fillId="5" borderId="17" xfId="0" applyNumberFormat="1" applyFont="1" applyFill="1" applyBorder="1"/>
    <x:xf numFmtId="0" fontId="4" fillId="5" borderId="18" xfId="0" applyNumberFormat="1" applyFont="1" applyFill="1" applyBorder="1" applyAlignment="1">
      <x:alignment wrapText="1"/>
    </x:xf>
    <x:xf numFmtId="0" fontId="5" fillId="5" borderId="16" xfId="0" applyNumberFormat="1" applyFont="1" applyFill="1" applyBorder="1"/>
    <x:xf numFmtId="0" fontId="5" fillId="5" borderId="17" xfId="0" applyNumberFormat="1" applyFont="1" applyFill="1" applyBorder="1"/>
    <x:xf numFmtId="0" fontId="5" fillId="5" borderId="18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24" xfId="0" applyNumberFormat="1" applyFont="1" applyFill="1" applyBorder="1"/>
    <x:xf numFmtId="0" fontId="4" fillId="6" borderId="25" xfId="0" applyNumberFormat="1" applyFont="1" applyFill="1" applyBorder="1"/>
    <x:xf numFmtId="0" fontId="4" fillId="7" borderId="11" xfId="0" applyNumberFormat="1" applyFont="1" applyFill="1" applyBorder="1"/>
    <x:xf numFmtId="0" fontId="4" fillId="7" borderId="0" xfId="0" applyNumberFormat="1" applyFont="1" applyFill="1" applyBorder="1"/>
    <x:xf numFmtId="0" fontId="4" fillId="7" borderId="19" xfId="0" applyNumberFormat="1" applyFont="1" applyFill="1" applyBorder="1"/>
    <x:xf numFmtId="0" fontId="4" fillId="7" borderId="1" xfId="0" applyNumberFormat="1" applyFont="1" applyFill="1" applyBorder="1"/>
    <x:xf numFmtId="0" fontId="4" fillId="7" borderId="12" xfId="0" applyNumberFormat="1" applyFont="1" applyFill="1" applyBorder="1" applyAlignment="1">
      <x:alignment wrapText="1"/>
    </x:xf>
    <x:xf numFmtId="0" fontId="4" fillId="7" borderId="20" xfId="0" applyNumberFormat="1" applyFont="1" applyFill="1" applyBorder="1" applyAlignment="1">
      <x:alignment wrapText="1"/>
    </x:xf>
    <x:xf numFmtId="0" fontId="4" fillId="5" borderId="11" xfId="0" applyNumberFormat="1" applyFont="1" applyFill="1" applyBorder="1"/>
    <x:xf numFmtId="0" fontId="4" fillId="5" borderId="0" xfId="0" applyNumberFormat="1" applyFont="1" applyFill="1" applyBorder="1"/>
    <x:xf numFmtId="0" fontId="4" fillId="5" borderId="12" xfId="0" applyNumberFormat="1" applyFont="1" applyFill="1" applyBorder="1" applyAlignment="1">
      <x:alignment wrapText="1"/>
    </x:xf>
    <x:xf numFmtId="0" fontId="5" fillId="5" borderId="11" xfId="0" applyNumberFormat="1" applyFont="1" applyFill="1" applyBorder="1"/>
    <x:xf numFmtId="0" fontId="5" fillId="5" borderId="0" xfId="0" applyNumberFormat="1" applyFont="1" applyFill="1" applyBorder="1"/>
    <x:xf numFmtId="0" fontId="5" fillId="5" borderId="12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4" fillId="5" borderId="19" xfId="0" applyNumberFormat="1" applyFont="1" applyFill="1" applyBorder="1"/>
    <x:xf numFmtId="0" fontId="4" fillId="5" borderId="1" xfId="0" applyNumberFormat="1" applyFont="1" applyFill="1" applyBorder="1"/>
    <x:xf numFmtId="0" fontId="4" fillId="5" borderId="20" xfId="0" applyNumberFormat="1" applyFont="1" applyFill="1" applyBorder="1" applyAlignment="1">
      <x:alignment wrapText="1"/>
    </x:xf>
    <x:xf numFmtId="0" fontId="5" fillId="5" borderId="19" xfId="0" applyNumberFormat="1" applyFont="1" applyFill="1" applyBorder="1"/>
    <x:xf numFmtId="0" fontId="5" fillId="5" borderId="1" xfId="0" applyNumberFormat="1" applyFont="1" applyFill="1" applyBorder="1"/>
    <x:xf numFmtId="0" fontId="5" fillId="5" borderId="20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4" fillId="6" borderId="14" xfId="0" applyNumberFormat="1" applyFont="1" applyFill="1" applyBorder="1"/>
    <x:xf numFmtId="0" fontId="4" fillId="6" borderId="22" xfId="0" applyNumberFormat="1" applyFont="1" applyFill="1" applyBorder="1"/>
    <x:xf numFmtId="0" fontId="4" fillId="7" borderId="13" xfId="0" applyNumberFormat="1" applyFont="1" applyFill="1" applyBorder="1"/>
    <x:xf numFmtId="0" fontId="4" fillId="7" borderId="14" xfId="0" applyNumberFormat="1" applyFont="1" applyFill="1" applyBorder="1"/>
    <x:xf numFmtId="0" fontId="4" fillId="7" borderId="21" xfId="0" applyNumberFormat="1" applyFont="1" applyFill="1" applyBorder="1"/>
    <x:xf numFmtId="0" fontId="4" fillId="7" borderId="22" xfId="0" applyNumberFormat="1" applyFont="1" applyFill="1" applyBorder="1"/>
    <x:xf numFmtId="0" fontId="4" fillId="7" borderId="15" xfId="0" applyNumberFormat="1" applyFont="1" applyFill="1" applyBorder="1" applyAlignment="1">
      <x:alignment wrapText="1"/>
    </x:xf>
    <x:xf numFmtId="0" fontId="4" fillId="7" borderId="23" xfId="0" applyNumberFormat="1" applyFont="1" applyFill="1" applyBorder="1" applyAlignment="1">
      <x:alignment wrapText="1"/>
    </x:xf>
    <x:xf numFmtId="200" fontId="4" fillId="6" borderId="24" xfId="0" applyNumberFormat="1" applyFont="1" applyFill="1" applyBorder="1"/>
    <x:xf numFmtId="200" fontId="4" fillId="6" borderId="25" xfId="0" applyNumberFormat="1" applyFont="1" applyFill="1" applyBorder="1"/>
    <x:xf numFmtId="201" fontId="4" fillId="6" borderId="24" xfId="0" applyNumberFormat="1" applyFont="1" applyFill="1" applyBorder="1"/>
    <x:xf numFmtId="201" fontId="4" fillId="6" borderId="25" xfId="0" applyNumberFormat="1" applyFont="1" applyFill="1" applyBorder="1"/>
    <x:xf numFmtId="202" fontId="4" fillId="6" borderId="24" xfId="0" applyNumberFormat="1" applyFont="1" applyFill="1" applyBorder="1"/>
    <x:xf numFmtId="202" fontId="4" fillId="6" borderId="25" xfId="0" applyNumberFormat="1" applyFont="1" applyFill="1" applyBorder="1"/>
    <x:xf numFmtId="203" fontId="4" fillId="6" borderId="24" xfId="0" applyNumberFormat="1" applyFont="1" applyFill="1" applyBorder="1"/>
    <x:xf numFmtId="203" fontId="4" fillId="6" borderId="25" xfId="0" applyNumberFormat="1" applyFont="1" applyFill="1" applyBorder="1"/>
    <x:xf numFmtId="204" fontId="4" fillId="6" borderId="24" xfId="0" applyNumberFormat="1" applyFont="1" applyFill="1" applyBorder="1"/>
    <x:xf numFmtId="204" fontId="4" fillId="6" borderId="25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205" fontId="0" fillId="7" borderId="0" xfId="0" applyNumberFormat="1" applyFont="1" applyFill="1" applyBorder="1"/>
    <x:xf numFmtId="205" fontId="0" fillId="7" borderId="1" xfId="0" applyNumberFormat="1" applyFont="1" applyFill="1" applyBorder="1"/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10" xfId="0" applyNumberFormat="1" applyFont="1" applyFill="1" applyBorder="1" applyAlignment="1">
      <x:alignment horizontal="center"/>
    </x:xf>
    <x:xf numFmtId="0" fontId="3" fillId="4" borderId="11" xfId="0" applyNumberFormat="1" applyFont="1" applyFill="1" applyBorder="1" applyAlignment="1">
      <x:alignment horizontal="center"/>
    </x:xf>
    <x:xf numFmtId="0" fontId="3" fillId="4" borderId="12" xfId="0" applyNumberFormat="1" applyFont="1" applyFill="1" applyBorder="1" applyAlignment="1">
      <x:alignment horizontal="center"/>
    </x:xf>
    <x:xf numFmtId="0" fontId="0" fillId="7" borderId="11" xfId="0" applyNumberFormat="1" applyFont="1" applyFill="1" applyBorder="1"/>
    <x:xf numFmtId="0" fontId="0" fillId="7" borderId="12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3" fillId="4" borderId="16" xfId="0" applyNumberFormat="1" applyFont="1" applyFill="1" applyBorder="1" applyAlignment="1">
      <x:alignment horizontal="center"/>
    </x:xf>
    <x:xf numFmtId="0" fontId="3" fillId="4" borderId="17" xfId="0" applyNumberFormat="1" applyFont="1" applyFill="1" applyBorder="1" applyAlignment="1">
      <x:alignment horizontal="center"/>
    </x:xf>
    <x:xf numFmtId="0" fontId="3" fillId="4" borderId="18" xfId="0" applyNumberFormat="1" applyFont="1" applyFill="1" applyBorder="1" applyAlignment="1">
      <x:alignment horizontal="center"/>
    </x:xf>
    <x:xf numFmtId="0" fontId="3" fillId="4" borderId="19" xfId="0" applyNumberFormat="1" applyFont="1" applyFill="1" applyBorder="1" applyAlignment="1">
      <x:alignment horizontal="center"/>
    </x:xf>
    <x:xf numFmtId="0" fontId="3" fillId="4" borderId="20" xfId="0" applyNumberFormat="1" applyFont="1" applyFill="1" applyBorder="1" applyAlignment="1">
      <x:alignment horizontal="center"/>
    </x:xf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205" fontId="0" fillId="7" borderId="8" xfId="0" applyNumberFormat="1" applyFont="1" applyFill="1" applyBorder="1"/>
    <x:xf numFmtId="205" fontId="0" fillId="7" borderId="9" xfId="0" applyNumberFormat="1" applyFont="1" applyFill="1" applyBorder="1"/>
    <x:xf numFmtId="205" fontId="0" fillId="7" borderId="10" xfId="0" applyNumberFormat="1" applyFont="1" applyFill="1" applyBorder="1"/>
    <x:xf numFmtId="205" fontId="0" fillId="7" borderId="16" xfId="0" applyNumberFormat="1" applyFont="1" applyFill="1" applyBorder="1"/>
    <x:xf numFmtId="205" fontId="0" fillId="7" borderId="17" xfId="0" applyNumberFormat="1" applyFont="1" applyFill="1" applyBorder="1"/>
    <x:xf numFmtId="205" fontId="0" fillId="7" borderId="18" xfId="0" applyNumberFormat="1" applyFont="1" applyFill="1" applyBorder="1"/>
    <x:xf numFmtId="206" fontId="0" fillId="0" borderId="11" xfId="0" applyNumberFormat="1" applyFont="1" applyFill="1" applyBorder="1"/>
    <x:xf numFmtId="206" fontId="0" fillId="0" borderId="0" xfId="0" applyNumberFormat="1" applyFont="1" applyFill="1" applyBorder="1"/>
    <x:xf numFmtId="206" fontId="0" fillId="0" borderId="12" xfId="0" applyNumberFormat="1" applyFont="1" applyFill="1" applyBorder="1"/>
    <x:xf numFmtId="206" fontId="0" fillId="0" borderId="19" xfId="0" applyNumberFormat="1" applyFont="1" applyFill="1" applyBorder="1"/>
    <x:xf numFmtId="206" fontId="0" fillId="0" borderId="1" xfId="0" applyNumberFormat="1" applyFont="1" applyFill="1" applyBorder="1"/>
    <x:xf numFmtId="206" fontId="0" fillId="0" borderId="20" xfId="0" applyNumberFormat="1" applyFont="1" applyFill="1" applyBorder="1"/>
    <x:xf numFmtId="206" fontId="0" fillId="0" borderId="13" xfId="0" applyNumberFormat="1" applyFont="1" applyFill="1" applyBorder="1"/>
    <x:xf numFmtId="206" fontId="0" fillId="0" borderId="14" xfId="0" applyNumberFormat="1" applyFont="1" applyFill="1" applyBorder="1"/>
    <x:xf numFmtId="206" fontId="0" fillId="0" borderId="15" xfId="0" applyNumberFormat="1" applyFont="1" applyFill="1" applyBorder="1"/>
    <x:xf numFmtId="206" fontId="0" fillId="0" borderId="21" xfId="0" applyNumberFormat="1" applyFont="1" applyFill="1" applyBorder="1"/>
    <x:xf numFmtId="206" fontId="0" fillId="0" borderId="22" xfId="0" applyNumberFormat="1" applyFont="1" applyFill="1" applyBorder="1"/>
    <x:xf numFmtId="206" fontId="0" fillId="0" borderId="23" xfId="0" applyNumberFormat="1" applyFont="1" applyFill="1" applyBorder="1"/>
    <x:xf numFmtId="204" fontId="0" fillId="7" borderId="11" xfId="0" applyNumberFormat="1" applyFont="1" applyFill="1" applyBorder="1"/>
    <x:xf numFmtId="204" fontId="0" fillId="7" borderId="0" xfId="0" applyNumberFormat="1" applyFont="1" applyFill="1" applyBorder="1"/>
    <x:xf numFmtId="204" fontId="0" fillId="7" borderId="12" xfId="0" applyNumberFormat="1" applyFont="1" applyFill="1" applyBorder="1"/>
    <x:xf numFmtId="204" fontId="0" fillId="7" borderId="19" xfId="0" applyNumberFormat="1" applyFont="1" applyFill="1" applyBorder="1"/>
    <x:xf numFmtId="204" fontId="0" fillId="7" borderId="1" xfId="0" applyNumberFormat="1" applyFont="1" applyFill="1" applyBorder="1"/>
    <x:xf numFmtId="204" fontId="0" fillId="7" borderId="20" xfId="0" applyNumberFormat="1" applyFont="1" applyFill="1" applyBorder="1"/>
    <x:xf numFmtId="0" fontId="0" fillId="8" borderId="11" xfId="0" applyNumberFormat="1" applyFont="1" applyFill="1" applyBorder="1"/>
    <x:xf numFmtId="0" fontId="0" fillId="8" borderId="0" xfId="0" applyNumberFormat="1" applyFont="1" applyFill="1" applyBorder="1"/>
    <x:xf numFmtId="0" fontId="0" fillId="8" borderId="12" xfId="0" applyNumberFormat="1" applyFont="1" applyFill="1" applyBorder="1"/>
    <x:xf numFmtId="206" fontId="0" fillId="8" borderId="11" xfId="0" applyNumberFormat="1" applyFont="1" applyFill="1" applyBorder="1"/>
    <x:xf numFmtId="206" fontId="0" fillId="8" borderId="0" xfId="0" applyNumberFormat="1" applyFont="1" applyFill="1" applyBorder="1"/>
    <x:xf numFmtId="206" fontId="0" fillId="8" borderId="12" xfId="0" applyNumberFormat="1" applyFont="1" applyFill="1" applyBorder="1"/>
    <x:xf numFmtId="0" fontId="0" fillId="8" borderId="19" xfId="0" applyNumberFormat="1" applyFont="1" applyFill="1" applyBorder="1"/>
    <x:xf numFmtId="0" fontId="0" fillId="8" borderId="1" xfId="0" applyNumberFormat="1" applyFont="1" applyFill="1" applyBorder="1"/>
    <x:xf numFmtId="0" fontId="0" fillId="8" borderId="20" xfId="0" applyNumberFormat="1" applyFont="1" applyFill="1" applyBorder="1"/>
    <x:xf numFmtId="206" fontId="0" fillId="8" borderId="19" xfId="0" applyNumberFormat="1" applyFont="1" applyFill="1" applyBorder="1"/>
    <x:xf numFmtId="206" fontId="0" fillId="8" borderId="1" xfId="0" applyNumberFormat="1" applyFont="1" applyFill="1" applyBorder="1"/>
    <x:xf numFmtId="206" fontId="0" fillId="8" borderId="20" xfId="0" applyNumberFormat="1" applyFont="1" applyFill="1" applyBorder="1"/>
    <x:xf numFmtId="206" fontId="0" fillId="6" borderId="11" xfId="0" applyNumberFormat="1" applyFont="1" applyFill="1" applyBorder="1"/>
    <x:xf numFmtId="206" fontId="0" fillId="6" borderId="0" xfId="0" applyNumberFormat="1" applyFont="1" applyFill="1" applyBorder="1"/>
    <x:xf numFmtId="206" fontId="0" fillId="6" borderId="12" xfId="0" applyNumberFormat="1" applyFont="1" applyFill="1" applyBorder="1"/>
    <x:xf numFmtId="206" fontId="0" fillId="6" borderId="19" xfId="0" applyNumberFormat="1" applyFont="1" applyFill="1" applyBorder="1"/>
    <x:xf numFmtId="206" fontId="0" fillId="6" borderId="1" xfId="0" applyNumberFormat="1" applyFont="1" applyFill="1" applyBorder="1"/>
    <x:xf numFmtId="206" fontId="0" fillId="6" borderId="20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205" fontId="0" fillId="0" borderId="8" xfId="0" applyNumberFormat="1" applyFont="1" applyFill="1" applyBorder="1"/>
    <x:xf numFmtId="205" fontId="0" fillId="0" borderId="9" xfId="0" applyNumberFormat="1" applyFont="1" applyFill="1" applyBorder="1"/>
    <x:xf numFmtId="205" fontId="0" fillId="0" borderId="10" xfId="0" applyNumberFormat="1" applyFont="1" applyFill="1" applyBorder="1"/>
    <x:xf numFmtId="205" fontId="0" fillId="0" borderId="16" xfId="0" applyNumberFormat="1" applyFont="1" applyFill="1" applyBorder="1"/>
    <x:xf numFmtId="205" fontId="0" fillId="0" borderId="17" xfId="0" applyNumberFormat="1" applyFont="1" applyFill="1" applyBorder="1"/>
    <x:xf numFmtId="205" fontId="0" fillId="0" borderId="18" xfId="0" applyNumberFormat="1" applyFont="1" applyFill="1" applyBorder="1"/>
    <x:xf numFmtId="204" fontId="0" fillId="0" borderId="11" xfId="0" applyNumberFormat="1" applyFont="1" applyFill="1" applyBorder="1"/>
    <x:xf numFmtId="204" fontId="0" fillId="0" borderId="0" xfId="0" applyNumberFormat="1" applyFont="1" applyFill="1" applyBorder="1"/>
    <x:xf numFmtId="204" fontId="0" fillId="0" borderId="12" xfId="0" applyNumberFormat="1" applyFont="1" applyFill="1" applyBorder="1"/>
    <x:xf numFmtId="204" fontId="0" fillId="0" borderId="19" xfId="0" applyNumberFormat="1" applyFont="1" applyFill="1" applyBorder="1"/>
    <x:xf numFmtId="204" fontId="0" fillId="0" borderId="1" xfId="0" applyNumberFormat="1" applyFont="1" applyFill="1" applyBorder="1"/>
    <x:xf numFmtId="204" fontId="0" fillId="0" borderId="20" xfId="0" applyNumberFormat="1" applyFont="1" applyFill="1" applyBorder="1"/>
    <x:xf numFmtId="201" fontId="0" fillId="0" borderId="11" xfId="0" applyNumberFormat="1" applyFont="1" applyFill="1" applyBorder="1"/>
    <x:xf numFmtId="201" fontId="0" fillId="0" borderId="0" xfId="0" applyNumberFormat="1" applyFont="1" applyFill="1" applyBorder="1"/>
    <x:xf numFmtId="201" fontId="0" fillId="0" borderId="12" xfId="0" applyNumberFormat="1" applyFont="1" applyFill="1" applyBorder="1"/>
    <x:xf numFmtId="201" fontId="0" fillId="0" borderId="19" xfId="0" applyNumberFormat="1" applyFont="1" applyFill="1" applyBorder="1"/>
    <x:xf numFmtId="201" fontId="0" fillId="0" borderId="1" xfId="0" applyNumberFormat="1" applyFont="1" applyFill="1" applyBorder="1"/>
    <x:xf numFmtId="201" fontId="0" fillId="0" borderId="20" xfId="0" applyNumberFormat="1" applyFont="1" applyFill="1" applyBorder="1"/>
    <x:xf numFmtId="203" fontId="0" fillId="0" borderId="11" xfId="0" applyNumberFormat="1" applyFont="1" applyFill="1" applyBorder="1"/>
    <x:xf numFmtId="203" fontId="0" fillId="0" borderId="0" xfId="0" applyNumberFormat="1" applyFont="1" applyFill="1" applyBorder="1"/>
    <x:xf numFmtId="203" fontId="0" fillId="0" borderId="12" xfId="0" applyNumberFormat="1" applyFont="1" applyFill="1" applyBorder="1"/>
    <x:xf numFmtId="203" fontId="0" fillId="0" borderId="19" xfId="0" applyNumberFormat="1" applyFont="1" applyFill="1" applyBorder="1"/>
    <x:xf numFmtId="203" fontId="0" fillId="0" borderId="1" xfId="0" applyNumberFormat="1" applyFont="1" applyFill="1" applyBorder="1"/>
    <x:xf numFmtId="203" fontId="0" fillId="0" borderId="20" xfId="0" applyNumberFormat="1" applyFont="1" applyFill="1" applyBorder="1"/>
    <x:xf numFmtId="203" fontId="0" fillId="0" borderId="13" xfId="0" applyNumberFormat="1" applyFont="1" applyFill="1" applyBorder="1"/>
    <x:xf numFmtId="203" fontId="0" fillId="0" borderId="14" xfId="0" applyNumberFormat="1" applyFont="1" applyFill="1" applyBorder="1"/>
    <x:xf numFmtId="203" fontId="0" fillId="0" borderId="15" xfId="0" applyNumberFormat="1" applyFont="1" applyFill="1" applyBorder="1"/>
    <x:xf numFmtId="203" fontId="0" fillId="0" borderId="21" xfId="0" applyNumberFormat="1" applyFont="1" applyFill="1" applyBorder="1"/>
    <x:xf numFmtId="203" fontId="0" fillId="0" borderId="22" xfId="0" applyNumberFormat="1" applyFont="1" applyFill="1" applyBorder="1"/>
    <x:xf numFmtId="203" fontId="0" fillId="0" borderId="23" xfId="0" applyNumberFormat="1" applyFont="1" applyFill="1" applyBorder="1"/>
    <x:xf numFmtId="0" fontId="0" fillId="9" borderId="11" xfId="0" applyNumberFormat="1" applyFont="1" applyFill="1" applyBorder="1"/>
    <x:xf numFmtId="0" fontId="0" fillId="9" borderId="0" xfId="0" applyNumberFormat="1" applyFont="1" applyFill="1" applyBorder="1"/>
    <x:xf numFmtId="0" fontId="0" fillId="9" borderId="12" xfId="0" applyNumberFormat="1" applyFont="1" applyFill="1" applyBorder="1"/>
    <x:xf numFmtId="201" fontId="0" fillId="9" borderId="11" xfId="0" applyNumberFormat="1" applyFont="1" applyFill="1" applyBorder="1"/>
    <x:xf numFmtId="201" fontId="0" fillId="9" borderId="0" xfId="0" applyNumberFormat="1" applyFont="1" applyFill="1" applyBorder="1"/>
    <x:xf numFmtId="201" fontId="0" fillId="9" borderId="12" xfId="0" applyNumberFormat="1" applyFont="1" applyFill="1" applyBorder="1"/>
    <x:xf numFmtId="0" fontId="0" fillId="9" borderId="19" xfId="0" applyNumberFormat="1" applyFont="1" applyFill="1" applyBorder="1"/>
    <x:xf numFmtId="0" fontId="0" fillId="9" borderId="1" xfId="0" applyNumberFormat="1" applyFont="1" applyFill="1" applyBorder="1"/>
    <x:xf numFmtId="0" fontId="0" fillId="9" borderId="20" xfId="0" applyNumberFormat="1" applyFont="1" applyFill="1" applyBorder="1"/>
    <x:xf numFmtId="201" fontId="0" fillId="9" borderId="19" xfId="0" applyNumberFormat="1" applyFont="1" applyFill="1" applyBorder="1"/>
    <x:xf numFmtId="201" fontId="0" fillId="9" borderId="1" xfId="0" applyNumberFormat="1" applyFont="1" applyFill="1" applyBorder="1"/>
    <x:xf numFmtId="201" fontId="0" fillId="9" borderId="20" xfId="0" applyNumberFormat="1" applyFont="1" applyFill="1" applyBorder="1"/>
    <x:xf numFmtId="203" fontId="0" fillId="9" borderId="11" xfId="0" applyNumberFormat="1" applyFont="1" applyFill="1" applyBorder="1"/>
    <x:xf numFmtId="203" fontId="0" fillId="9" borderId="0" xfId="0" applyNumberFormat="1" applyFont="1" applyFill="1" applyBorder="1"/>
    <x:xf numFmtId="203" fontId="0" fillId="9" borderId="12" xfId="0" applyNumberFormat="1" applyFont="1" applyFill="1" applyBorder="1"/>
    <x:xf numFmtId="203" fontId="0" fillId="9" borderId="19" xfId="0" applyNumberFormat="1" applyFont="1" applyFill="1" applyBorder="1"/>
    <x:xf numFmtId="203" fontId="0" fillId="9" borderId="1" xfId="0" applyNumberFormat="1" applyFont="1" applyFill="1" applyBorder="1"/>
    <x:xf numFmtId="203" fontId="0" fillId="9" borderId="20" xfId="0" applyNumberFormat="1" applyFont="1" applyFill="1" applyBorder="1"/>
    <x:xf numFmtId="0" fontId="0" fillId="9" borderId="13" xfId="0" applyNumberFormat="1" applyFont="1" applyFill="1" applyBorder="1"/>
    <x:xf numFmtId="0" fontId="0" fillId="9" borderId="14" xfId="0" applyNumberFormat="1" applyFont="1" applyFill="1" applyBorder="1"/>
    <x:xf numFmtId="0" fontId="0" fillId="9" borderId="15" xfId="0" applyNumberFormat="1" applyFont="1" applyFill="1" applyBorder="1"/>
    <x:xf numFmtId="203" fontId="0" fillId="9" borderId="13" xfId="0" applyNumberFormat="1" applyFont="1" applyFill="1" applyBorder="1"/>
    <x:xf numFmtId="203" fontId="0" fillId="9" borderId="14" xfId="0" applyNumberFormat="1" applyFont="1" applyFill="1" applyBorder="1"/>
    <x:xf numFmtId="203" fontId="0" fillId="9" borderId="15" xfId="0" applyNumberFormat="1" applyFont="1" applyFill="1" applyBorder="1"/>
    <x:xf numFmtId="0" fontId="0" fillId="9" borderId="21" xfId="0" applyNumberFormat="1" applyFont="1" applyFill="1" applyBorder="1"/>
    <x:xf numFmtId="0" fontId="0" fillId="9" borderId="22" xfId="0" applyNumberFormat="1" applyFont="1" applyFill="1" applyBorder="1"/>
    <x:xf numFmtId="0" fontId="0" fillId="9" borderId="23" xfId="0" applyNumberFormat="1" applyFont="1" applyFill="1" applyBorder="1"/>
    <x:xf numFmtId="203" fontId="0" fillId="9" borderId="21" xfId="0" applyNumberFormat="1" applyFont="1" applyFill="1" applyBorder="1"/>
    <x:xf numFmtId="203" fontId="0" fillId="9" borderId="22" xfId="0" applyNumberFormat="1" applyFont="1" applyFill="1" applyBorder="1"/>
    <x:xf numFmtId="203" fontId="0" fillId="9" borderId="23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2" borderId="7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1" fillId="2" borderId="7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/>
    <x:xf numFmtId="0" fontId="8" fillId="3" borderId="2" xfId="0" applyNumberFormat="1" applyFont="1" applyFill="1" applyBorder="1"/>
    <x:xf numFmtId="0" fontId="8" fillId="3" borderId="3" xfId="0" applyNumberFormat="1" applyFont="1" applyFill="1" applyBorder="1"/>
    <x:xf numFmtId="0" fontId="8" fillId="3" borderId="4" xfId="0" applyNumberFormat="1" applyFont="1" applyFill="1" applyBorder="1"/>
    <x:xf numFmtId="0" fontId="8" fillId="3" borderId="2" xfId="0" applyNumberFormat="1" applyFont="1" applyFill="1" applyBorder="1" applyAlignment="1">
      <x:alignment wrapText="1"/>
    </x:xf>
    <x:xf numFmtId="0" fontId="8" fillId="3" borderId="3" xfId="0" applyNumberFormat="1" applyFont="1" applyFill="1" applyBorder="1" applyAlignment="1">
      <x:alignment wrapText="1"/>
    </x:xf>
    <x:xf numFmtId="0" fontId="8" fillId="3" borderId="4" xfId="0" applyNumberFormat="1" applyFont="1" applyFill="1" applyBorder="1" applyAlignment="1">
      <x:alignment wrapText="1"/>
    </x:xf>
    <x:xf numFmtId="0" fontId="8" fillId="3" borderId="2" xfId="0" applyNumberFormat="1" applyFont="1" applyFill="1" applyBorder="1" applyAlignment="1">
      <x:alignment horizontal="center" wrapText="1"/>
    </x:xf>
    <x:xf numFmtId="0" fontId="8" fillId="3" borderId="3" xfId="0" applyNumberFormat="1" applyFont="1" applyFill="1" applyBorder="1" applyAlignment="1">
      <x:alignment horizontal="center" wrapText="1"/>
    </x:xf>
    <x:xf numFmtId="0" fontId="8" fillId="3" borderId="4" xfId="0" applyNumberFormat="1" applyFont="1" applyFill="1" applyBorder="1" applyAlignment="1">
      <x:alignment horizont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8" fillId="3" borderId="4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/>
    <x:xf numFmtId="0" fontId="8" fillId="3" borderId="5" xfId="0" applyNumberFormat="1" applyFont="1" applyFill="1" applyBorder="1"/>
    <x:xf numFmtId="0" fontId="8" fillId="3" borderId="6" xfId="0" applyNumberFormat="1" applyFont="1" applyFill="1" applyBorder="1"/>
    <x:xf numFmtId="0" fontId="8" fillId="3" borderId="7" xfId="0" applyNumberFormat="1" applyFont="1" applyFill="1" applyBorder="1"/>
    <x:xf numFmtId="0" fontId="8" fillId="3" borderId="5" xfId="0" applyNumberFormat="1" applyFont="1" applyFill="1" applyBorder="1" applyAlignment="1">
      <x:alignment wrapText="1"/>
    </x:xf>
    <x:xf numFmtId="0" fontId="8" fillId="3" borderId="6" xfId="0" applyNumberFormat="1" applyFont="1" applyFill="1" applyBorder="1" applyAlignment="1">
      <x:alignment wrapText="1"/>
    </x:xf>
    <x:xf numFmtId="0" fontId="8" fillId="3" borderId="7" xfId="0" applyNumberFormat="1" applyFont="1" applyFill="1" applyBorder="1" applyAlignment="1">
      <x:alignment wrapText="1"/>
    </x:xf>
    <x:xf numFmtId="0" fontId="8" fillId="3" borderId="5" xfId="0" applyNumberFormat="1" applyFont="1" applyFill="1" applyBorder="1" applyAlignment="1">
      <x:alignment horizontal="center" wrapText="1"/>
    </x:xf>
    <x:xf numFmtId="0" fontId="8" fillId="3" borderId="6" xfId="0" applyNumberFormat="1" applyFont="1" applyFill="1" applyBorder="1" applyAlignment="1">
      <x:alignment horizontal="center" wrapText="1"/>
    </x:xf>
    <x:xf numFmtId="0" fontId="8" fillId="3" borderId="7" xfId="0" applyNumberFormat="1" applyFont="1" applyFill="1" applyBorder="1" applyAlignment="1">
      <x:alignment horizontal="center" wrapText="1"/>
    </x:xf>
    <x:xf numFmtId="0" fontId="8" fillId="3" borderId="5" xfId="0" applyNumberFormat="1" applyFont="1" applyFill="1" applyBorder="1" applyAlignment="1">
      <x:alignment horizontal="center" vertical="center" wrapText="1"/>
    </x:xf>
    <x:xf numFmtId="0" fontId="8" fillId="3" borderId="6" xfId="0" applyNumberFormat="1" applyFont="1" applyFill="1" applyBorder="1" applyAlignment="1">
      <x:alignment horizontal="center" vertical="center" wrapText="1"/>
    </x:xf>
    <x:xf numFmtId="0" fontId="8" fillId="3" borderId="7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2" xfId="0" applyNumberFormat="1" applyFont="1" applyFill="1" applyBorder="1"/>
    <x:xf numFmtId="0" fontId="3" fillId="10" borderId="3" xfId="0" applyNumberFormat="1" applyFont="1" applyFill="1" applyBorder="1"/>
    <x:xf numFmtId="0" fontId="3" fillId="10" borderId="4" xfId="0" applyNumberFormat="1" applyFont="1" applyFill="1" applyBorder="1"/>
    <x:xf numFmtId="0" fontId="3" fillId="10" borderId="2" xfId="0" applyNumberFormat="1" applyFont="1" applyFill="1" applyBorder="1" applyAlignment="1">
      <x:alignment wrapText="1"/>
    </x:xf>
    <x:xf numFmtId="0" fontId="3" fillId="10" borderId="3" xfId="0" applyNumberFormat="1" applyFont="1" applyFill="1" applyBorder="1" applyAlignment="1">
      <x:alignment wrapText="1"/>
    </x:xf>
    <x:xf numFmtId="0" fontId="3" fillId="10" borderId="4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wrapText="1"/>
    </x:xf>
    <x:xf numFmtId="0" fontId="3" fillId="10" borderId="3" xfId="0" applyNumberFormat="1" applyFont="1" applyFill="1" applyBorder="1" applyAlignment="1">
      <x:alignment horizontal="center" wrapText="1"/>
    </x:xf>
    <x:xf numFmtId="0" fontId="3" fillId="10" borderId="4" xfId="0" applyNumberFormat="1" applyFont="1" applyFill="1" applyBorder="1" applyAlignment="1">
      <x:alignment horizont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3" fillId="10" borderId="3" xfId="0" applyNumberFormat="1" applyFont="1" applyFill="1" applyBorder="1" applyAlignment="1">
      <x:alignment horizontal="center" vertical="center" wrapText="1"/>
    </x:xf>
    <x:xf numFmtId="0" fontId="3" fillId="10" borderId="4" xfId="0" applyNumberFormat="1" applyFont="1" applyFill="1" applyBorder="1" applyAlignment="1">
      <x:alignment horizontal="center" vertical="center" wrapText="1"/>
    </x:xf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3" fillId="10" borderId="5" xfId="0" applyNumberFormat="1" applyFont="1" applyFill="1" applyBorder="1"/>
    <x:xf numFmtId="0" fontId="3" fillId="10" borderId="6" xfId="0" applyNumberFormat="1" applyFont="1" applyFill="1" applyBorder="1"/>
    <x:xf numFmtId="0" fontId="3" fillId="10" borderId="7" xfId="0" applyNumberFormat="1" applyFont="1" applyFill="1" applyBorder="1"/>
    <x:xf numFmtId="0" fontId="3" fillId="10" borderId="5" xfId="0" applyNumberFormat="1" applyFont="1" applyFill="1" applyBorder="1" applyAlignment="1">
      <x:alignment wrapText="1"/>
    </x:xf>
    <x:xf numFmtId="0" fontId="3" fillId="10" borderId="6" xfId="0" applyNumberFormat="1" applyFont="1" applyFill="1" applyBorder="1" applyAlignment="1">
      <x:alignment wrapText="1"/>
    </x:xf>
    <x:xf numFmtId="0" fontId="3" fillId="10" borderId="7" xfId="0" applyNumberFormat="1" applyFont="1" applyFill="1" applyBorder="1" applyAlignment="1">
      <x:alignment wrapText="1"/>
    </x:xf>
    <x:xf numFmtId="0" fontId="3" fillId="10" borderId="5" xfId="0" applyNumberFormat="1" applyFont="1" applyFill="1" applyBorder="1" applyAlignment="1">
      <x:alignment horizontal="center" wrapText="1"/>
    </x:xf>
    <x:xf numFmtId="0" fontId="3" fillId="10" borderId="6" xfId="0" applyNumberFormat="1" applyFont="1" applyFill="1" applyBorder="1" applyAlignment="1">
      <x:alignment horizontal="center" wrapText="1"/>
    </x:xf>
    <x:xf numFmtId="0" fontId="3" fillId="10" borderId="7" xfId="0" applyNumberFormat="1" applyFont="1" applyFill="1" applyBorder="1" applyAlignment="1">
      <x:alignment horizontal="center" wrapText="1"/>
    </x:xf>
    <x:xf numFmtId="0" fontId="3" fillId="10" borderId="5" xfId="0" applyNumberFormat="1" applyFont="1" applyFill="1" applyBorder="1" applyAlignment="1">
      <x:alignment horizontal="center" vertical="center" wrapText="1"/>
    </x:xf>
    <x:xf numFmtId="0" fontId="3" fillId="10" borderId="6" xfId="0" applyNumberFormat="1" applyFont="1" applyFill="1" applyBorder="1" applyAlignment="1">
      <x:alignment horizontal="center" vertical="center" wrapText="1"/>
    </x:xf>
    <x:xf numFmtId="0" fontId="3" fillId="10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/>
    </x:xf>
    <x:xf numFmtId="0" fontId="0" fillId="0" borderId="1" xfId="0" applyNumberFormat="1" applyFont="1" applyFill="1" applyBorder="1" applyAlignment="1">
      <x:alignment horizontal="right"/>
    </x:xf>
    <x:xf numFmtId="207" fontId="0" fillId="0" borderId="0" xfId="0" applyNumberFormat="1" applyFont="1" applyFill="1" applyBorder="1" applyAlignment="1">
      <x:alignment horizontal="right"/>
    </x:xf>
    <x:xf numFmtId="207" fontId="0" fillId="0" borderId="1" xfId="0" applyNumberFormat="1" applyFont="1" applyFill="1" applyBorder="1" applyAlignment="1">
      <x:alignment horizontal="right"/>
    </x:xf>
    <x:xf numFmtId="208" fontId="0" fillId="0" borderId="0" xfId="0" applyNumberFormat="1" applyFont="1" applyFill="1" applyBorder="1" applyAlignment="1">
      <x:alignment horizontal="right"/>
    </x:xf>
    <x:xf numFmtId="208" fontId="0" fillId="0" borderId="1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7" fontId="9" fillId="0" borderId="0" xfId="0" applyNumberFormat="1" applyFont="1" applyFill="1" applyBorder="1" applyAlignment="1">
      <x:alignment horizontal="right"/>
    </x:xf>
    <x:xf numFmtId="207" fontId="9" fillId="0" borderId="1" xfId="0" applyNumberFormat="1" applyFont="1" applyFill="1" applyBorder="1" applyAlignment="1">
      <x:alignment horizontal="right"/>
    </x:xf>
    <x:xf numFmtId="207" fontId="10" fillId="0" borderId="0" xfId="0" applyNumberFormat="1" applyFont="1" applyFill="1" applyBorder="1" applyAlignment="1">
      <x:alignment horizontal="right"/>
    </x:xf>
    <x:xf numFmtId="208" fontId="10" fillId="0" borderId="0" xfId="0" applyNumberFormat="1" applyFont="1" applyFill="1" applyBorder="1" applyAlignment="1">
      <x:alignment horizontal="right"/>
    </x:xf>
    <x:xf numFmtId="207" fontId="10" fillId="0" borderId="1" xfId="0" applyNumberFormat="1" applyFont="1" applyFill="1" applyBorder="1" applyAlignment="1">
      <x:alignment horizontal="right"/>
    </x:xf>
    <x:xf numFmtId="208" fontId="10" fillId="0" borderId="1" xfId="0" applyNumberFormat="1" applyFont="1" applyFill="1" applyBorder="1" applyAlignment="1">
      <x:alignment horizontal="right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205" fontId="0" fillId="0" borderId="11" xfId="0" applyNumberFormat="1" applyFont="1" applyFill="1" applyBorder="1"/>
    <x:xf numFmtId="205" fontId="0" fillId="0" borderId="12" xfId="0" applyNumberFormat="1" applyFont="1" applyFill="1" applyBorder="1"/>
    <x:xf numFmtId="0" fontId="0" fillId="0" borderId="11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 applyAlignment="1">
      <x:alignment horizontal="right"/>
    </x:xf>
    <x:xf numFmtId="207" fontId="9" fillId="0" borderId="11" xfId="0" applyNumberFormat="1" applyFont="1" applyFill="1" applyBorder="1" applyAlignment="1">
      <x:alignment horizontal="right"/>
    </x:xf>
    <x:xf numFmtId="207" fontId="9" fillId="0" borderId="12" xfId="0" applyNumberFormat="1" applyFont="1" applyFill="1" applyBorder="1" applyAlignment="1">
      <x:alignment horizontal="right"/>
    </x:xf>
    <x:xf numFmtId="207" fontId="10" fillId="0" borderId="11" xfId="0" applyNumberFormat="1" applyFont="1" applyFill="1" applyBorder="1" applyAlignment="1">
      <x:alignment horizontal="right"/>
    </x:xf>
    <x:xf numFmtId="207" fontId="10" fillId="0" borderId="12" xfId="0" applyNumberFormat="1" applyFont="1" applyFill="1" applyBorder="1" applyAlignment="1">
      <x:alignment horizontal="right"/>
    </x:xf>
    <x:xf numFmtId="208" fontId="10" fillId="0" borderId="11" xfId="0" applyNumberFormat="1" applyFont="1" applyFill="1" applyBorder="1" applyAlignment="1">
      <x:alignment horizontal="right"/>
    </x:xf>
    <x:xf numFmtId="208" fontId="10" fillId="0" borderId="12" xfId="0" applyNumberFormat="1" applyFont="1" applyFill="1" applyBorder="1" applyAlignment="1">
      <x:alignment horizontal="right"/>
    </x:xf>
    <x:xf numFmtId="208" fontId="10" fillId="0" borderId="13" xfId="0" applyNumberFormat="1" applyFont="1" applyFill="1" applyBorder="1" applyAlignment="1">
      <x:alignment horizontal="right"/>
    </x:xf>
    <x:xf numFmtId="208" fontId="10" fillId="0" borderId="14" xfId="0" applyNumberFormat="1" applyFont="1" applyFill="1" applyBorder="1" applyAlignment="1">
      <x:alignment horizontal="right"/>
    </x:xf>
    <x:xf numFmtId="208" fontId="10" fillId="0" borderId="15" xfId="0" applyNumberFormat="1" applyFont="1" applyFill="1" applyBorder="1" applyAlignment="1">
      <x:alignment horizontal="right"/>
    </x:xf>
    <x:xf numFmtId="205" fontId="0" fillId="0" borderId="19" xfId="0" applyNumberFormat="1" applyFont="1" applyFill="1" applyBorder="1"/>
    <x:xf numFmtId="205" fontId="0" fillId="0" borderId="20" xfId="0" applyNumberFormat="1" applyFont="1" applyFill="1" applyBorder="1"/>
    <x:xf numFmtId="0" fontId="0" fillId="0" borderId="19" xfId="0" applyNumberFormat="1" applyFont="1" applyFill="1" applyBorder="1" applyAlignment="1">
      <x:alignment horizontal="right"/>
    </x:xf>
    <x:xf numFmtId="0" fontId="0" fillId="0" borderId="20" xfId="0" applyNumberFormat="1" applyFont="1" applyFill="1" applyBorder="1" applyAlignment="1">
      <x:alignment horizontal="right"/>
    </x:xf>
    <x:xf numFmtId="207" fontId="9" fillId="0" borderId="19" xfId="0" applyNumberFormat="1" applyFont="1" applyFill="1" applyBorder="1" applyAlignment="1">
      <x:alignment horizontal="right"/>
    </x:xf>
    <x:xf numFmtId="207" fontId="9" fillId="0" borderId="20" xfId="0" applyNumberFormat="1" applyFont="1" applyFill="1" applyBorder="1" applyAlignment="1">
      <x:alignment horizontal="right"/>
    </x:xf>
    <x:xf numFmtId="207" fontId="10" fillId="0" borderId="19" xfId="0" applyNumberFormat="1" applyFont="1" applyFill="1" applyBorder="1" applyAlignment="1">
      <x:alignment horizontal="right"/>
    </x:xf>
    <x:xf numFmtId="207" fontId="10" fillId="0" borderId="20" xfId="0" applyNumberFormat="1" applyFont="1" applyFill="1" applyBorder="1" applyAlignment="1">
      <x:alignment horizontal="right"/>
    </x:xf>
    <x:xf numFmtId="208" fontId="10" fillId="0" borderId="19" xfId="0" applyNumberFormat="1" applyFont="1" applyFill="1" applyBorder="1" applyAlignment="1">
      <x:alignment horizontal="right"/>
    </x:xf>
    <x:xf numFmtId="208" fontId="10" fillId="0" borderId="20" xfId="0" applyNumberFormat="1" applyFont="1" applyFill="1" applyBorder="1" applyAlignment="1">
      <x:alignment horizontal="right"/>
    </x:xf>
    <x:xf numFmtId="208" fontId="10" fillId="0" borderId="21" xfId="0" applyNumberFormat="1" applyFont="1" applyFill="1" applyBorder="1" applyAlignment="1">
      <x:alignment horizontal="right"/>
    </x:xf>
    <x:xf numFmtId="208" fontId="10" fillId="0" borderId="22" xfId="0" applyNumberFormat="1" applyFont="1" applyFill="1" applyBorder="1" applyAlignment="1">
      <x:alignment horizontal="right"/>
    </x:xf>
    <x:xf numFmtId="208" fontId="10" fillId="0" borderId="23" xfId="0" applyNumberFormat="1" applyFont="1" applyFill="1" applyBorder="1" applyAlignment="1">
      <x:alignment horizontal="right"/>
    </x:xf>
    <x:xf numFmtId="207" fontId="0" fillId="0" borderId="0" xfId="0" applyNumberFormat="1" applyFont="1" applyFill="1" applyBorder="1"/>
    <x:xf numFmtId="207" fontId="0" fillId="0" borderId="1" xfId="0" applyNumberFormat="1" applyFont="1" applyFill="1" applyBorder="1"/>
    <x:xf numFmtId="209" fontId="0" fillId="0" borderId="0" xfId="0" applyNumberFormat="1" applyFont="1" applyFill="1" applyBorder="1"/>
    <x:xf numFmtId="209" fontId="0" fillId="0" borderId="1" xfId="0" applyNumberFormat="1" applyFont="1" applyFill="1" applyBorder="1"/>
    <x:xf numFmtId="208" fontId="0" fillId="0" borderId="0" xfId="0" applyNumberFormat="1" applyFont="1" applyFill="1" applyBorder="1"/>
    <x:xf numFmtId="208" fontId="0" fillId="0" borderId="1" xfId="0" applyNumberFormat="1" applyFont="1" applyFill="1" applyBorder="1"/>
    <x:xf numFmtId="208" fontId="0" fillId="0" borderId="14" xfId="0" applyNumberFormat="1" applyFont="1" applyFill="1" applyBorder="1"/>
    <x:xf numFmtId="208" fontId="0" fillId="0" borderId="22" xfId="0" applyNumberFormat="1" applyFont="1" applyFill="1" applyBorder="1"/>
    <x:xf numFmtId="209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 applyAlignment="1">
      <x:alignment wrapText="1"/>
    </x:xf>
    <x:xf numFmtId="208" fontId="0" fillId="0" borderId="14" xfId="0" applyNumberFormat="1" applyFont="1" applyFill="1" applyBorder="1" applyAlignment="1">
      <x:alignment wrapText="1"/>
    </x:xf>
    <x:xf numFmtId="209" fontId="0" fillId="0" borderId="1" xfId="0" applyNumberFormat="1" applyFont="1" applyFill="1" applyBorder="1" applyAlignment="1">
      <x:alignment wrapText="1"/>
    </x:xf>
    <x:xf numFmtId="207" fontId="0" fillId="0" borderId="1" xfId="0" applyNumberFormat="1" applyFont="1" applyFill="1" applyBorder="1" applyAlignment="1">
      <x:alignment wrapText="1"/>
    </x:xf>
    <x:xf numFmtId="208" fontId="0" fillId="0" borderId="22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3" fillId="10" borderId="2" xfId="0" applyNumberFormat="1" applyFont="1" applyFill="1" applyBorder="1" applyAlignment="1">
      <x:alignment horizontal="center"/>
    </x:xf>
    <x:xf numFmtId="0" fontId="3" fillId="10" borderId="3" xfId="0" applyNumberFormat="1" applyFont="1" applyFill="1" applyBorder="1" applyAlignment="1">
      <x:alignment horizontal="center"/>
    </x:xf>
    <x:xf numFmtId="0" fontId="3" fillId="10" borderId="4" xfId="0" applyNumberFormat="1" applyFont="1" applyFill="1" applyBorder="1" applyAlignment="1">
      <x:alignment horizontal="center"/>
    </x:xf>
    <x:xf numFmtId="0" fontId="3" fillId="10" borderId="2" xfId="0" applyNumberFormat="1" applyFont="1" applyFill="1" applyBorder="1" applyAlignment="1">
      <x:alignment horizontal="center" vertical="center"/>
    </x:xf>
    <x:xf numFmtId="0" fontId="3" fillId="10" borderId="3" xfId="0" applyNumberFormat="1" applyFont="1" applyFill="1" applyBorder="1" applyAlignment="1">
      <x:alignment horizontal="center" vertical="center"/>
    </x:xf>
    <x:xf numFmtId="0" fontId="3" fillId="10" borderId="4" xfId="0" applyNumberFormat="1" applyFont="1" applyFill="1" applyBorder="1" applyAlignment="1">
      <x:alignment horizontal="center" vertical="center"/>
    </x:xf>
    <x:xf numFmtId="0" fontId="3" fillId="10" borderId="5" xfId="0" applyNumberFormat="1" applyFont="1" applyFill="1" applyBorder="1" applyAlignment="1">
      <x:alignment horizontal="center"/>
    </x:xf>
    <x:xf numFmtId="0" fontId="3" fillId="10" borderId="6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/>
    </x:xf>
    <x:xf numFmtId="0" fontId="3" fillId="10" borderId="5" xfId="0" applyNumberFormat="1" applyFont="1" applyFill="1" applyBorder="1" applyAlignment="1">
      <x:alignment horizontal="center" vertical="center"/>
    </x:xf>
    <x:xf numFmtId="0" fontId="3" fillId="10" borderId="6" xfId="0" applyNumberFormat="1" applyFont="1" applyFill="1" applyBorder="1" applyAlignment="1">
      <x:alignment horizontal="center" vertical="center"/>
    </x:xf>
    <x:xf numFmtId="0" fontId="3" fillId="10" borderId="7" xfId="0" applyNumberFormat="1" applyFont="1" applyFill="1" applyBorder="1" applyAlignment="1">
      <x:alignment horizontal="center" vertical="center"/>
    </x:xf>
    <x:xf numFmtId="207" fontId="0" fillId="0" borderId="14" xfId="0" applyNumberFormat="1" applyFont="1" applyFill="1" applyBorder="1"/>
    <x:xf numFmtId="207" fontId="0" fillId="0" borderId="2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207" fontId="0" fillId="0" borderId="14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7" fontId="0" fillId="0" borderId="22" xfId="0" applyNumberFormat="1" applyFont="1" applyFill="1" applyBorder="1" applyAlignment="1">
      <x:alignment wrapText="1"/>
    </x:xf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horizontal="center"/>
    </x:xf>
    <x:xf numFmtId="0" fontId="11" fillId="2" borderId="0" xfId="0" applyNumberFormat="1" applyFont="1" applyFill="1" applyBorder="1" applyAlignment="1">
      <x:alignment horizontal="center" vertical="center"/>
    </x:xf>
    <x:xf numFmtId="0" fontId="11" fillId="2" borderId="1" xfId="0" applyNumberFormat="1" applyFont="1" applyFill="1" applyBorder="1"/>
    <x:xf numFmtId="0" fontId="11" fillId="2" borderId="1" xfId="0" applyNumberFormat="1" applyFont="1" applyFill="1" applyBorder="1" applyAlignment="1">
      <x:alignment horizontal="center"/>
    </x:xf>
    <x:xf numFmtId="0" fontId="1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horizontal="center" wrapText="1"/>
    </x:xf>
    <x:xf numFmtId="0" fontId="0" fillId="3" borderId="1" xfId="0" applyNumberFormat="1" applyFont="1" applyFill="1" applyBorder="1" applyAlignment="1">
      <x:alignment horizontal="center" vertical="center" wrapText="1"/>
    </x:xf>
    <x:xf numFmtId="0" fontId="12" fillId="10" borderId="0" xfId="0" applyNumberFormat="1" applyFont="1" applyFill="1" applyBorder="1"/>
    <x:xf numFmtId="0" fontId="12" fillId="10" borderId="2" xfId="0" applyNumberFormat="1" applyFont="1" applyFill="1" applyBorder="1"/>
    <x:xf numFmtId="0" fontId="12" fillId="10" borderId="3" xfId="0" applyNumberFormat="1" applyFont="1" applyFill="1" applyBorder="1"/>
    <x:xf numFmtId="0" fontId="12" fillId="10" borderId="4" xfId="0" applyNumberFormat="1" applyFont="1" applyFill="1" applyBorder="1"/>
    <x:xf numFmtId="0" fontId="12" fillId="10" borderId="2" xfId="0" applyNumberFormat="1" applyFont="1" applyFill="1" applyBorder="1" applyAlignment="1">
      <x:alignment horizontal="left"/>
    </x:xf>
    <x:xf numFmtId="0" fontId="12" fillId="10" borderId="3" xfId="0" applyNumberFormat="1" applyFont="1" applyFill="1" applyBorder="1" applyAlignment="1">
      <x:alignment horizontal="left"/>
    </x:xf>
    <x:xf numFmtId="0" fontId="12" fillId="10" borderId="4" xfId="0" applyNumberFormat="1" applyFont="1" applyFill="1" applyBorder="1" applyAlignment="1">
      <x:alignment horizontal="left"/>
    </x:xf>
    <x:xf numFmtId="0" fontId="12" fillId="10" borderId="2" xfId="0" applyNumberFormat="1" applyFont="1" applyFill="1" applyBorder="1" applyAlignment="1">
      <x:alignment horizontal="left" vertical="center"/>
    </x:xf>
    <x:xf numFmtId="0" fontId="12" fillId="10" borderId="3" xfId="0" applyNumberFormat="1" applyFont="1" applyFill="1" applyBorder="1" applyAlignment="1">
      <x:alignment horizontal="left" vertical="center"/>
    </x:xf>
    <x:xf numFmtId="0" fontId="12" fillId="10" borderId="4" xfId="0" applyNumberFormat="1" applyFont="1" applyFill="1" applyBorder="1" applyAlignment="1">
      <x:alignment horizontal="left" vertical="center"/>
    </x:xf>
    <x:xf numFmtId="0" fontId="12" fillId="10" borderId="1" xfId="0" applyNumberFormat="1" applyFont="1" applyFill="1" applyBorder="1"/>
    <x:xf numFmtId="0" fontId="12" fillId="10" borderId="5" xfId="0" applyNumberFormat="1" applyFont="1" applyFill="1" applyBorder="1"/>
    <x:xf numFmtId="0" fontId="12" fillId="10" borderId="6" xfId="0" applyNumberFormat="1" applyFont="1" applyFill="1" applyBorder="1"/>
    <x:xf numFmtId="0" fontId="12" fillId="10" borderId="7" xfId="0" applyNumberFormat="1" applyFont="1" applyFill="1" applyBorder="1"/>
    <x:xf numFmtId="0" fontId="12" fillId="10" borderId="5" xfId="0" applyNumberFormat="1" applyFont="1" applyFill="1" applyBorder="1" applyAlignment="1">
      <x:alignment horizontal="left"/>
    </x:xf>
    <x:xf numFmtId="0" fontId="12" fillId="10" borderId="6" xfId="0" applyNumberFormat="1" applyFont="1" applyFill="1" applyBorder="1" applyAlignment="1">
      <x:alignment horizontal="left"/>
    </x:xf>
    <x:xf numFmtId="0" fontId="12" fillId="10" borderId="7" xfId="0" applyNumberFormat="1" applyFont="1" applyFill="1" applyBorder="1" applyAlignment="1">
      <x:alignment horizontal="left"/>
    </x:xf>
    <x:xf numFmtId="0" fontId="12" fillId="10" borderId="5" xfId="0" applyNumberFormat="1" applyFont="1" applyFill="1" applyBorder="1" applyAlignment="1">
      <x:alignment horizontal="left" vertical="center"/>
    </x:xf>
    <x:xf numFmtId="0" fontId="12" fillId="10" borderId="6" xfId="0" applyNumberFormat="1" applyFont="1" applyFill="1" applyBorder="1" applyAlignment="1">
      <x:alignment horizontal="left" vertical="center"/>
    </x:xf>
    <x:xf numFmtId="0" fontId="12" fillId="10" borderId="7" xfId="0" applyNumberFormat="1" applyFont="1" applyFill="1" applyBorder="1" applyAlignment="1">
      <x:alignment horizontal="left" vertical="center"/>
    </x:xf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0" fontId="0" fillId="3" borderId="13" xfId="0" applyNumberFormat="1" applyFont="1" applyFill="1" applyBorder="1"/>
    <x:xf numFmtId="0" fontId="0" fillId="3" borderId="14" xfId="0" applyNumberFormat="1" applyFont="1" applyFill="1" applyBorder="1"/>
    <x:xf numFmtId="0" fontId="0" fillId="3" borderId="15" xfId="0" applyNumberFormat="1" applyFont="1" applyFill="1" applyBorder="1"/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10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3" borderId="12" xfId="0" applyNumberFormat="1" applyFont="1" applyFill="1" applyBorder="1" applyAlignment="1">
      <x:alignment wrapText="1"/>
    </x:xf>
    <x:xf numFmtId="0" fontId="0" fillId="3" borderId="13" xfId="0" applyNumberFormat="1" applyFont="1" applyFill="1" applyBorder="1" applyAlignment="1">
      <x:alignment wrapText="1"/>
    </x:xf>
    <x:xf numFmtId="0" fontId="0" fillId="3" borderId="14" xfId="0" applyNumberFormat="1" applyFont="1" applyFill="1" applyBorder="1" applyAlignment="1">
      <x:alignment wrapText="1"/>
    </x:xf>
    <x:xf numFmtId="0" fontId="0" fillId="3" borderId="15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horizontal="center" wrapText="1"/>
    </x:xf>
    <x:xf numFmtId="0" fontId="0" fillId="3" borderId="9" xfId="0" applyNumberFormat="1" applyFont="1" applyFill="1" applyBorder="1" applyAlignment="1">
      <x:alignment horizontal="center" wrapText="1"/>
    </x:xf>
    <x:xf numFmtId="0" fontId="0" fillId="3" borderId="10" xfId="0" applyNumberFormat="1" applyFont="1" applyFill="1" applyBorder="1" applyAlignment="1">
      <x:alignment horizontal="center" wrapText="1"/>
    </x:xf>
    <x:xf numFmtId="0" fontId="0" fillId="3" borderId="11" xfId="0" applyNumberFormat="1" applyFont="1" applyFill="1" applyBorder="1" applyAlignment="1">
      <x:alignment horizontal="center" wrapText="1"/>
    </x:xf>
    <x:xf numFmtId="0" fontId="0" fillId="3" borderId="12" xfId="0" applyNumberFormat="1" applyFont="1" applyFill="1" applyBorder="1" applyAlignment="1">
      <x:alignment horizontal="center" wrapText="1"/>
    </x:xf>
    <x:xf numFmtId="0" fontId="0" fillId="3" borderId="13" xfId="0" applyNumberFormat="1" applyFont="1" applyFill="1" applyBorder="1" applyAlignment="1">
      <x:alignment horizontal="center" wrapText="1"/>
    </x:xf>
    <x:xf numFmtId="0" fontId="0" fillId="3" borderId="14" xfId="0" applyNumberFormat="1" applyFont="1" applyFill="1" applyBorder="1" applyAlignment="1">
      <x:alignment horizontal="center" wrapText="1"/>
    </x:xf>
    <x:xf numFmtId="0" fontId="0" fillId="3" borderId="15" xfId="0" applyNumberFormat="1" applyFont="1" applyFill="1" applyBorder="1" applyAlignment="1">
      <x:alignment horizontal="center" wrapText="1"/>
    </x:xf>
    <x:xf numFmtId="0" fontId="0" fillId="3" borderId="8" xfId="0" applyNumberFormat="1" applyFont="1" applyFill="1" applyBorder="1" applyAlignment="1">
      <x:alignment horizontal="center" vertical="center" wrapText="1"/>
    </x:xf>
    <x:xf numFmtId="0" fontId="0" fillId="3" borderId="9" xfId="0" applyNumberFormat="1" applyFont="1" applyFill="1" applyBorder="1" applyAlignment="1">
      <x:alignment horizontal="center" vertical="center" wrapText="1"/>
    </x:xf>
    <x:xf numFmtId="0" fontId="0" fillId="3" borderId="10" xfId="0" applyNumberFormat="1" applyFont="1" applyFill="1" applyBorder="1" applyAlignment="1">
      <x:alignment horizontal="center" vertical="center" wrapText="1"/>
    </x:xf>
    <x:xf numFmtId="0" fontId="0" fillId="3" borderId="11" xfId="0" applyNumberFormat="1" applyFont="1" applyFill="1" applyBorder="1" applyAlignment="1">
      <x:alignment horizontal="center" vertical="center" wrapText="1"/>
    </x:xf>
    <x:xf numFmtId="0" fontId="0" fillId="3" borderId="12" xfId="0" applyNumberFormat="1" applyFont="1" applyFill="1" applyBorder="1" applyAlignment="1">
      <x:alignment horizontal="center" vertical="center" wrapText="1"/>
    </x:xf>
    <x:xf numFmtId="0" fontId="0" fillId="3" borderId="13" xfId="0" applyNumberFormat="1" applyFont="1" applyFill="1" applyBorder="1" applyAlignment="1">
      <x:alignment horizontal="center" vertical="center" wrapText="1"/>
    </x:xf>
    <x:xf numFmtId="0" fontId="0" fillId="3" borderId="14" xfId="0" applyNumberFormat="1" applyFont="1" applyFill="1" applyBorder="1" applyAlignment="1">
      <x:alignment horizontal="center" vertical="center" wrapText="1"/>
    </x:xf>
    <x:xf numFmtId="0" fontId="0" fillId="3" borderId="15" xfId="0" applyNumberFormat="1" applyFont="1" applyFill="1" applyBorder="1" applyAlignment="1">
      <x:alignment horizontal="center" vertical="center" wrapText="1"/>
    </x:xf>
    <x:xf numFmtId="0" fontId="0" fillId="3" borderId="16" xfId="0" applyNumberFormat="1" applyFont="1" applyFill="1" applyBorder="1"/>
    <x:xf numFmtId="0" fontId="0" fillId="3" borderId="17" xfId="0" applyNumberFormat="1" applyFont="1" applyFill="1" applyBorder="1"/>
    <x:xf numFmtId="0" fontId="0" fillId="3" borderId="18" xfId="0" applyNumberFormat="1" applyFont="1" applyFill="1" applyBorder="1"/>
    <x:xf numFmtId="0" fontId="0" fillId="3" borderId="19" xfId="0" applyNumberFormat="1" applyFont="1" applyFill="1" applyBorder="1"/>
    <x:xf numFmtId="0" fontId="0" fillId="3" borderId="20" xfId="0" applyNumberFormat="1" applyFont="1" applyFill="1" applyBorder="1"/>
    <x:xf numFmtId="0" fontId="0" fillId="3" borderId="21" xfId="0" applyNumberFormat="1" applyFont="1" applyFill="1" applyBorder="1"/>
    <x:xf numFmtId="0" fontId="0" fillId="3" borderId="22" xfId="0" applyNumberFormat="1" applyFont="1" applyFill="1" applyBorder="1"/>
    <x:xf numFmtId="0" fontId="0" fillId="3" borderId="23" xfId="0" applyNumberFormat="1" applyFont="1" applyFill="1" applyBorder="1"/>
    <x:xf numFmtId="0" fontId="0" fillId="3" borderId="16" xfId="0" applyNumberFormat="1" applyFont="1" applyFill="1" applyBorder="1" applyAlignment="1">
      <x:alignment wrapText="1"/>
    </x:xf>
    <x:xf numFmtId="0" fontId="0" fillId="3" borderId="17" xfId="0" applyNumberFormat="1" applyFont="1" applyFill="1" applyBorder="1" applyAlignment="1">
      <x:alignment wrapText="1"/>
    </x:xf>
    <x:xf numFmtId="0" fontId="0" fillId="3" borderId="18" xfId="0" applyNumberFormat="1" applyFont="1" applyFill="1" applyBorder="1" applyAlignment="1">
      <x:alignment wrapText="1"/>
    </x:xf>
    <x:xf numFmtId="0" fontId="0" fillId="3" borderId="19" xfId="0" applyNumberFormat="1" applyFont="1" applyFill="1" applyBorder="1" applyAlignment="1">
      <x:alignment wrapText="1"/>
    </x:xf>
    <x:xf numFmtId="0" fontId="0" fillId="3" borderId="20" xfId="0" applyNumberFormat="1" applyFont="1" applyFill="1" applyBorder="1" applyAlignment="1">
      <x:alignment wrapText="1"/>
    </x:xf>
    <x:xf numFmtId="0" fontId="0" fillId="3" borderId="21" xfId="0" applyNumberFormat="1" applyFont="1" applyFill="1" applyBorder="1" applyAlignment="1">
      <x:alignment wrapText="1"/>
    </x:xf>
    <x:xf numFmtId="0" fontId="0" fillId="3" borderId="22" xfId="0" applyNumberFormat="1" applyFont="1" applyFill="1" applyBorder="1" applyAlignment="1">
      <x:alignment wrapText="1"/>
    </x:xf>
    <x:xf numFmtId="0" fontId="0" fillId="3" borderId="23" xfId="0" applyNumberFormat="1" applyFont="1" applyFill="1" applyBorder="1" applyAlignment="1">
      <x:alignment wrapText="1"/>
    </x:xf>
    <x:xf numFmtId="0" fontId="0" fillId="3" borderId="16" xfId="0" applyNumberFormat="1" applyFont="1" applyFill="1" applyBorder="1" applyAlignment="1">
      <x:alignment horizontal="center" wrapText="1"/>
    </x:xf>
    <x:xf numFmtId="0" fontId="0" fillId="3" borderId="17" xfId="0" applyNumberFormat="1" applyFont="1" applyFill="1" applyBorder="1" applyAlignment="1">
      <x:alignment horizontal="center" wrapText="1"/>
    </x:xf>
    <x:xf numFmtId="0" fontId="0" fillId="3" borderId="18" xfId="0" applyNumberFormat="1" applyFont="1" applyFill="1" applyBorder="1" applyAlignment="1">
      <x:alignment horizontal="center" wrapText="1"/>
    </x:xf>
    <x:xf numFmtId="0" fontId="0" fillId="3" borderId="19" xfId="0" applyNumberFormat="1" applyFont="1" applyFill="1" applyBorder="1" applyAlignment="1">
      <x:alignment horizontal="center" wrapText="1"/>
    </x:xf>
    <x:xf numFmtId="0" fontId="0" fillId="3" borderId="20" xfId="0" applyNumberFormat="1" applyFont="1" applyFill="1" applyBorder="1" applyAlignment="1">
      <x:alignment horizontal="center" wrapText="1"/>
    </x:xf>
    <x:xf numFmtId="0" fontId="0" fillId="3" borderId="21" xfId="0" applyNumberFormat="1" applyFont="1" applyFill="1" applyBorder="1" applyAlignment="1">
      <x:alignment horizontal="center" wrapText="1"/>
    </x:xf>
    <x:xf numFmtId="0" fontId="0" fillId="3" borderId="22" xfId="0" applyNumberFormat="1" applyFont="1" applyFill="1" applyBorder="1" applyAlignment="1">
      <x:alignment horizontal="center" wrapText="1"/>
    </x:xf>
    <x:xf numFmtId="0" fontId="0" fillId="3" borderId="23" xfId="0" applyNumberFormat="1" applyFont="1" applyFill="1" applyBorder="1" applyAlignment="1">
      <x:alignment horizontal="center" wrapText="1"/>
    </x:xf>
    <x:xf numFmtId="0" fontId="0" fillId="3" borderId="16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horizontal="center" vertical="center" wrapText="1"/>
    </x:xf>
    <x:xf numFmtId="0" fontId="0" fillId="3" borderId="18" xfId="0" applyNumberFormat="1" applyFont="1" applyFill="1" applyBorder="1" applyAlignment="1">
      <x:alignment horizontal="center" vertical="center" wrapText="1"/>
    </x:xf>
    <x:xf numFmtId="0" fontId="0" fillId="3" borderId="19" xfId="0" applyNumberFormat="1" applyFont="1" applyFill="1" applyBorder="1" applyAlignment="1">
      <x:alignment horizontal="center" vertical="center" wrapText="1"/>
    </x:xf>
    <x:xf numFmtId="0" fontId="0" fillId="3" borderId="20" xfId="0" applyNumberFormat="1" applyFont="1" applyFill="1" applyBorder="1" applyAlignment="1">
      <x:alignment horizontal="center" vertical="center" wrapText="1"/>
    </x:xf>
    <x:xf numFmtId="0" fontId="0" fillId="3" borderId="21" xfId="0" applyNumberFormat="1" applyFont="1" applyFill="1" applyBorder="1" applyAlignment="1">
      <x:alignment horizontal="center" vertical="center" wrapText="1"/>
    </x:xf>
    <x:xf numFmtId="0" fontId="0" fillId="3" borderId="22" xfId="0" applyNumberFormat="1" applyFont="1" applyFill="1" applyBorder="1" applyAlignment="1">
      <x:alignment horizontal="center" vertical="center" wrapText="1"/>
    </x:xf>
    <x:xf numFmtId="0" fontId="0" fillId="3" borderId="23" xfId="0" applyNumberFormat="1" applyFont="1" applyFill="1" applyBorder="1" applyAlignment="1">
      <x:alignment horizontal="center" vertical="center" wrapText="1"/>
    </x:xf>
    <x:xf numFmtId="0" fontId="13" fillId="3" borderId="8" xfId="0" applyNumberFormat="1" applyFont="1" applyFill="1" applyBorder="1" applyAlignment="1">
      <x:alignment horizontal="center" vertical="center" wrapText="1"/>
    </x:xf>
    <x:xf numFmtId="0" fontId="13" fillId="3" borderId="9" xfId="0" applyNumberFormat="1" applyFont="1" applyFill="1" applyBorder="1" applyAlignment="1">
      <x:alignment horizontal="center" vertical="center" wrapText="1"/>
    </x:xf>
    <x:xf numFmtId="0" fontId="13" fillId="3" borderId="10" xfId="0" applyNumberFormat="1" applyFont="1" applyFill="1" applyBorder="1" applyAlignment="1">
      <x:alignment horizontal="center" vertical="center" wrapText="1"/>
    </x:xf>
    <x:xf numFmtId="0" fontId="13" fillId="3" borderId="16" xfId="0" applyNumberFormat="1" applyFont="1" applyFill="1" applyBorder="1" applyAlignment="1">
      <x:alignment horizontal="center" vertical="center" wrapText="1"/>
    </x:xf>
    <x:xf numFmtId="0" fontId="13" fillId="3" borderId="17" xfId="0" applyNumberFormat="1" applyFont="1" applyFill="1" applyBorder="1" applyAlignment="1">
      <x:alignment horizontal="center" vertical="center" wrapText="1"/>
    </x:xf>
    <x:xf numFmtId="0" fontId="13" fillId="3" borderId="18" xfId="0" applyNumberFormat="1" applyFont="1" applyFill="1" applyBorder="1" applyAlignment="1">
      <x:alignment horizontal="center" vertical="center" wrapText="1"/>
    </x:xf>
    <x:xf numFmtId="0" fontId="14" fillId="3" borderId="11" xfId="0" applyNumberFormat="1" applyFont="1" applyFill="1" applyBorder="1" applyAlignment="1">
      <x:alignment horizontal="center" vertical="center" wrapText="1"/>
    </x:xf>
    <x:xf numFmtId="0" fontId="14" fillId="3" borderId="0" xfId="0" applyNumberFormat="1" applyFont="1" applyFill="1" applyBorder="1" applyAlignment="1">
      <x:alignment horizontal="center" vertical="center" wrapText="1"/>
    </x:xf>
    <x:xf numFmtId="0" fontId="14" fillId="3" borderId="12" xfId="0" applyNumberFormat="1" applyFont="1" applyFill="1" applyBorder="1" applyAlignment="1">
      <x:alignment horizontal="center" vertical="center" wrapText="1"/>
    </x:xf>
    <x:xf numFmtId="0" fontId="14" fillId="3" borderId="13" xfId="0" applyNumberFormat="1" applyFont="1" applyFill="1" applyBorder="1" applyAlignment="1">
      <x:alignment horizontal="center" vertical="center" wrapText="1"/>
    </x:xf>
    <x:xf numFmtId="0" fontId="14" fillId="3" borderId="14" xfId="0" applyNumberFormat="1" applyFont="1" applyFill="1" applyBorder="1" applyAlignment="1">
      <x:alignment horizontal="center" vertical="center" wrapText="1"/>
    </x:xf>
    <x:xf numFmtId="0" fontId="14" fillId="3" borderId="15" xfId="0" applyNumberFormat="1" applyFont="1" applyFill="1" applyBorder="1" applyAlignment="1">
      <x:alignment horizontal="center" vertical="center" wrapText="1"/>
    </x:xf>
    <x:xf numFmtId="0" fontId="14" fillId="3" borderId="19" xfId="0" applyNumberFormat="1" applyFont="1" applyFill="1" applyBorder="1" applyAlignment="1">
      <x:alignment horizontal="center" vertical="center" wrapText="1"/>
    </x:xf>
    <x:xf numFmtId="0" fontId="14" fillId="3" borderId="1" xfId="0" applyNumberFormat="1" applyFont="1" applyFill="1" applyBorder="1" applyAlignment="1">
      <x:alignment horizontal="center" vertical="center" wrapText="1"/>
    </x:xf>
    <x:xf numFmtId="0" fontId="14" fillId="3" borderId="20" xfId="0" applyNumberFormat="1" applyFont="1" applyFill="1" applyBorder="1" applyAlignment="1">
      <x:alignment horizontal="center" vertical="center" wrapText="1"/>
    </x:xf>
    <x:xf numFmtId="0" fontId="14" fillId="3" borderId="21" xfId="0" applyNumberFormat="1" applyFont="1" applyFill="1" applyBorder="1" applyAlignment="1">
      <x:alignment horizontal="center" vertical="center" wrapText="1"/>
    </x:xf>
    <x:xf numFmtId="0" fontId="14" fillId="3" borderId="22" xfId="0" applyNumberFormat="1" applyFont="1" applyFill="1" applyBorder="1" applyAlignment="1">
      <x:alignment horizontal="center" vertical="center" wrapText="1"/>
    </x:xf>
    <x:xf numFmtId="0" fontId="14" fillId="3" borderId="23" xfId="0" applyNumberFormat="1" applyFont="1" applyFill="1" applyBorder="1" applyAlignment="1">
      <x:alignment horizontal="center" vertical="center" wrapText="1"/>
    </x:xf>
    <x:xf numFmtId="209" fontId="14" fillId="3" borderId="11" xfId="0" applyNumberFormat="1" applyFont="1" applyFill="1" applyBorder="1" applyAlignment="1">
      <x:alignment horizontal="center" vertical="center" wrapText="1"/>
    </x:xf>
    <x:xf numFmtId="209" fontId="14" fillId="3" borderId="0" xfId="0" applyNumberFormat="1" applyFont="1" applyFill="1" applyBorder="1" applyAlignment="1">
      <x:alignment horizontal="center" vertical="center" wrapText="1"/>
    </x:xf>
    <x:xf numFmtId="209" fontId="14" fillId="3" borderId="12" xfId="0" applyNumberFormat="1" applyFont="1" applyFill="1" applyBorder="1" applyAlignment="1">
      <x:alignment horizontal="center" vertical="center" wrapText="1"/>
    </x:xf>
    <x:xf numFmtId="209" fontId="14" fillId="3" borderId="13" xfId="0" applyNumberFormat="1" applyFont="1" applyFill="1" applyBorder="1" applyAlignment="1">
      <x:alignment horizontal="center" vertical="center" wrapText="1"/>
    </x:xf>
    <x:xf numFmtId="209" fontId="14" fillId="3" borderId="14" xfId="0" applyNumberFormat="1" applyFont="1" applyFill="1" applyBorder="1" applyAlignment="1">
      <x:alignment horizontal="center" vertical="center" wrapText="1"/>
    </x:xf>
    <x:xf numFmtId="209" fontId="14" fillId="3" borderId="15" xfId="0" applyNumberFormat="1" applyFont="1" applyFill="1" applyBorder="1" applyAlignment="1">
      <x:alignment horizontal="center" vertical="center" wrapText="1"/>
    </x:xf>
    <x:xf numFmtId="209" fontId="14" fillId="3" borderId="19" xfId="0" applyNumberFormat="1" applyFont="1" applyFill="1" applyBorder="1" applyAlignment="1">
      <x:alignment horizontal="center" vertical="center" wrapText="1"/>
    </x:xf>
    <x:xf numFmtId="209" fontId="14" fillId="3" borderId="1" xfId="0" applyNumberFormat="1" applyFont="1" applyFill="1" applyBorder="1" applyAlignment="1">
      <x:alignment horizontal="center" vertical="center" wrapText="1"/>
    </x:xf>
    <x:xf numFmtId="209" fontId="14" fillId="3" borderId="20" xfId="0" applyNumberFormat="1" applyFont="1" applyFill="1" applyBorder="1" applyAlignment="1">
      <x:alignment horizontal="center" vertical="center" wrapText="1"/>
    </x:xf>
    <x:xf numFmtId="209" fontId="14" fillId="3" borderId="21" xfId="0" applyNumberFormat="1" applyFont="1" applyFill="1" applyBorder="1" applyAlignment="1">
      <x:alignment horizontal="center" vertical="center" wrapText="1"/>
    </x:xf>
    <x:xf numFmtId="209" fontId="14" fillId="3" borderId="22" xfId="0" applyNumberFormat="1" applyFont="1" applyFill="1" applyBorder="1" applyAlignment="1">
      <x:alignment horizontal="center" vertical="center" wrapText="1"/>
    </x:xf>
    <x:xf numFmtId="209" fontId="14" fillId="3" borderId="2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8" xfId="0" applyNumberFormat="1" applyFont="1" applyFill="1" applyBorder="1"/>
    <x:xf numFmtId="0" fontId="0" fillId="11" borderId="9" xfId="0" applyNumberFormat="1" applyFont="1" applyFill="1" applyBorder="1"/>
    <x:xf numFmtId="0" fontId="0" fillId="11" borderId="10" xfId="0" applyNumberFormat="1" applyFont="1" applyFill="1" applyBorder="1"/>
    <x:xf numFmtId="0" fontId="0" fillId="11" borderId="11" xfId="0" applyNumberFormat="1" applyFont="1" applyFill="1" applyBorder="1"/>
    <x:xf numFmtId="0" fontId="0" fillId="11" borderId="12" xfId="0" applyNumberFormat="1" applyFont="1" applyFill="1" applyBorder="1"/>
    <x:xf numFmtId="0" fontId="0" fillId="11" borderId="13" xfId="0" applyNumberFormat="1" applyFont="1" applyFill="1" applyBorder="1"/>
    <x:xf numFmtId="0" fontId="0" fillId="11" borderId="14" xfId="0" applyNumberFormat="1" applyFont="1" applyFill="1" applyBorder="1"/>
    <x:xf numFmtId="0" fontId="0" fillId="11" borderId="15" xfId="0" applyNumberFormat="1" applyFont="1" applyFill="1" applyBorder="1"/>
    <x:xf numFmtId="0" fontId="0" fillId="11" borderId="8" xfId="0" applyNumberFormat="1" applyFont="1" applyFill="1" applyBorder="1" applyAlignment="1">
      <x:alignment wrapText="1"/>
    </x:xf>
    <x:xf numFmtId="0" fontId="0" fillId="11" borderId="9" xfId="0" applyNumberFormat="1" applyFont="1" applyFill="1" applyBorder="1" applyAlignment="1">
      <x:alignment wrapText="1"/>
    </x:xf>
    <x:xf numFmtId="0" fontId="0" fillId="11" borderId="10" xfId="0" applyNumberFormat="1" applyFont="1" applyFill="1" applyBorder="1" applyAlignment="1">
      <x:alignment wrapText="1"/>
    </x:xf>
    <x:xf numFmtId="0" fontId="0" fillId="11" borderId="11" xfId="0" applyNumberFormat="1" applyFont="1" applyFill="1" applyBorder="1" applyAlignment="1">
      <x:alignment wrapText="1"/>
    </x:xf>
    <x:xf numFmtId="0" fontId="0" fillId="11" borderId="0" xfId="0" applyNumberFormat="1" applyFont="1" applyFill="1" applyBorder="1" applyAlignment="1">
      <x:alignment wrapText="1"/>
    </x:xf>
    <x:xf numFmtId="0" fontId="0" fillId="11" borderId="12" xfId="0" applyNumberFormat="1" applyFont="1" applyFill="1" applyBorder="1" applyAlignment="1">
      <x:alignment wrapText="1"/>
    </x:xf>
    <x:xf numFmtId="0" fontId="0" fillId="11" borderId="13" xfId="0" applyNumberFormat="1" applyFont="1" applyFill="1" applyBorder="1" applyAlignment="1">
      <x:alignment wrapText="1"/>
    </x:xf>
    <x:xf numFmtId="0" fontId="0" fillId="11" borderId="14" xfId="0" applyNumberFormat="1" applyFont="1" applyFill="1" applyBorder="1" applyAlignment="1">
      <x:alignment wrapText="1"/>
    </x:xf>
    <x:xf numFmtId="0" fontId="0" fillId="11" borderId="15" xfId="0" applyNumberFormat="1" applyFont="1" applyFill="1" applyBorder="1" applyAlignment="1">
      <x:alignment wrapText="1"/>
    </x:xf>
    <x:xf numFmtId="0" fontId="0" fillId="11" borderId="8" xfId="0" applyNumberFormat="1" applyFont="1" applyFill="1" applyBorder="1" applyAlignment="1">
      <x:alignment horizontal="center" wrapText="1"/>
    </x:xf>
    <x:xf numFmtId="0" fontId="0" fillId="11" borderId="9" xfId="0" applyNumberFormat="1" applyFont="1" applyFill="1" applyBorder="1" applyAlignment="1">
      <x:alignment horizontal="center" wrapText="1"/>
    </x:xf>
    <x:xf numFmtId="0" fontId="0" fillId="11" borderId="10" xfId="0" applyNumberFormat="1" applyFont="1" applyFill="1" applyBorder="1" applyAlignment="1">
      <x:alignment horizontal="center" wrapText="1"/>
    </x:xf>
    <x:xf numFmtId="0" fontId="0" fillId="11" borderId="11" xfId="0" applyNumberFormat="1" applyFont="1" applyFill="1" applyBorder="1" applyAlignment="1">
      <x:alignment horizontal="center" wrapText="1"/>
    </x:xf>
    <x:xf numFmtId="0" fontId="0" fillId="11" borderId="0" xfId="0" applyNumberFormat="1" applyFont="1" applyFill="1" applyBorder="1" applyAlignment="1">
      <x:alignment horizontal="center" wrapText="1"/>
    </x:xf>
    <x:xf numFmtId="0" fontId="0" fillId="11" borderId="12" xfId="0" applyNumberFormat="1" applyFont="1" applyFill="1" applyBorder="1" applyAlignment="1">
      <x:alignment horizontal="center" wrapText="1"/>
    </x:xf>
    <x:xf numFmtId="0" fontId="0" fillId="11" borderId="13" xfId="0" applyNumberFormat="1" applyFont="1" applyFill="1" applyBorder="1" applyAlignment="1">
      <x:alignment horizontal="center" wrapText="1"/>
    </x:xf>
    <x:xf numFmtId="0" fontId="0" fillId="11" borderId="14" xfId="0" applyNumberFormat="1" applyFont="1" applyFill="1" applyBorder="1" applyAlignment="1">
      <x:alignment horizontal="center" wrapText="1"/>
    </x:xf>
    <x:xf numFmtId="0" fontId="0" fillId="11" borderId="15" xfId="0" applyNumberFormat="1" applyFont="1" applyFill="1" applyBorder="1" applyAlignment="1">
      <x:alignment horizontal="center" wrapText="1"/>
    </x:xf>
    <x:xf numFmtId="0" fontId="0" fillId="11" borderId="8" xfId="0" applyNumberFormat="1" applyFont="1" applyFill="1" applyBorder="1" applyAlignment="1">
      <x:alignment horizontal="center" vertical="center" wrapText="1"/>
    </x:xf>
    <x:xf numFmtId="0" fontId="0" fillId="11" borderId="9" xfId="0" applyNumberFormat="1" applyFont="1" applyFill="1" applyBorder="1" applyAlignment="1">
      <x:alignment horizontal="center" vertical="center" wrapText="1"/>
    </x:xf>
    <x:xf numFmtId="0" fontId="0" fillId="11" borderId="10" xfId="0" applyNumberFormat="1" applyFont="1" applyFill="1" applyBorder="1" applyAlignment="1">
      <x:alignment horizontal="center" vertical="center" wrapText="1"/>
    </x:xf>
    <x:xf numFmtId="0" fontId="0" fillId="11" borderId="1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horizontal="center" vertical="center" wrapText="1"/>
    </x:xf>
    <x:xf numFmtId="0" fontId="0" fillId="11" borderId="12" xfId="0" applyNumberFormat="1" applyFont="1" applyFill="1" applyBorder="1" applyAlignment="1">
      <x:alignment horizontal="center" vertical="center" wrapText="1"/>
    </x:xf>
    <x:xf numFmtId="0" fontId="0" fillId="11" borderId="13" xfId="0" applyNumberFormat="1" applyFont="1" applyFill="1" applyBorder="1" applyAlignment="1">
      <x:alignment horizontal="center" vertical="center" wrapText="1"/>
    </x:xf>
    <x:xf numFmtId="0" fontId="0" fillId="11" borderId="14" xfId="0" applyNumberFormat="1" applyFont="1" applyFill="1" applyBorder="1" applyAlignment="1">
      <x:alignment horizontal="center" vertical="center" wrapText="1"/>
    </x:xf>
    <x:xf numFmtId="0" fontId="0" fillId="11" borderId="15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/>
    <x:xf numFmtId="0" fontId="0" fillId="11" borderId="16" xfId="0" applyNumberFormat="1" applyFont="1" applyFill="1" applyBorder="1"/>
    <x:xf numFmtId="0" fontId="0" fillId="11" borderId="17" xfId="0" applyNumberFormat="1" applyFont="1" applyFill="1" applyBorder="1"/>
    <x:xf numFmtId="0" fontId="0" fillId="11" borderId="18" xfId="0" applyNumberFormat="1" applyFont="1" applyFill="1" applyBorder="1"/>
    <x:xf numFmtId="0" fontId="0" fillId="11" borderId="19" xfId="0" applyNumberFormat="1" applyFont="1" applyFill="1" applyBorder="1"/>
    <x:xf numFmtId="0" fontId="0" fillId="11" borderId="20" xfId="0" applyNumberFormat="1" applyFont="1" applyFill="1" applyBorder="1"/>
    <x:xf numFmtId="0" fontId="0" fillId="11" borderId="21" xfId="0" applyNumberFormat="1" applyFont="1" applyFill="1" applyBorder="1"/>
    <x:xf numFmtId="0" fontId="0" fillId="11" borderId="22" xfId="0" applyNumberFormat="1" applyFont="1" applyFill="1" applyBorder="1"/>
    <x:xf numFmtId="0" fontId="0" fillId="11" borderId="23" xfId="0" applyNumberFormat="1" applyFont="1" applyFill="1" applyBorder="1"/>
    <x:xf numFmtId="0" fontId="0" fillId="11" borderId="16" xfId="0" applyNumberFormat="1" applyFont="1" applyFill="1" applyBorder="1" applyAlignment="1">
      <x:alignment wrapText="1"/>
    </x:xf>
    <x:xf numFmtId="0" fontId="0" fillId="11" borderId="17" xfId="0" applyNumberFormat="1" applyFont="1" applyFill="1" applyBorder="1" applyAlignment="1">
      <x:alignment wrapText="1"/>
    </x:xf>
    <x:xf numFmtId="0" fontId="0" fillId="11" borderId="18" xfId="0" applyNumberFormat="1" applyFont="1" applyFill="1" applyBorder="1" applyAlignment="1">
      <x:alignment wrapText="1"/>
    </x:xf>
    <x:xf numFmtId="0" fontId="0" fillId="11" borderId="19" xfId="0" applyNumberFormat="1" applyFont="1" applyFill="1" applyBorder="1" applyAlignment="1">
      <x:alignment wrapText="1"/>
    </x:xf>
    <x:xf numFmtId="0" fontId="0" fillId="11" borderId="1" xfId="0" applyNumberFormat="1" applyFont="1" applyFill="1" applyBorder="1" applyAlignment="1">
      <x:alignment wrapText="1"/>
    </x:xf>
    <x:xf numFmtId="0" fontId="0" fillId="11" borderId="20" xfId="0" applyNumberFormat="1" applyFont="1" applyFill="1" applyBorder="1" applyAlignment="1">
      <x:alignment wrapText="1"/>
    </x:xf>
    <x:xf numFmtId="0" fontId="0" fillId="11" borderId="21" xfId="0" applyNumberFormat="1" applyFont="1" applyFill="1" applyBorder="1" applyAlignment="1">
      <x:alignment wrapText="1"/>
    </x:xf>
    <x:xf numFmtId="0" fontId="0" fillId="11" borderId="22" xfId="0" applyNumberFormat="1" applyFont="1" applyFill="1" applyBorder="1" applyAlignment="1">
      <x:alignment wrapText="1"/>
    </x:xf>
    <x:xf numFmtId="0" fontId="0" fillId="11" borderId="23" xfId="0" applyNumberFormat="1" applyFont="1" applyFill="1" applyBorder="1" applyAlignment="1">
      <x:alignment wrapText="1"/>
    </x:xf>
    <x:xf numFmtId="0" fontId="0" fillId="11" borderId="16" xfId="0" applyNumberFormat="1" applyFont="1" applyFill="1" applyBorder="1" applyAlignment="1">
      <x:alignment horizontal="center" wrapText="1"/>
    </x:xf>
    <x:xf numFmtId="0" fontId="0" fillId="11" borderId="17" xfId="0" applyNumberFormat="1" applyFont="1" applyFill="1" applyBorder="1" applyAlignment="1">
      <x:alignment horizontal="center" wrapText="1"/>
    </x:xf>
    <x:xf numFmtId="0" fontId="0" fillId="11" borderId="18" xfId="0" applyNumberFormat="1" applyFont="1" applyFill="1" applyBorder="1" applyAlignment="1">
      <x:alignment horizontal="center" wrapText="1"/>
    </x:xf>
    <x:xf numFmtId="0" fontId="0" fillId="11" borderId="19" xfId="0" applyNumberFormat="1" applyFont="1" applyFill="1" applyBorder="1" applyAlignment="1">
      <x:alignment horizontal="center" wrapText="1"/>
    </x:xf>
    <x:xf numFmtId="0" fontId="0" fillId="11" borderId="1" xfId="0" applyNumberFormat="1" applyFont="1" applyFill="1" applyBorder="1" applyAlignment="1">
      <x:alignment horizontal="center" wrapText="1"/>
    </x:xf>
    <x:xf numFmtId="0" fontId="0" fillId="11" borderId="20" xfId="0" applyNumberFormat="1" applyFont="1" applyFill="1" applyBorder="1" applyAlignment="1">
      <x:alignment horizontal="center" wrapText="1"/>
    </x:xf>
    <x:xf numFmtId="0" fontId="0" fillId="11" borderId="21" xfId="0" applyNumberFormat="1" applyFont="1" applyFill="1" applyBorder="1" applyAlignment="1">
      <x:alignment horizontal="center" wrapText="1"/>
    </x:xf>
    <x:xf numFmtId="0" fontId="0" fillId="11" borderId="22" xfId="0" applyNumberFormat="1" applyFont="1" applyFill="1" applyBorder="1" applyAlignment="1">
      <x:alignment horizontal="center" wrapText="1"/>
    </x:xf>
    <x:xf numFmtId="0" fontId="0" fillId="11" borderId="23" xfId="0" applyNumberFormat="1" applyFont="1" applyFill="1" applyBorder="1" applyAlignment="1">
      <x:alignment horizontal="center" wrapText="1"/>
    </x:xf>
    <x:xf numFmtId="0" fontId="0" fillId="11" borderId="16" xfId="0" applyNumberFormat="1" applyFont="1" applyFill="1" applyBorder="1" applyAlignment="1">
      <x:alignment horizontal="center" vertical="center" wrapText="1"/>
    </x:xf>
    <x:xf numFmtId="0" fontId="0" fillId="11" borderId="17" xfId="0" applyNumberFormat="1" applyFont="1" applyFill="1" applyBorder="1" applyAlignment="1">
      <x:alignment horizontal="center" vertical="center" wrapText="1"/>
    </x:xf>
    <x:xf numFmtId="0" fontId="0" fillId="11" borderId="18" xfId="0" applyNumberFormat="1" applyFont="1" applyFill="1" applyBorder="1" applyAlignment="1">
      <x:alignment horizontal="center" vertical="center" wrapText="1"/>
    </x:xf>
    <x:xf numFmtId="0" fontId="0" fillId="11" borderId="19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center" vertical="center" wrapText="1"/>
    </x:xf>
    <x:xf numFmtId="0" fontId="0" fillId="11" borderId="20" xfId="0" applyNumberFormat="1" applyFont="1" applyFill="1" applyBorder="1" applyAlignment="1">
      <x:alignment horizontal="center" vertical="center" wrapText="1"/>
    </x:xf>
    <x:xf numFmtId="0" fontId="0" fillId="11" borderId="21" xfId="0" applyNumberFormat="1" applyFont="1" applyFill="1" applyBorder="1" applyAlignment="1">
      <x:alignment horizontal="center" vertical="center" wrapText="1"/>
    </x:xf>
    <x:xf numFmtId="0" fontId="0" fillId="11" borderId="22" xfId="0" applyNumberFormat="1" applyFont="1" applyFill="1" applyBorder="1" applyAlignment="1">
      <x:alignment horizontal="center" vertical="center" wrapText="1"/>
    </x:xf>
    <x:xf numFmtId="0" fontId="0" fillId="11" borderId="23" xfId="0" applyNumberFormat="1" applyFont="1" applyFill="1" applyBorder="1" applyAlignment="1">
      <x:alignment horizontal="center" vertical="center" wrapText="1"/>
    </x:xf>
    <x:xf numFmtId="0" fontId="13" fillId="11" borderId="8" xfId="0" applyNumberFormat="1" applyFont="1" applyFill="1" applyBorder="1" applyAlignment="1">
      <x:alignment horizontal="center" vertical="center" wrapText="1"/>
    </x:xf>
    <x:xf numFmtId="0" fontId="13" fillId="11" borderId="9" xfId="0" applyNumberFormat="1" applyFont="1" applyFill="1" applyBorder="1" applyAlignment="1">
      <x:alignment horizontal="center" vertical="center" wrapText="1"/>
    </x:xf>
    <x:xf numFmtId="0" fontId="13" fillId="11" borderId="10" xfId="0" applyNumberFormat="1" applyFont="1" applyFill="1" applyBorder="1" applyAlignment="1">
      <x:alignment horizontal="center" vertical="center" wrapText="1"/>
    </x:xf>
    <x:xf numFmtId="0" fontId="13" fillId="11" borderId="16" xfId="0" applyNumberFormat="1" applyFont="1" applyFill="1" applyBorder="1" applyAlignment="1">
      <x:alignment horizontal="center" vertical="center" wrapText="1"/>
    </x:xf>
    <x:xf numFmtId="0" fontId="13" fillId="11" borderId="17" xfId="0" applyNumberFormat="1" applyFont="1" applyFill="1" applyBorder="1" applyAlignment="1">
      <x:alignment horizontal="center" vertical="center" wrapText="1"/>
    </x:xf>
    <x:xf numFmtId="0" fontId="13" fillId="11" borderId="18" xfId="0" applyNumberFormat="1" applyFont="1" applyFill="1" applyBorder="1" applyAlignment="1">
      <x:alignment horizontal="center" vertical="center" wrapText="1"/>
    </x:xf>
    <x:xf numFmtId="0" fontId="14" fillId="11" borderId="11" xfId="0" applyNumberFormat="1" applyFont="1" applyFill="1" applyBorder="1" applyAlignment="1">
      <x:alignment horizontal="center" vertical="center" wrapText="1"/>
    </x:xf>
    <x:xf numFmtId="0" fontId="14" fillId="11" borderId="0" xfId="0" applyNumberFormat="1" applyFont="1" applyFill="1" applyBorder="1" applyAlignment="1">
      <x:alignment horizontal="center" vertical="center" wrapText="1"/>
    </x:xf>
    <x:xf numFmtId="0" fontId="14" fillId="11" borderId="12" xfId="0" applyNumberFormat="1" applyFont="1" applyFill="1" applyBorder="1" applyAlignment="1">
      <x:alignment horizontal="center" vertical="center" wrapText="1"/>
    </x:xf>
    <x:xf numFmtId="0" fontId="14" fillId="11" borderId="13" xfId="0" applyNumberFormat="1" applyFont="1" applyFill="1" applyBorder="1" applyAlignment="1">
      <x:alignment horizontal="center" vertical="center" wrapText="1"/>
    </x:xf>
    <x:xf numFmtId="0" fontId="14" fillId="11" borderId="14" xfId="0" applyNumberFormat="1" applyFont="1" applyFill="1" applyBorder="1" applyAlignment="1">
      <x:alignment horizontal="center" vertical="center" wrapText="1"/>
    </x:xf>
    <x:xf numFmtId="0" fontId="14" fillId="11" borderId="15" xfId="0" applyNumberFormat="1" applyFont="1" applyFill="1" applyBorder="1" applyAlignment="1">
      <x:alignment horizontal="center" vertical="center" wrapText="1"/>
    </x:xf>
    <x:xf numFmtId="0" fontId="14" fillId="11" borderId="19" xfId="0" applyNumberFormat="1" applyFont="1" applyFill="1" applyBorder="1" applyAlignment="1">
      <x:alignment horizontal="center" vertical="center" wrapText="1"/>
    </x:xf>
    <x:xf numFmtId="0" fontId="14" fillId="11" borderId="1" xfId="0" applyNumberFormat="1" applyFont="1" applyFill="1" applyBorder="1" applyAlignment="1">
      <x:alignment horizontal="center" vertical="center" wrapText="1"/>
    </x:xf>
    <x:xf numFmtId="0" fontId="14" fillId="11" borderId="20" xfId="0" applyNumberFormat="1" applyFont="1" applyFill="1" applyBorder="1" applyAlignment="1">
      <x:alignment horizontal="center" vertical="center" wrapText="1"/>
    </x:xf>
    <x:xf numFmtId="0" fontId="14" fillId="11" borderId="21" xfId="0" applyNumberFormat="1" applyFont="1" applyFill="1" applyBorder="1" applyAlignment="1">
      <x:alignment horizontal="center" vertical="center" wrapText="1"/>
    </x:xf>
    <x:xf numFmtId="0" fontId="14" fillId="11" borderId="22" xfId="0" applyNumberFormat="1" applyFont="1" applyFill="1" applyBorder="1" applyAlignment="1">
      <x:alignment horizontal="center" vertical="center" wrapText="1"/>
    </x:xf>
    <x:xf numFmtId="0" fontId="14" fillId="11" borderId="23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0" fillId="12" borderId="8" xfId="0" applyNumberFormat="1" applyFont="1" applyFill="1" applyBorder="1"/>
    <x:xf numFmtId="0" fontId="0" fillId="12" borderId="9" xfId="0" applyNumberFormat="1" applyFont="1" applyFill="1" applyBorder="1"/>
    <x:xf numFmtId="0" fontId="0" fillId="12" borderId="10" xfId="0" applyNumberFormat="1" applyFont="1" applyFill="1" applyBorder="1"/>
    <x:xf numFmtId="0" fontId="0" fillId="12" borderId="11" xfId="0" applyNumberFormat="1" applyFont="1" applyFill="1" applyBorder="1"/>
    <x:xf numFmtId="0" fontId="0" fillId="12" borderId="12" xfId="0" applyNumberFormat="1" applyFont="1" applyFill="1" applyBorder="1"/>
    <x:xf numFmtId="0" fontId="0" fillId="12" borderId="13" xfId="0" applyNumberFormat="1" applyFont="1" applyFill="1" applyBorder="1"/>
    <x:xf numFmtId="0" fontId="0" fillId="12" borderId="14" xfId="0" applyNumberFormat="1" applyFont="1" applyFill="1" applyBorder="1"/>
    <x:xf numFmtId="0" fontId="0" fillId="12" borderId="15" xfId="0" applyNumberFormat="1" applyFont="1" applyFill="1" applyBorder="1"/>
    <x:xf numFmtId="0" fontId="0" fillId="12" borderId="8" xfId="0" applyNumberFormat="1" applyFont="1" applyFill="1" applyBorder="1" applyAlignment="1">
      <x:alignment wrapText="1"/>
    </x:xf>
    <x:xf numFmtId="0" fontId="0" fillId="12" borderId="9" xfId="0" applyNumberFormat="1" applyFont="1" applyFill="1" applyBorder="1" applyAlignment="1">
      <x:alignment wrapText="1"/>
    </x:xf>
    <x:xf numFmtId="0" fontId="0" fillId="12" borderId="10" xfId="0" applyNumberFormat="1" applyFont="1" applyFill="1" applyBorder="1" applyAlignment="1">
      <x:alignment wrapText="1"/>
    </x:xf>
    <x:xf numFmtId="0" fontId="0" fillId="12" borderId="11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0" fillId="12" borderId="12" xfId="0" applyNumberFormat="1" applyFont="1" applyFill="1" applyBorder="1" applyAlignment="1">
      <x:alignment wrapText="1"/>
    </x:xf>
    <x:xf numFmtId="0" fontId="0" fillId="12" borderId="13" xfId="0" applyNumberFormat="1" applyFont="1" applyFill="1" applyBorder="1" applyAlignment="1">
      <x:alignment wrapText="1"/>
    </x:xf>
    <x:xf numFmtId="0" fontId="0" fillId="12" borderId="14" xfId="0" applyNumberFormat="1" applyFont="1" applyFill="1" applyBorder="1" applyAlignment="1">
      <x:alignment wrapText="1"/>
    </x:xf>
    <x:xf numFmtId="0" fontId="0" fillId="12" borderId="15" xfId="0" applyNumberFormat="1" applyFont="1" applyFill="1" applyBorder="1" applyAlignment="1">
      <x:alignment wrapText="1"/>
    </x:xf>
    <x:xf numFmtId="0" fontId="0" fillId="12" borderId="8" xfId="0" applyNumberFormat="1" applyFont="1" applyFill="1" applyBorder="1" applyAlignment="1">
      <x:alignment horizontal="center" wrapText="1"/>
    </x:xf>
    <x:xf numFmtId="0" fontId="0" fillId="12" borderId="9" xfId="0" applyNumberFormat="1" applyFont="1" applyFill="1" applyBorder="1" applyAlignment="1">
      <x:alignment horizontal="center" wrapText="1"/>
    </x:xf>
    <x:xf numFmtId="0" fontId="0" fillId="12" borderId="10" xfId="0" applyNumberFormat="1" applyFont="1" applyFill="1" applyBorder="1" applyAlignment="1">
      <x:alignment horizontal="center" wrapText="1"/>
    </x:xf>
    <x:xf numFmtId="0" fontId="0" fillId="12" borderId="11" xfId="0" applyNumberFormat="1" applyFont="1" applyFill="1" applyBorder="1" applyAlignment="1">
      <x:alignment horizontal="center" wrapText="1"/>
    </x:xf>
    <x:xf numFmtId="0" fontId="0" fillId="12" borderId="0" xfId="0" applyNumberFormat="1" applyFont="1" applyFill="1" applyBorder="1" applyAlignment="1">
      <x:alignment horizontal="center" wrapText="1"/>
    </x:xf>
    <x:xf numFmtId="0" fontId="0" fillId="12" borderId="12" xfId="0" applyNumberFormat="1" applyFont="1" applyFill="1" applyBorder="1" applyAlignment="1">
      <x:alignment horizontal="center" wrapText="1"/>
    </x:xf>
    <x:xf numFmtId="0" fontId="0" fillId="12" borderId="13" xfId="0" applyNumberFormat="1" applyFont="1" applyFill="1" applyBorder="1" applyAlignment="1">
      <x:alignment horizontal="center" wrapText="1"/>
    </x:xf>
    <x:xf numFmtId="0" fontId="0" fillId="12" borderId="14" xfId="0" applyNumberFormat="1" applyFont="1" applyFill="1" applyBorder="1" applyAlignment="1">
      <x:alignment horizontal="center" wrapText="1"/>
    </x:xf>
    <x:xf numFmtId="0" fontId="0" fillId="12" borderId="15" xfId="0" applyNumberFormat="1" applyFont="1" applyFill="1" applyBorder="1" applyAlignment="1">
      <x:alignment horizontal="center" wrapText="1"/>
    </x:xf>
    <x:xf numFmtId="0" fontId="0" fillId="12" borderId="8" xfId="0" applyNumberFormat="1" applyFont="1" applyFill="1" applyBorder="1" applyAlignment="1">
      <x:alignment horizontal="center" vertical="center" wrapText="1"/>
    </x:xf>
    <x:xf numFmtId="0" fontId="0" fillId="12" borderId="9" xfId="0" applyNumberFormat="1" applyFont="1" applyFill="1" applyBorder="1" applyAlignment="1">
      <x:alignment horizontal="center" vertical="center" wrapText="1"/>
    </x:xf>
    <x:xf numFmtId="0" fontId="0" fillId="12" borderId="10" xfId="0" applyNumberFormat="1" applyFont="1" applyFill="1" applyBorder="1" applyAlignment="1">
      <x:alignment horizontal="center" vertical="center" wrapText="1"/>
    </x:xf>
    <x:xf numFmtId="0" fontId="0" fillId="12" borderId="1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horizontal="center" vertical="center" wrapText="1"/>
    </x:xf>
    <x:xf numFmtId="0" fontId="0" fillId="12" borderId="12" xfId="0" applyNumberFormat="1" applyFont="1" applyFill="1" applyBorder="1" applyAlignment="1">
      <x:alignment horizontal="center" vertical="center" wrapText="1"/>
    </x:xf>
    <x:xf numFmtId="0" fontId="0" fillId="12" borderId="13" xfId="0" applyNumberFormat="1" applyFont="1" applyFill="1" applyBorder="1" applyAlignment="1">
      <x:alignment horizontal="center" vertical="center" wrapText="1"/>
    </x:xf>
    <x:xf numFmtId="0" fontId="0" fillId="12" borderId="14" xfId="0" applyNumberFormat="1" applyFont="1" applyFill="1" applyBorder="1" applyAlignment="1">
      <x:alignment horizontal="center" vertical="center" wrapText="1"/>
    </x:xf>
    <x:xf numFmtId="0" fontId="0" fillId="12" borderId="15" xfId="0" applyNumberFormat="1" applyFont="1" applyFill="1" applyBorder="1" applyAlignment="1">
      <x:alignment horizontal="center" vertical="center" wrapText="1"/>
    </x:xf>
    <x:xf numFmtId="0" fontId="0" fillId="12" borderId="1" xfId="0" applyNumberFormat="1" applyFont="1" applyFill="1" applyBorder="1"/>
    <x:xf numFmtId="0" fontId="0" fillId="12" borderId="16" xfId="0" applyNumberFormat="1" applyFont="1" applyFill="1" applyBorder="1"/>
    <x:xf numFmtId="0" fontId="0" fillId="12" borderId="17" xfId="0" applyNumberFormat="1" applyFont="1" applyFill="1" applyBorder="1"/>
    <x:xf numFmtId="0" fontId="0" fillId="12" borderId="18" xfId="0" applyNumberFormat="1" applyFont="1" applyFill="1" applyBorder="1"/>
    <x:xf numFmtId="0" fontId="0" fillId="12" borderId="19" xfId="0" applyNumberFormat="1" applyFont="1" applyFill="1" applyBorder="1"/>
    <x:xf numFmtId="0" fontId="0" fillId="12" borderId="20" xfId="0" applyNumberFormat="1" applyFont="1" applyFill="1" applyBorder="1"/>
    <x:xf numFmtId="0" fontId="0" fillId="12" borderId="21" xfId="0" applyNumberFormat="1" applyFont="1" applyFill="1" applyBorder="1"/>
    <x:xf numFmtId="0" fontId="0" fillId="12" borderId="22" xfId="0" applyNumberFormat="1" applyFont="1" applyFill="1" applyBorder="1"/>
    <x:xf numFmtId="0" fontId="0" fillId="12" borderId="23" xfId="0" applyNumberFormat="1" applyFont="1" applyFill="1" applyBorder="1"/>
    <x:xf numFmtId="0" fontId="0" fillId="12" borderId="16" xfId="0" applyNumberFormat="1" applyFont="1" applyFill="1" applyBorder="1" applyAlignment="1">
      <x:alignment wrapText="1"/>
    </x:xf>
    <x:xf numFmtId="0" fontId="0" fillId="12" borderId="17" xfId="0" applyNumberFormat="1" applyFont="1" applyFill="1" applyBorder="1" applyAlignment="1">
      <x:alignment wrapText="1"/>
    </x:xf>
    <x:xf numFmtId="0" fontId="0" fillId="12" borderId="18" xfId="0" applyNumberFormat="1" applyFont="1" applyFill="1" applyBorder="1" applyAlignment="1">
      <x:alignment wrapText="1"/>
    </x:xf>
    <x:xf numFmtId="0" fontId="0" fillId="12" borderId="19" xfId="0" applyNumberFormat="1" applyFont="1" applyFill="1" applyBorder="1" applyAlignment="1">
      <x:alignment wrapText="1"/>
    </x:xf>
    <x:xf numFmtId="0" fontId="0" fillId="12" borderId="1" xfId="0" applyNumberFormat="1" applyFont="1" applyFill="1" applyBorder="1" applyAlignment="1">
      <x:alignment wrapText="1"/>
    </x:xf>
    <x:xf numFmtId="0" fontId="0" fillId="12" borderId="20" xfId="0" applyNumberFormat="1" applyFont="1" applyFill="1" applyBorder="1" applyAlignment="1">
      <x:alignment wrapText="1"/>
    </x:xf>
    <x:xf numFmtId="0" fontId="0" fillId="12" borderId="21" xfId="0" applyNumberFormat="1" applyFont="1" applyFill="1" applyBorder="1" applyAlignment="1">
      <x:alignment wrapText="1"/>
    </x:xf>
    <x:xf numFmtId="0" fontId="0" fillId="12" borderId="22" xfId="0" applyNumberFormat="1" applyFont="1" applyFill="1" applyBorder="1" applyAlignment="1">
      <x:alignment wrapText="1"/>
    </x:xf>
    <x:xf numFmtId="0" fontId="0" fillId="12" borderId="23" xfId="0" applyNumberFormat="1" applyFont="1" applyFill="1" applyBorder="1" applyAlignment="1">
      <x:alignment wrapText="1"/>
    </x:xf>
    <x:xf numFmtId="0" fontId="0" fillId="12" borderId="16" xfId="0" applyNumberFormat="1" applyFont="1" applyFill="1" applyBorder="1" applyAlignment="1">
      <x:alignment horizontal="center" wrapText="1"/>
    </x:xf>
    <x:xf numFmtId="0" fontId="0" fillId="12" borderId="17" xfId="0" applyNumberFormat="1" applyFont="1" applyFill="1" applyBorder="1" applyAlignment="1">
      <x:alignment horizontal="center" wrapText="1"/>
    </x:xf>
    <x:xf numFmtId="0" fontId="0" fillId="12" borderId="18" xfId="0" applyNumberFormat="1" applyFont="1" applyFill="1" applyBorder="1" applyAlignment="1">
      <x:alignment horizontal="center" wrapText="1"/>
    </x:xf>
    <x:xf numFmtId="0" fontId="0" fillId="12" borderId="19" xfId="0" applyNumberFormat="1" applyFont="1" applyFill="1" applyBorder="1" applyAlignment="1">
      <x:alignment horizontal="center" wrapText="1"/>
    </x:xf>
    <x:xf numFmtId="0" fontId="0" fillId="12" borderId="1" xfId="0" applyNumberFormat="1" applyFont="1" applyFill="1" applyBorder="1" applyAlignment="1">
      <x:alignment horizontal="center" wrapText="1"/>
    </x:xf>
    <x:xf numFmtId="0" fontId="0" fillId="12" borderId="20" xfId="0" applyNumberFormat="1" applyFont="1" applyFill="1" applyBorder="1" applyAlignment="1">
      <x:alignment horizontal="center" wrapText="1"/>
    </x:xf>
    <x:xf numFmtId="0" fontId="0" fillId="12" borderId="21" xfId="0" applyNumberFormat="1" applyFont="1" applyFill="1" applyBorder="1" applyAlignment="1">
      <x:alignment horizontal="center" wrapText="1"/>
    </x:xf>
    <x:xf numFmtId="0" fontId="0" fillId="12" borderId="22" xfId="0" applyNumberFormat="1" applyFont="1" applyFill="1" applyBorder="1" applyAlignment="1">
      <x:alignment horizontal="center" wrapText="1"/>
    </x:xf>
    <x:xf numFmtId="0" fontId="0" fillId="12" borderId="23" xfId="0" applyNumberFormat="1" applyFont="1" applyFill="1" applyBorder="1" applyAlignment="1">
      <x:alignment horizontal="center" wrapText="1"/>
    </x:xf>
    <x:xf numFmtId="0" fontId="0" fillId="12" borderId="16" xfId="0" applyNumberFormat="1" applyFont="1" applyFill="1" applyBorder="1" applyAlignment="1">
      <x:alignment horizontal="center" vertical="center" wrapText="1"/>
    </x:xf>
    <x:xf numFmtId="0" fontId="0" fillId="12" borderId="17" xfId="0" applyNumberFormat="1" applyFont="1" applyFill="1" applyBorder="1" applyAlignment="1">
      <x:alignment horizontal="center" vertical="center" wrapText="1"/>
    </x:xf>
    <x:xf numFmtId="0" fontId="0" fillId="12" borderId="18" xfId="0" applyNumberFormat="1" applyFont="1" applyFill="1" applyBorder="1" applyAlignment="1">
      <x:alignment horizontal="center" vertical="center" wrapText="1"/>
    </x:xf>
    <x:xf numFmtId="0" fontId="0" fillId="12" borderId="19" xfId="0" applyNumberFormat="1" applyFont="1" applyFill="1" applyBorder="1" applyAlignment="1">
      <x:alignment horizontal="center" vertical="center" wrapText="1"/>
    </x:xf>
    <x:xf numFmtId="0" fontId="0" fillId="12" borderId="1" xfId="0" applyNumberFormat="1" applyFont="1" applyFill="1" applyBorder="1" applyAlignment="1">
      <x:alignment horizontal="center" vertical="center" wrapText="1"/>
    </x:xf>
    <x:xf numFmtId="0" fontId="0" fillId="12" borderId="20" xfId="0" applyNumberFormat="1" applyFont="1" applyFill="1" applyBorder="1" applyAlignment="1">
      <x:alignment horizontal="center" vertical="center" wrapText="1"/>
    </x:xf>
    <x:xf numFmtId="0" fontId="0" fillId="12" borderId="21" xfId="0" applyNumberFormat="1" applyFont="1" applyFill="1" applyBorder="1" applyAlignment="1">
      <x:alignment horizontal="center" vertical="center" wrapText="1"/>
    </x:xf>
    <x:xf numFmtId="0" fontId="0" fillId="12" borderId="22" xfId="0" applyNumberFormat="1" applyFont="1" applyFill="1" applyBorder="1" applyAlignment="1">
      <x:alignment horizontal="center" vertical="center" wrapText="1"/>
    </x:xf>
    <x:xf numFmtId="0" fontId="0" fillId="12" borderId="23" xfId="0" applyNumberFormat="1" applyFont="1" applyFill="1" applyBorder="1" applyAlignment="1">
      <x:alignment horizontal="center" vertical="center" wrapText="1"/>
    </x:xf>
    <x:xf numFmtId="0" fontId="13" fillId="12" borderId="8" xfId="0" applyNumberFormat="1" applyFont="1" applyFill="1" applyBorder="1" applyAlignment="1">
      <x:alignment horizontal="center" vertical="center" wrapText="1"/>
    </x:xf>
    <x:xf numFmtId="0" fontId="13" fillId="12" borderId="9" xfId="0" applyNumberFormat="1" applyFont="1" applyFill="1" applyBorder="1" applyAlignment="1">
      <x:alignment horizontal="center" vertical="center" wrapText="1"/>
    </x:xf>
    <x:xf numFmtId="0" fontId="13" fillId="12" borderId="10" xfId="0" applyNumberFormat="1" applyFont="1" applyFill="1" applyBorder="1" applyAlignment="1">
      <x:alignment horizontal="center" vertical="center" wrapText="1"/>
    </x:xf>
    <x:xf numFmtId="0" fontId="13" fillId="12" borderId="16" xfId="0" applyNumberFormat="1" applyFont="1" applyFill="1" applyBorder="1" applyAlignment="1">
      <x:alignment horizontal="center" vertical="center" wrapText="1"/>
    </x:xf>
    <x:xf numFmtId="0" fontId="13" fillId="12" borderId="17" xfId="0" applyNumberFormat="1" applyFont="1" applyFill="1" applyBorder="1" applyAlignment="1">
      <x:alignment horizontal="center" vertical="center" wrapText="1"/>
    </x:xf>
    <x:xf numFmtId="0" fontId="13" fillId="12" borderId="18" xfId="0" applyNumberFormat="1" applyFont="1" applyFill="1" applyBorder="1" applyAlignment="1">
      <x:alignment horizontal="center" vertical="center" wrapText="1"/>
    </x:xf>
    <x:xf numFmtId="0" fontId="14" fillId="12" borderId="11" xfId="0" applyNumberFormat="1" applyFont="1" applyFill="1" applyBorder="1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4" fillId="12" borderId="12" xfId="0" applyNumberFormat="1" applyFont="1" applyFill="1" applyBorder="1" applyAlignment="1">
      <x:alignment horizontal="center" vertical="center" wrapText="1"/>
    </x:xf>
    <x:xf numFmtId="0" fontId="14" fillId="12" borderId="13" xfId="0" applyNumberFormat="1" applyFont="1" applyFill="1" applyBorder="1" applyAlignment="1">
      <x:alignment horizontal="center" vertical="center" wrapText="1"/>
    </x:xf>
    <x:xf numFmtId="0" fontId="14" fillId="12" borderId="14" xfId="0" applyNumberFormat="1" applyFont="1" applyFill="1" applyBorder="1" applyAlignment="1">
      <x:alignment horizontal="center" vertical="center" wrapText="1"/>
    </x:xf>
    <x:xf numFmtId="0" fontId="14" fillId="12" borderId="15" xfId="0" applyNumberFormat="1" applyFont="1" applyFill="1" applyBorder="1" applyAlignment="1">
      <x:alignment horizontal="center" vertical="center" wrapText="1"/>
    </x:xf>
    <x:xf numFmtId="0" fontId="14" fillId="12" borderId="19" xfId="0" applyNumberFormat="1" applyFont="1" applyFill="1" applyBorder="1" applyAlignment="1">
      <x:alignment horizontal="center" vertical="center" wrapText="1"/>
    </x:xf>
    <x:xf numFmtId="0" fontId="14" fillId="12" borderId="1" xfId="0" applyNumberFormat="1" applyFont="1" applyFill="1" applyBorder="1" applyAlignment="1">
      <x:alignment horizontal="center" vertical="center" wrapText="1"/>
    </x:xf>
    <x:xf numFmtId="0" fontId="14" fillId="12" borderId="20" xfId="0" applyNumberFormat="1" applyFont="1" applyFill="1" applyBorder="1" applyAlignment="1">
      <x:alignment horizontal="center" vertical="center" wrapText="1"/>
    </x:xf>
    <x:xf numFmtId="0" fontId="14" fillId="12" borderId="21" xfId="0" applyNumberFormat="1" applyFont="1" applyFill="1" applyBorder="1" applyAlignment="1">
      <x:alignment horizontal="center" vertical="center" wrapText="1"/>
    </x:xf>
    <x:xf numFmtId="0" fontId="14" fillId="12" borderId="22" xfId="0" applyNumberFormat="1" applyFont="1" applyFill="1" applyBorder="1" applyAlignment="1">
      <x:alignment horizontal="center" vertical="center" wrapText="1"/>
    </x:xf>
    <x:xf numFmtId="0" fontId="14" fillId="12" borderId="23" xfId="0" applyNumberFormat="1" applyFont="1" applyFill="1" applyBorder="1" applyAlignment="1">
      <x:alignment horizontal="center" vertical="center" wrapText="1"/>
    </x:xf>
    <x:xf numFmtId="209" fontId="14" fillId="12" borderId="11" xfId="0" applyNumberFormat="1" applyFont="1" applyFill="1" applyBorder="1" applyAlignment="1">
      <x:alignment horizontal="center" vertical="center" wrapText="1"/>
    </x:xf>
    <x:xf numFmtId="209" fontId="14" fillId="12" borderId="0" xfId="0" applyNumberFormat="1" applyFont="1" applyFill="1" applyBorder="1" applyAlignment="1">
      <x:alignment horizontal="center" vertical="center" wrapText="1"/>
    </x:xf>
    <x:xf numFmtId="209" fontId="14" fillId="12" borderId="12" xfId="0" applyNumberFormat="1" applyFont="1" applyFill="1" applyBorder="1" applyAlignment="1">
      <x:alignment horizontal="center" vertical="center" wrapText="1"/>
    </x:xf>
    <x:xf numFmtId="209" fontId="14" fillId="12" borderId="13" xfId="0" applyNumberFormat="1" applyFont="1" applyFill="1" applyBorder="1" applyAlignment="1">
      <x:alignment horizontal="center" vertical="center" wrapText="1"/>
    </x:xf>
    <x:xf numFmtId="209" fontId="14" fillId="12" borderId="14" xfId="0" applyNumberFormat="1" applyFont="1" applyFill="1" applyBorder="1" applyAlignment="1">
      <x:alignment horizontal="center" vertical="center" wrapText="1"/>
    </x:xf>
    <x:xf numFmtId="209" fontId="14" fillId="12" borderId="15" xfId="0" applyNumberFormat="1" applyFont="1" applyFill="1" applyBorder="1" applyAlignment="1">
      <x:alignment horizontal="center" vertical="center" wrapText="1"/>
    </x:xf>
    <x:xf numFmtId="209" fontId="14" fillId="12" borderId="19" xfId="0" applyNumberFormat="1" applyFont="1" applyFill="1" applyBorder="1" applyAlignment="1">
      <x:alignment horizontal="center" vertical="center" wrapText="1"/>
    </x:xf>
    <x:xf numFmtId="209" fontId="14" fillId="12" borderId="1" xfId="0" applyNumberFormat="1" applyFont="1" applyFill="1" applyBorder="1" applyAlignment="1">
      <x:alignment horizontal="center" vertical="center" wrapText="1"/>
    </x:xf>
    <x:xf numFmtId="209" fontId="14" fillId="12" borderId="20" xfId="0" applyNumberFormat="1" applyFont="1" applyFill="1" applyBorder="1" applyAlignment="1">
      <x:alignment horizontal="center" vertical="center" wrapText="1"/>
    </x:xf>
    <x:xf numFmtId="209" fontId="14" fillId="12" borderId="21" xfId="0" applyNumberFormat="1" applyFont="1" applyFill="1" applyBorder="1" applyAlignment="1">
      <x:alignment horizontal="center" vertical="center" wrapText="1"/>
    </x:xf>
    <x:xf numFmtId="209" fontId="14" fillId="12" borderId="22" xfId="0" applyNumberFormat="1" applyFont="1" applyFill="1" applyBorder="1" applyAlignment="1">
      <x:alignment horizontal="center" vertical="center" wrapText="1"/>
    </x:xf>
    <x:xf numFmtId="209" fontId="14" fillId="12" borderId="23" xfId="0" applyNumberFormat="1" applyFont="1" applyFill="1" applyBorder="1" applyAlignment="1">
      <x:alignment horizontal="center" vertical="center" wrapText="1"/>
    </x:xf>
    <x:xf numFmtId="207" fontId="14" fillId="12" borderId="11" xfId="0" applyNumberFormat="1" applyFont="1" applyFill="1" applyBorder="1" applyAlignment="1">
      <x:alignment horizontal="center" vertical="center" wrapText="1"/>
    </x:xf>
    <x:xf numFmtId="207" fontId="14" fillId="12" borderId="0" xfId="0" applyNumberFormat="1" applyFont="1" applyFill="1" applyBorder="1" applyAlignment="1">
      <x:alignment horizontal="center" vertical="center" wrapText="1"/>
    </x:xf>
    <x:xf numFmtId="207" fontId="14" fillId="12" borderId="12" xfId="0" applyNumberFormat="1" applyFont="1" applyFill="1" applyBorder="1" applyAlignment="1">
      <x:alignment horizontal="center" vertical="center" wrapText="1"/>
    </x:xf>
    <x:xf numFmtId="207" fontId="14" fillId="12" borderId="13" xfId="0" applyNumberFormat="1" applyFont="1" applyFill="1" applyBorder="1" applyAlignment="1">
      <x:alignment horizontal="center" vertical="center" wrapText="1"/>
    </x:xf>
    <x:xf numFmtId="207" fontId="14" fillId="12" borderId="14" xfId="0" applyNumberFormat="1" applyFont="1" applyFill="1" applyBorder="1" applyAlignment="1">
      <x:alignment horizontal="center" vertical="center" wrapText="1"/>
    </x:xf>
    <x:xf numFmtId="207" fontId="14" fillId="12" borderId="15" xfId="0" applyNumberFormat="1" applyFont="1" applyFill="1" applyBorder="1" applyAlignment="1">
      <x:alignment horizontal="center" vertical="center" wrapText="1"/>
    </x:xf>
    <x:xf numFmtId="207" fontId="14" fillId="12" borderId="19" xfId="0" applyNumberFormat="1" applyFont="1" applyFill="1" applyBorder="1" applyAlignment="1">
      <x:alignment horizontal="center" vertical="center" wrapText="1"/>
    </x:xf>
    <x:xf numFmtId="207" fontId="14" fillId="12" borderId="1" xfId="0" applyNumberFormat="1" applyFont="1" applyFill="1" applyBorder="1" applyAlignment="1">
      <x:alignment horizontal="center" vertical="center" wrapText="1"/>
    </x:xf>
    <x:xf numFmtId="207" fontId="14" fillId="12" borderId="20" xfId="0" applyNumberFormat="1" applyFont="1" applyFill="1" applyBorder="1" applyAlignment="1">
      <x:alignment horizontal="center" vertical="center" wrapText="1"/>
    </x:xf>
    <x:xf numFmtId="207" fontId="14" fillId="12" borderId="21" xfId="0" applyNumberFormat="1" applyFont="1" applyFill="1" applyBorder="1" applyAlignment="1">
      <x:alignment horizontal="center" vertical="center" wrapText="1"/>
    </x:xf>
    <x:xf numFmtId="207" fontId="14" fillId="12" borderId="22" xfId="0" applyNumberFormat="1" applyFont="1" applyFill="1" applyBorder="1" applyAlignment="1">
      <x:alignment horizontal="center" vertical="center" wrapText="1"/>
    </x:xf>
    <x:xf numFmtId="207" fontId="14" fillId="12" borderId="2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8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0" fontId="0" fillId="6" borderId="10" xfId="0" applyNumberFormat="1" applyFont="1" applyFill="1" applyBorder="1" applyAlignment="1">
      <x:alignment wrapText="1"/>
    </x:xf>
    <x:xf numFmtId="0" fontId="0" fillId="6" borderId="1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2" xfId="0" applyNumberFormat="1" applyFont="1" applyFill="1" applyBorder="1" applyAlignment="1">
      <x:alignment wrapText="1"/>
    </x:xf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horizontal="center" wrapText="1"/>
    </x:xf>
    <x:xf numFmtId="0" fontId="0" fillId="6" borderId="9" xfId="0" applyNumberFormat="1" applyFont="1" applyFill="1" applyBorder="1" applyAlignment="1">
      <x:alignment horizontal="center" wrapText="1"/>
    </x:xf>
    <x:xf numFmtId="0" fontId="0" fillId="6" borderId="10" xfId="0" applyNumberFormat="1" applyFont="1" applyFill="1" applyBorder="1" applyAlignment="1">
      <x:alignment horizontal="center" wrapText="1"/>
    </x:xf>
    <x:xf numFmtId="0" fontId="0" fillId="6" borderId="1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 wrapText="1"/>
    </x:xf>
    <x:xf numFmtId="0" fontId="0" fillId="6" borderId="12" xfId="0" applyNumberFormat="1" applyFont="1" applyFill="1" applyBorder="1" applyAlignment="1">
      <x:alignment horizontal="center" wrapText="1"/>
    </x:xf>
    <x:xf numFmtId="0" fontId="0" fillId="6" borderId="13" xfId="0" applyNumberFormat="1" applyFont="1" applyFill="1" applyBorder="1" applyAlignment="1">
      <x:alignment horizontal="center" wrapText="1"/>
    </x:xf>
    <x:xf numFmtId="0" fontId="0" fillId="6" borderId="14" xfId="0" applyNumberFormat="1" applyFont="1" applyFill="1" applyBorder="1" applyAlignment="1">
      <x:alignment horizontal="center" wrapText="1"/>
    </x:xf>
    <x:xf numFmtId="0" fontId="0" fillId="6" borderId="15" xfId="0" applyNumberFormat="1" applyFont="1" applyFill="1" applyBorder="1" applyAlignment="1">
      <x:alignment horizontal="center" wrapText="1"/>
    </x:xf>
    <x:xf numFmtId="0" fontId="0" fillId="6" borderId="8" xfId="0" applyNumberFormat="1" applyFont="1" applyFill="1" applyBorder="1" applyAlignment="1">
      <x:alignment horizontal="center" vertical="center" wrapText="1"/>
    </x:xf>
    <x:xf numFmtId="0" fontId="0" fillId="6" borderId="9" xfId="0" applyNumberFormat="1" applyFont="1" applyFill="1" applyBorder="1" applyAlignment="1">
      <x:alignment horizontal="center" vertical="center" wrapText="1"/>
    </x:xf>
    <x:xf numFmtId="0" fontId="0" fillId="6" borderId="10" xfId="0" applyNumberFormat="1" applyFont="1" applyFill="1" applyBorder="1" applyAlignment="1">
      <x:alignment horizontal="center" vertical="center" wrapText="1"/>
    </x:xf>
    <x:xf numFmtId="0" fontId="0" fillId="6" borderId="1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horizontal="center" vertical="center" wrapText="1"/>
    </x:xf>
    <x:xf numFmtId="0" fontId="0" fillId="6" borderId="12" xfId="0" applyNumberFormat="1" applyFont="1" applyFill="1" applyBorder="1" applyAlignment="1">
      <x:alignment horizontal="center" vertical="center" wrapText="1"/>
    </x:xf>
    <x:xf numFmtId="0" fontId="0" fillId="6" borderId="13" xfId="0" applyNumberFormat="1" applyFont="1" applyFill="1" applyBorder="1" applyAlignment="1">
      <x:alignment horizontal="center" vertical="center" wrapText="1"/>
    </x:xf>
    <x:xf numFmtId="0" fontId="0" fillId="6" borderId="14" xfId="0" applyNumberFormat="1" applyFont="1" applyFill="1" applyBorder="1" applyAlignment="1">
      <x:alignment horizontal="center" vertical="center" wrapText="1"/>
    </x:xf>
    <x:xf numFmtId="0" fontId="0" fillId="6" borderId="15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6" borderId="22" xfId="0" applyNumberFormat="1" applyFont="1" applyFill="1" applyBorder="1"/>
    <x:xf numFmtId="0" fontId="0" fillId="6" borderId="23" xfId="0" applyNumberFormat="1" applyFont="1" applyFill="1" applyBorder="1"/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6" borderId="22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horizontal="center" wrapText="1"/>
    </x:xf>
    <x:xf numFmtId="0" fontId="0" fillId="6" borderId="17" xfId="0" applyNumberFormat="1" applyFont="1" applyFill="1" applyBorder="1" applyAlignment="1">
      <x:alignment horizontal="center" wrapText="1"/>
    </x:xf>
    <x:xf numFmtId="0" fontId="0" fillId="6" borderId="18" xfId="0" applyNumberFormat="1" applyFont="1" applyFill="1" applyBorder="1" applyAlignment="1">
      <x:alignment horizontal="center" wrapText="1"/>
    </x:xf>
    <x:xf numFmtId="0" fontId="0" fillId="6" borderId="19" xfId="0" applyNumberFormat="1" applyFont="1" applyFill="1" applyBorder="1" applyAlignment="1">
      <x:alignment horizontal="center" wrapText="1"/>
    </x:xf>
    <x:xf numFmtId="0" fontId="0" fillId="6" borderId="1" xfId="0" applyNumberFormat="1" applyFont="1" applyFill="1" applyBorder="1" applyAlignment="1">
      <x:alignment horizontal="center" wrapText="1"/>
    </x:xf>
    <x:xf numFmtId="0" fontId="0" fillId="6" borderId="20" xfId="0" applyNumberFormat="1" applyFont="1" applyFill="1" applyBorder="1" applyAlignment="1">
      <x:alignment horizontal="center" wrapText="1"/>
    </x:xf>
    <x:xf numFmtId="0" fontId="0" fillId="6" borderId="21" xfId="0" applyNumberFormat="1" applyFont="1" applyFill="1" applyBorder="1" applyAlignment="1">
      <x:alignment horizontal="center" wrapText="1"/>
    </x:xf>
    <x:xf numFmtId="0" fontId="0" fillId="6" borderId="22" xfId="0" applyNumberFormat="1" applyFont="1" applyFill="1" applyBorder="1" applyAlignment="1">
      <x:alignment horizontal="center" wrapText="1"/>
    </x:xf>
    <x:xf numFmtId="0" fontId="0" fillId="6" borderId="23" xfId="0" applyNumberFormat="1" applyFont="1" applyFill="1" applyBorder="1" applyAlignment="1">
      <x:alignment horizontal="center" wrapText="1"/>
    </x:xf>
    <x:xf numFmtId="0" fontId="0" fillId="6" borderId="16" xfId="0" applyNumberFormat="1" applyFont="1" applyFill="1" applyBorder="1" applyAlignment="1">
      <x:alignment horizontal="center" vertical="center" wrapText="1"/>
    </x:xf>
    <x:xf numFmtId="0" fontId="0" fillId="6" borderId="17" xfId="0" applyNumberFormat="1" applyFont="1" applyFill="1" applyBorder="1" applyAlignment="1">
      <x:alignment horizontal="center" vertical="center" wrapText="1"/>
    </x:xf>
    <x:xf numFmtId="0" fontId="0" fillId="6" borderId="18" xfId="0" applyNumberFormat="1" applyFont="1" applyFill="1" applyBorder="1" applyAlignment="1">
      <x:alignment horizontal="center" vertical="center" wrapText="1"/>
    </x:xf>
    <x:xf numFmtId="0" fontId="0" fillId="6" borderId="19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horizontal="center" vertical="center" wrapText="1"/>
    </x:xf>
    <x:xf numFmtId="0" fontId="0" fillId="6" borderId="20" xfId="0" applyNumberFormat="1" applyFont="1" applyFill="1" applyBorder="1" applyAlignment="1">
      <x:alignment horizontal="center" vertical="center" wrapText="1"/>
    </x:xf>
    <x:xf numFmtId="0" fontId="0" fillId="6" borderId="21" xfId="0" applyNumberFormat="1" applyFont="1" applyFill="1" applyBorder="1" applyAlignment="1">
      <x:alignment horizontal="center" vertical="center" wrapText="1"/>
    </x:xf>
    <x:xf numFmtId="0" fontId="0" fillId="6" borderId="22" xfId="0" applyNumberFormat="1" applyFont="1" applyFill="1" applyBorder="1" applyAlignment="1">
      <x:alignment horizontal="center" vertical="center" wrapText="1"/>
    </x:xf>
    <x:xf numFmtId="0" fontId="0" fillId="6" borderId="23" xfId="0" applyNumberFormat="1" applyFont="1" applyFill="1" applyBorder="1" applyAlignment="1">
      <x:alignment horizontal="center" vertical="center" wrapText="1"/>
    </x:xf>
    <x:xf numFmtId="0" fontId="13" fillId="6" borderId="8" xfId="0" applyNumberFormat="1" applyFont="1" applyFill="1" applyBorder="1" applyAlignment="1">
      <x:alignment horizontal="center" vertical="center" wrapText="1"/>
    </x:xf>
    <x:xf numFmtId="0" fontId="13" fillId="6" borderId="9" xfId="0" applyNumberFormat="1" applyFont="1" applyFill="1" applyBorder="1" applyAlignment="1">
      <x:alignment horizontal="center" vertical="center" wrapText="1"/>
    </x:xf>
    <x:xf numFmtId="0" fontId="13" fillId="6" borderId="10" xfId="0" applyNumberFormat="1" applyFont="1" applyFill="1" applyBorder="1" applyAlignment="1">
      <x:alignment horizontal="center" vertical="center" wrapText="1"/>
    </x:xf>
    <x:xf numFmtId="0" fontId="13" fillId="6" borderId="16" xfId="0" applyNumberFormat="1" applyFont="1" applyFill="1" applyBorder="1" applyAlignment="1">
      <x:alignment horizontal="center" vertical="center" wrapText="1"/>
    </x:xf>
    <x:xf numFmtId="0" fontId="13" fillId="6" borderId="17" xfId="0" applyNumberFormat="1" applyFont="1" applyFill="1" applyBorder="1" applyAlignment="1">
      <x:alignment horizontal="center" vertical="center" wrapText="1"/>
    </x:xf>
    <x:xf numFmtId="0" fontId="13" fillId="6" borderId="18" xfId="0" applyNumberFormat="1" applyFont="1" applyFill="1" applyBorder="1" applyAlignment="1">
      <x:alignment horizontal="center" vertical="center" wrapText="1"/>
    </x:xf>
    <x:xf numFmtId="0" fontId="14" fillId="6" borderId="11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6" borderId="12" xfId="0" applyNumberFormat="1" applyFont="1" applyFill="1" applyBorder="1" applyAlignment="1">
      <x:alignment horizontal="center" vertical="center" wrapText="1"/>
    </x:xf>
    <x:xf numFmtId="0" fontId="14" fillId="6" borderId="13" xfId="0" applyNumberFormat="1" applyFont="1" applyFill="1" applyBorder="1" applyAlignment="1">
      <x:alignment horizontal="center" vertical="center" wrapText="1"/>
    </x:xf>
    <x:xf numFmtId="0" fontId="14" fillId="6" borderId="14" xfId="0" applyNumberFormat="1" applyFont="1" applyFill="1" applyBorder="1" applyAlignment="1">
      <x:alignment horizontal="center" vertical="center" wrapText="1"/>
    </x:xf>
    <x:xf numFmtId="0" fontId="14" fillId="6" borderId="15" xfId="0" applyNumberFormat="1" applyFont="1" applyFill="1" applyBorder="1" applyAlignment="1">
      <x:alignment horizontal="center" vertical="center" wrapText="1"/>
    </x:xf>
    <x:xf numFmtId="0" fontId="14" fillId="6" borderId="19" xfId="0" applyNumberFormat="1" applyFont="1" applyFill="1" applyBorder="1" applyAlignment="1">
      <x:alignment horizontal="center" vertical="center" wrapText="1"/>
    </x:xf>
    <x:xf numFmtId="0" fontId="14" fillId="6" borderId="1" xfId="0" applyNumberFormat="1" applyFont="1" applyFill="1" applyBorder="1" applyAlignment="1">
      <x:alignment horizontal="center" vertical="center" wrapText="1"/>
    </x:xf>
    <x:xf numFmtId="0" fontId="14" fillId="6" borderId="20" xfId="0" applyNumberFormat="1" applyFont="1" applyFill="1" applyBorder="1" applyAlignment="1">
      <x:alignment horizontal="center" vertical="center" wrapText="1"/>
    </x:xf>
    <x:xf numFmtId="0" fontId="14" fillId="6" borderId="21" xfId="0" applyNumberFormat="1" applyFont="1" applyFill="1" applyBorder="1" applyAlignment="1">
      <x:alignment horizontal="center" vertical="center" wrapText="1"/>
    </x:xf>
    <x:xf numFmtId="0" fontId="14" fillId="6" borderId="22" xfId="0" applyNumberFormat="1" applyFont="1" applyFill="1" applyBorder="1" applyAlignment="1">
      <x:alignment horizontal="center" vertical="center" wrapText="1"/>
    </x:xf>
    <x:xf numFmtId="0" fontId="14" fillId="6" borderId="23" xfId="0" applyNumberFormat="1" applyFont="1" applyFill="1" applyBorder="1" applyAlignment="1">
      <x:alignment horizontal="center" vertical="center" wrapText="1"/>
    </x:xf>
    <x:xf numFmtId="207" fontId="14" fillId="6" borderId="11" xfId="0" applyNumberFormat="1" applyFont="1" applyFill="1" applyBorder="1" applyAlignment="1">
      <x:alignment horizontal="center" vertical="center" wrapText="1"/>
    </x:xf>
    <x:xf numFmtId="207" fontId="14" fillId="6" borderId="0" xfId="0" applyNumberFormat="1" applyFont="1" applyFill="1" applyBorder="1" applyAlignment="1">
      <x:alignment horizontal="center" vertical="center" wrapText="1"/>
    </x:xf>
    <x:xf numFmtId="207" fontId="14" fillId="6" borderId="12" xfId="0" applyNumberFormat="1" applyFont="1" applyFill="1" applyBorder="1" applyAlignment="1">
      <x:alignment horizontal="center" vertical="center" wrapText="1"/>
    </x:xf>
    <x:xf numFmtId="207" fontId="14" fillId="6" borderId="13" xfId="0" applyNumberFormat="1" applyFont="1" applyFill="1" applyBorder="1" applyAlignment="1">
      <x:alignment horizontal="center" vertical="center" wrapText="1"/>
    </x:xf>
    <x:xf numFmtId="207" fontId="14" fillId="6" borderId="14" xfId="0" applyNumberFormat="1" applyFont="1" applyFill="1" applyBorder="1" applyAlignment="1">
      <x:alignment horizontal="center" vertical="center" wrapText="1"/>
    </x:xf>
    <x:xf numFmtId="207" fontId="14" fillId="6" borderId="15" xfId="0" applyNumberFormat="1" applyFont="1" applyFill="1" applyBorder="1" applyAlignment="1">
      <x:alignment horizontal="center" vertical="center" wrapText="1"/>
    </x:xf>
    <x:xf numFmtId="207" fontId="14" fillId="6" borderId="19" xfId="0" applyNumberFormat="1" applyFont="1" applyFill="1" applyBorder="1" applyAlignment="1">
      <x:alignment horizontal="center" vertical="center" wrapText="1"/>
    </x:xf>
    <x:xf numFmtId="207" fontId="14" fillId="6" borderId="1" xfId="0" applyNumberFormat="1" applyFont="1" applyFill="1" applyBorder="1" applyAlignment="1">
      <x:alignment horizontal="center" vertical="center" wrapText="1"/>
    </x:xf>
    <x:xf numFmtId="207" fontId="14" fillId="6" borderId="20" xfId="0" applyNumberFormat="1" applyFont="1" applyFill="1" applyBorder="1" applyAlignment="1">
      <x:alignment horizontal="center" vertical="center" wrapText="1"/>
    </x:xf>
    <x:xf numFmtId="207" fontId="14" fillId="6" borderId="21" xfId="0" applyNumberFormat="1" applyFont="1" applyFill="1" applyBorder="1" applyAlignment="1">
      <x:alignment horizontal="center" vertical="center" wrapText="1"/>
    </x:xf>
    <x:xf numFmtId="207" fontId="14" fillId="6" borderId="22" xfId="0" applyNumberFormat="1" applyFont="1" applyFill="1" applyBorder="1" applyAlignment="1">
      <x:alignment horizontal="center" vertical="center" wrapText="1"/>
    </x:xf>
    <x:xf numFmtId="207" fontId="14" fillId="6" borderId="2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horizontal="center" wrapText="1"/>
    </x:xf>
    <x:xf numFmtId="0" fontId="0" fillId="5" borderId="9" xfId="0" applyNumberFormat="1" applyFont="1" applyFill="1" applyBorder="1" applyAlignment="1">
      <x:alignment horizontal="center" wrapText="1"/>
    </x:xf>
    <x:xf numFmtId="0" fontId="0" fillId="5" borderId="10" xfId="0" applyNumberFormat="1" applyFont="1" applyFill="1" applyBorder="1" applyAlignment="1">
      <x:alignment horizontal="center" wrapText="1"/>
    </x:xf>
    <x:xf numFmtId="0" fontId="0" fillId="5" borderId="11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 applyAlignment="1">
      <x:alignment horizontal="center" wrapText="1"/>
    </x:xf>
    <x:xf numFmtId="0" fontId="0" fillId="5" borderId="12" xfId="0" applyNumberFormat="1" applyFont="1" applyFill="1" applyBorder="1" applyAlignment="1">
      <x:alignment horizontal="center" wrapText="1"/>
    </x:xf>
    <x:xf numFmtId="0" fontId="0" fillId="5" borderId="13" xfId="0" applyNumberFormat="1" applyFont="1" applyFill="1" applyBorder="1" applyAlignment="1">
      <x:alignment horizontal="center" wrapText="1"/>
    </x:xf>
    <x:xf numFmtId="0" fontId="0" fillId="5" borderId="14" xfId="0" applyNumberFormat="1" applyFont="1" applyFill="1" applyBorder="1" applyAlignment="1">
      <x:alignment horizontal="center" wrapText="1"/>
    </x:xf>
    <x:xf numFmtId="0" fontId="0" fillId="5" borderId="15" xfId="0" applyNumberFormat="1" applyFont="1" applyFill="1" applyBorder="1" applyAlignment="1">
      <x:alignment horizont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5" borderId="9" xfId="0" applyNumberFormat="1" applyFont="1" applyFill="1" applyBorder="1" applyAlignment="1">
      <x:alignment horizontal="center" vertical="center" wrapText="1"/>
    </x:xf>
    <x:xf numFmtId="0" fontId="0" fillId="5" borderId="10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horizontal="center" vertical="center" wrapText="1"/>
    </x:xf>
    <x:xf numFmtId="0" fontId="0" fillId="5" borderId="12" xfId="0" applyNumberFormat="1" applyFont="1" applyFill="1" applyBorder="1" applyAlignment="1">
      <x:alignment horizontal="center" vertical="center" wrapText="1"/>
    </x:xf>
    <x:xf numFmtId="0" fontId="0" fillId="5" borderId="13" xfId="0" applyNumberFormat="1" applyFont="1" applyFill="1" applyBorder="1" applyAlignment="1">
      <x:alignment horizontal="center" vertical="center" wrapText="1"/>
    </x:xf>
    <x:xf numFmtId="0" fontId="0" fillId="5" borderId="14" xfId="0" applyNumberFormat="1" applyFont="1" applyFill="1" applyBorder="1" applyAlignment="1">
      <x:alignment horizontal="center" vertical="center" wrapText="1"/>
    </x:xf>
    <x:xf numFmtId="0" fontId="0" fillId="5" borderId="15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5" borderId="18" xfId="0" applyNumberFormat="1" applyFont="1" applyFill="1" applyBorder="1"/>
    <x:xf numFmtId="0" fontId="0" fillId="5" borderId="19" xfId="0" applyNumberFormat="1" applyFont="1" applyFill="1" applyBorder="1"/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3" xfId="0" applyNumberFormat="1" applyFont="1" applyFill="1" applyBorder="1"/>
    <x:xf numFmtId="0" fontId="0" fillId="5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20" xfId="0" applyNumberFormat="1" applyFont="1" applyFill="1" applyBorder="1" applyAlignment="1">
      <x:alignment wrapText="1"/>
    </x:xf>
    <x:xf numFmtId="0" fontId="0" fillId="5" borderId="21" xfId="0" applyNumberFormat="1" applyFont="1" applyFill="1" applyBorder="1" applyAlignment="1">
      <x:alignment wrapText="1"/>
    </x:xf>
    <x:xf numFmtId="0" fontId="0" fillId="5" borderId="22" xfId="0" applyNumberFormat="1" applyFont="1" applyFill="1" applyBorder="1" applyAlignment="1">
      <x:alignment wrapText="1"/>
    </x:xf>
    <x:xf numFmtId="0" fontId="0" fillId="5" borderId="23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horizontal="center" wrapText="1"/>
    </x:xf>
    <x:xf numFmtId="0" fontId="0" fillId="5" borderId="17" xfId="0" applyNumberFormat="1" applyFont="1" applyFill="1" applyBorder="1" applyAlignment="1">
      <x:alignment horizontal="center" wrapText="1"/>
    </x:xf>
    <x:xf numFmtId="0" fontId="0" fillId="5" borderId="18" xfId="0" applyNumberFormat="1" applyFont="1" applyFill="1" applyBorder="1" applyAlignment="1">
      <x:alignment horizontal="center" wrapText="1"/>
    </x:xf>
    <x:xf numFmtId="0" fontId="0" fillId="5" borderId="19" xfId="0" applyNumberFormat="1" applyFont="1" applyFill="1" applyBorder="1" applyAlignment="1">
      <x:alignment horizontal="center" wrapText="1"/>
    </x:xf>
    <x:xf numFmtId="0" fontId="0" fillId="5" borderId="1" xfId="0" applyNumberFormat="1" applyFont="1" applyFill="1" applyBorder="1" applyAlignment="1">
      <x:alignment horizontal="center" wrapText="1"/>
    </x:xf>
    <x:xf numFmtId="0" fontId="0" fillId="5" borderId="20" xfId="0" applyNumberFormat="1" applyFont="1" applyFill="1" applyBorder="1" applyAlignment="1">
      <x:alignment horizontal="center" wrapText="1"/>
    </x:xf>
    <x:xf numFmtId="0" fontId="0" fillId="5" borderId="21" xfId="0" applyNumberFormat="1" applyFont="1" applyFill="1" applyBorder="1" applyAlignment="1">
      <x:alignment horizontal="center" wrapText="1"/>
    </x:xf>
    <x:xf numFmtId="0" fontId="0" fillId="5" borderId="22" xfId="0" applyNumberFormat="1" applyFont="1" applyFill="1" applyBorder="1" applyAlignment="1">
      <x:alignment horizontal="center" wrapText="1"/>
    </x:xf>
    <x:xf numFmtId="0" fontId="0" fillId="5" borderId="23" xfId="0" applyNumberFormat="1" applyFont="1" applyFill="1" applyBorder="1" applyAlignment="1">
      <x:alignment horizont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horizontal="center" vertical="center" wrapText="1"/>
    </x:xf>
    <x:xf numFmtId="0" fontId="0" fillId="5" borderId="18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horizontal="center" vertical="center" wrapText="1"/>
    </x:xf>
    <x:xf numFmtId="0" fontId="0" fillId="5" borderId="20" xfId="0" applyNumberFormat="1" applyFont="1" applyFill="1" applyBorder="1" applyAlignment="1">
      <x:alignment horizontal="center" vertical="center" wrapText="1"/>
    </x:xf>
    <x:xf numFmtId="0" fontId="0" fillId="5" borderId="21" xfId="0" applyNumberFormat="1" applyFont="1" applyFill="1" applyBorder="1" applyAlignment="1">
      <x:alignment horizontal="center" vertical="center" wrapText="1"/>
    </x:xf>
    <x:xf numFmtId="0" fontId="0" fillId="5" borderId="22" xfId="0" applyNumberFormat="1" applyFont="1" applyFill="1" applyBorder="1" applyAlignment="1">
      <x:alignment horizontal="center" vertical="center" wrapText="1"/>
    </x:xf>
    <x:xf numFmtId="0" fontId="0" fillId="5" borderId="2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13" fillId="5" borderId="9" xfId="0" applyNumberFormat="1" applyFont="1" applyFill="1" applyBorder="1" applyAlignment="1">
      <x:alignment horizontal="center" vertical="center" wrapText="1"/>
    </x:xf>
    <x:xf numFmtId="0" fontId="13" fillId="5" borderId="10" xfId="0" applyNumberFormat="1" applyFont="1" applyFill="1" applyBorder="1" applyAlignment="1">
      <x:alignment horizontal="center" vertical="center" wrapText="1"/>
    </x:xf>
    <x:xf numFmtId="0" fontId="13" fillId="5" borderId="16" xfId="0" applyNumberFormat="1" applyFont="1" applyFill="1" applyBorder="1" applyAlignment="1">
      <x:alignment horizontal="center" vertical="center" wrapText="1"/>
    </x:xf>
    <x:xf numFmtId="0" fontId="13" fillId="5" borderId="17" xfId="0" applyNumberFormat="1" applyFont="1" applyFill="1" applyBorder="1" applyAlignment="1">
      <x:alignment horizontal="center" vertical="center" wrapText="1"/>
    </x:xf>
    <x:xf numFmtId="0" fontId="13" fillId="5" borderId="18" xfId="0" applyNumberFormat="1" applyFont="1" applyFill="1" applyBorder="1" applyAlignment="1">
      <x:alignment horizontal="center" vertical="center" wrapText="1"/>
    </x:xf>
    <x:xf numFmtId="0" fontId="14" fillId="5" borderId="11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 wrapText="1"/>
    </x:xf>
    <x:xf numFmtId="0" fontId="14" fillId="5" borderId="12" xfId="0" applyNumberFormat="1" applyFont="1" applyFill="1" applyBorder="1" applyAlignment="1">
      <x:alignment horizontal="center" vertical="center" wrapText="1"/>
    </x:xf>
    <x:xf numFmtId="0" fontId="14" fillId="5" borderId="13" xfId="0" applyNumberFormat="1" applyFont="1" applyFill="1" applyBorder="1" applyAlignment="1">
      <x:alignment horizontal="center" vertical="center" wrapText="1"/>
    </x:xf>
    <x:xf numFmtId="0" fontId="14" fillId="5" borderId="14" xfId="0" applyNumberFormat="1" applyFont="1" applyFill="1" applyBorder="1" applyAlignment="1">
      <x:alignment horizontal="center" vertical="center" wrapText="1"/>
    </x:xf>
    <x:xf numFmtId="0" fontId="14" fillId="5" borderId="15" xfId="0" applyNumberFormat="1" applyFont="1" applyFill="1" applyBorder="1" applyAlignment="1">
      <x:alignment horizontal="center" vertical="center" wrapText="1"/>
    </x:xf>
    <x:xf numFmtId="0" fontId="14" fillId="5" borderId="19" xfId="0" applyNumberFormat="1" applyFont="1" applyFill="1" applyBorder="1" applyAlignment="1">
      <x:alignment horizontal="center"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4" fillId="5" borderId="20" xfId="0" applyNumberFormat="1" applyFont="1" applyFill="1" applyBorder="1" applyAlignment="1">
      <x:alignment horizontal="center" vertical="center" wrapText="1"/>
    </x:xf>
    <x:xf numFmtId="0" fontId="14" fillId="5" borderId="21" xfId="0" applyNumberFormat="1" applyFont="1" applyFill="1" applyBorder="1" applyAlignment="1">
      <x:alignment horizontal="center" vertical="center" wrapText="1"/>
    </x:xf>
    <x:xf numFmtId="0" fontId="14" fillId="5" borderId="22" xfId="0" applyNumberFormat="1" applyFont="1" applyFill="1" applyBorder="1" applyAlignment="1">
      <x:alignment horizontal="center" vertical="center" wrapText="1"/>
    </x:xf>
    <x:xf numFmtId="0" fontId="14" fillId="5" borderId="23" xfId="0" applyNumberFormat="1" applyFont="1" applyFill="1" applyBorder="1" applyAlignment="1">
      <x:alignment horizontal="center" vertical="center" wrapText="1"/>
    </x:xf>
    <x:xf numFmtId="208" fontId="14" fillId="5" borderId="11" xfId="0" applyNumberFormat="1" applyFont="1" applyFill="1" applyBorder="1" applyAlignment="1">
      <x:alignment horizontal="center" vertical="center" wrapText="1"/>
    </x:xf>
    <x:xf numFmtId="208" fontId="14" fillId="5" borderId="0" xfId="0" applyNumberFormat="1" applyFont="1" applyFill="1" applyBorder="1" applyAlignment="1">
      <x:alignment horizontal="center" vertical="center" wrapText="1"/>
    </x:xf>
    <x:xf numFmtId="208" fontId="14" fillId="5" borderId="12" xfId="0" applyNumberFormat="1" applyFont="1" applyFill="1" applyBorder="1" applyAlignment="1">
      <x:alignment horizontal="center" vertical="center" wrapText="1"/>
    </x:xf>
    <x:xf numFmtId="208" fontId="14" fillId="5" borderId="13" xfId="0" applyNumberFormat="1" applyFont="1" applyFill="1" applyBorder="1" applyAlignment="1">
      <x:alignment horizontal="center" vertical="center" wrapText="1"/>
    </x:xf>
    <x:xf numFmtId="208" fontId="14" fillId="5" borderId="14" xfId="0" applyNumberFormat="1" applyFont="1" applyFill="1" applyBorder="1" applyAlignment="1">
      <x:alignment horizontal="center" vertical="center" wrapText="1"/>
    </x:xf>
    <x:xf numFmtId="208" fontId="14" fillId="5" borderId="15" xfId="0" applyNumberFormat="1" applyFont="1" applyFill="1" applyBorder="1" applyAlignment="1">
      <x:alignment horizontal="center" vertical="center" wrapText="1"/>
    </x:xf>
    <x:xf numFmtId="208" fontId="14" fillId="5" borderId="19" xfId="0" applyNumberFormat="1" applyFont="1" applyFill="1" applyBorder="1" applyAlignment="1">
      <x:alignment horizontal="center" vertical="center" wrapText="1"/>
    </x:xf>
    <x:xf numFmtId="208" fontId="14" fillId="5" borderId="1" xfId="0" applyNumberFormat="1" applyFont="1" applyFill="1" applyBorder="1" applyAlignment="1">
      <x:alignment horizontal="center" vertical="center" wrapText="1"/>
    </x:xf>
    <x:xf numFmtId="208" fontId="14" fillId="5" borderId="20" xfId="0" applyNumberFormat="1" applyFont="1" applyFill="1" applyBorder="1" applyAlignment="1">
      <x:alignment horizontal="center" vertical="center" wrapText="1"/>
    </x:xf>
    <x:xf numFmtId="208" fontId="14" fillId="5" borderId="21" xfId="0" applyNumberFormat="1" applyFont="1" applyFill="1" applyBorder="1" applyAlignment="1">
      <x:alignment horizontal="center" vertical="center" wrapText="1"/>
    </x:xf>
    <x:xf numFmtId="208" fontId="14" fillId="5" borderId="22" xfId="0" applyNumberFormat="1" applyFont="1" applyFill="1" applyBorder="1" applyAlignment="1">
      <x:alignment horizontal="center" vertical="center" wrapText="1"/>
    </x:xf>
    <x:xf numFmtId="208" fontId="14" fillId="5" borderId="23" xfId="0" applyNumberFormat="1" applyFont="1" applyFill="1" applyBorder="1" applyAlignment="1">
      <x:alignment horizontal="center" vertical="center" wrapText="1"/>
    </x:xf>
    <x:xf numFmtId="207" fontId="14" fillId="5" borderId="11" xfId="0" applyNumberFormat="1" applyFont="1" applyFill="1" applyBorder="1" applyAlignment="1">
      <x:alignment horizontal="center" vertical="center" wrapText="1"/>
    </x:xf>
    <x:xf numFmtId="207" fontId="14" fillId="5" borderId="0" xfId="0" applyNumberFormat="1" applyFont="1" applyFill="1" applyBorder="1" applyAlignment="1">
      <x:alignment horizontal="center" vertical="center" wrapText="1"/>
    </x:xf>
    <x:xf numFmtId="207" fontId="14" fillId="5" borderId="12" xfId="0" applyNumberFormat="1" applyFont="1" applyFill="1" applyBorder="1" applyAlignment="1">
      <x:alignment horizontal="center" vertical="center" wrapText="1"/>
    </x:xf>
    <x:xf numFmtId="207" fontId="14" fillId="5" borderId="13" xfId="0" applyNumberFormat="1" applyFont="1" applyFill="1" applyBorder="1" applyAlignment="1">
      <x:alignment horizontal="center" vertical="center" wrapText="1"/>
    </x:xf>
    <x:xf numFmtId="207" fontId="14" fillId="5" borderId="14" xfId="0" applyNumberFormat="1" applyFont="1" applyFill="1" applyBorder="1" applyAlignment="1">
      <x:alignment horizontal="center" vertical="center" wrapText="1"/>
    </x:xf>
    <x:xf numFmtId="207" fontId="14" fillId="5" borderId="15" xfId="0" applyNumberFormat="1" applyFont="1" applyFill="1" applyBorder="1" applyAlignment="1">
      <x:alignment horizontal="center" vertical="center" wrapText="1"/>
    </x:xf>
    <x:xf numFmtId="207" fontId="14" fillId="5" borderId="19" xfId="0" applyNumberFormat="1" applyFont="1" applyFill="1" applyBorder="1" applyAlignment="1">
      <x:alignment horizontal="center" vertical="center" wrapText="1"/>
    </x:xf>
    <x:xf numFmtId="207" fontId="14" fillId="5" borderId="1" xfId="0" applyNumberFormat="1" applyFont="1" applyFill="1" applyBorder="1" applyAlignment="1">
      <x:alignment horizontal="center" vertical="center" wrapText="1"/>
    </x:xf>
    <x:xf numFmtId="207" fontId="14" fillId="5" borderId="20" xfId="0" applyNumberFormat="1" applyFont="1" applyFill="1" applyBorder="1" applyAlignment="1">
      <x:alignment horizontal="center" vertical="center" wrapText="1"/>
    </x:xf>
    <x:xf numFmtId="207" fontId="14" fillId="5" borderId="21" xfId="0" applyNumberFormat="1" applyFont="1" applyFill="1" applyBorder="1" applyAlignment="1">
      <x:alignment horizontal="center" vertical="center" wrapText="1"/>
    </x:xf>
    <x:xf numFmtId="207" fontId="14" fillId="5" borderId="22" xfId="0" applyNumberFormat="1" applyFont="1" applyFill="1" applyBorder="1" applyAlignment="1">
      <x:alignment horizontal="center" vertical="center" wrapText="1"/>
    </x:xf>
    <x:xf numFmtId="207" fontId="14" fillId="5" borderId="23" xfId="0" applyNumberFormat="1" applyFont="1" applyFill="1" applyBorder="1" applyAlignment="1">
      <x:alignment horizontal="center" vertical="center" wrapText="1"/>
    </x:xf>
    <x:xf numFmtId="0" fontId="0" fillId="13" borderId="8" xfId="0" applyNumberFormat="1" applyFont="1" applyFill="1" applyBorder="1"/>
    <x:xf numFmtId="0" fontId="0" fillId="13" borderId="9" xfId="0" applyNumberFormat="1" applyFont="1" applyFill="1" applyBorder="1"/>
    <x:xf numFmtId="0" fontId="0" fillId="13" borderId="10" xfId="0" applyNumberFormat="1" applyFont="1" applyFill="1" applyBorder="1"/>
    <x:xf numFmtId="0" fontId="15" fillId="13" borderId="8" xfId="0" applyNumberFormat="1" applyFont="1" applyFill="1" applyBorder="1"/>
    <x:xf numFmtId="0" fontId="15" fillId="13" borderId="9" xfId="0" applyNumberFormat="1" applyFont="1" applyFill="1" applyBorder="1"/>
    <x:xf numFmtId="0" fontId="15" fillId="13" borderId="10" xfId="0" applyNumberFormat="1" applyFont="1" applyFill="1" applyBorder="1"/>
    <x:xf numFmtId="0" fontId="15" fillId="13" borderId="2" xfId="0" applyNumberFormat="1" applyFont="1" applyFill="1" applyBorder="1"/>
    <x:xf numFmtId="0" fontId="15" fillId="13" borderId="3" xfId="0" applyNumberFormat="1" applyFont="1" applyFill="1" applyBorder="1"/>
    <x:xf numFmtId="0" fontId="15" fillId="13" borderId="4" xfId="0" applyNumberFormat="1" applyFont="1" applyFill="1" applyBorder="1"/>
    <x:xf numFmtId="0" fontId="15" fillId="13" borderId="2" xfId="0" applyNumberFormat="1" applyFont="1" applyFill="1" applyBorder="1" applyAlignment="1">
      <x:alignment horizontal="center"/>
    </x:xf>
    <x:xf numFmtId="0" fontId="15" fillId="13" borderId="3" xfId="0" applyNumberFormat="1" applyFont="1" applyFill="1" applyBorder="1" applyAlignment="1">
      <x:alignment horizontal="center"/>
    </x:xf>
    <x:xf numFmtId="0" fontId="15" fillId="13" borderId="4" xfId="0" applyNumberFormat="1" applyFont="1" applyFill="1" applyBorder="1" applyAlignment="1">
      <x:alignment horizontal="center"/>
    </x:xf>
    <x:xf numFmtId="0" fontId="15" fillId="13" borderId="2" xfId="0" applyNumberFormat="1" applyFont="1" applyFill="1" applyBorder="1" applyAlignment="1">
      <x:alignment horizontal="center" vertical="center"/>
    </x:xf>
    <x:xf numFmtId="0" fontId="15" fillId="13" borderId="3" xfId="0" applyNumberFormat="1" applyFont="1" applyFill="1" applyBorder="1" applyAlignment="1">
      <x:alignment horizontal="center" vertical="center"/>
    </x:xf>
    <x:xf numFmtId="0" fontId="15" fillId="13" borderId="4" xfId="0" applyNumberFormat="1" applyFont="1" applyFill="1" applyBorder="1" applyAlignment="1">
      <x:alignment horizontal="center" vertical="center"/>
    </x:xf>
    <x:xf numFmtId="0" fontId="0" fillId="13" borderId="16" xfId="0" applyNumberFormat="1" applyFont="1" applyFill="1" applyBorder="1"/>
    <x:xf numFmtId="0" fontId="0" fillId="13" borderId="17" xfId="0" applyNumberFormat="1" applyFont="1" applyFill="1" applyBorder="1"/>
    <x:xf numFmtId="0" fontId="0" fillId="13" borderId="18" xfId="0" applyNumberFormat="1" applyFont="1" applyFill="1" applyBorder="1"/>
    <x:xf numFmtId="0" fontId="15" fillId="13" borderId="16" xfId="0" applyNumberFormat="1" applyFont="1" applyFill="1" applyBorder="1"/>
    <x:xf numFmtId="0" fontId="15" fillId="13" borderId="17" xfId="0" applyNumberFormat="1" applyFont="1" applyFill="1" applyBorder="1"/>
    <x:xf numFmtId="0" fontId="15" fillId="13" borderId="18" xfId="0" applyNumberFormat="1" applyFont="1" applyFill="1" applyBorder="1"/>
    <x:xf numFmtId="0" fontId="15" fillId="13" borderId="5" xfId="0" applyNumberFormat="1" applyFont="1" applyFill="1" applyBorder="1"/>
    <x:xf numFmtId="0" fontId="15" fillId="13" borderId="6" xfId="0" applyNumberFormat="1" applyFont="1" applyFill="1" applyBorder="1"/>
    <x:xf numFmtId="0" fontId="15" fillId="13" borderId="7" xfId="0" applyNumberFormat="1" applyFont="1" applyFill="1" applyBorder="1"/>
    <x:xf numFmtId="0" fontId="15" fillId="13" borderId="5" xfId="0" applyNumberFormat="1" applyFont="1" applyFill="1" applyBorder="1" applyAlignment="1">
      <x:alignment horizontal="center"/>
    </x:xf>
    <x:xf numFmtId="0" fontId="15" fillId="13" borderId="6" xfId="0" applyNumberFormat="1" applyFont="1" applyFill="1" applyBorder="1" applyAlignment="1">
      <x:alignment horizontal="center"/>
    </x:xf>
    <x:xf numFmtId="0" fontId="15" fillId="13" borderId="7" xfId="0" applyNumberFormat="1" applyFont="1" applyFill="1" applyBorder="1" applyAlignment="1">
      <x:alignment horizontal="center"/>
    </x:xf>
    <x:xf numFmtId="0" fontId="15" fillId="13" borderId="5" xfId="0" applyNumberFormat="1" applyFont="1" applyFill="1" applyBorder="1" applyAlignment="1">
      <x:alignment horizontal="center" vertical="center"/>
    </x:xf>
    <x:xf numFmtId="0" fontId="15" fillId="13" borderId="6" xfId="0" applyNumberFormat="1" applyFont="1" applyFill="1" applyBorder="1" applyAlignment="1">
      <x:alignment horizontal="center" vertical="center"/>
    </x:xf>
    <x:xf numFmtId="0" fontId="15" fillId="13" borderId="7" xfId="0" applyNumberFormat="1" applyFont="1" applyFill="1" applyBorder="1" applyAlignment="1">
      <x:alignment horizontal="center" vertical="center"/>
    </x:xf>
    <x:xf numFmtId="0" fontId="15" fillId="13" borderId="2" xfId="0" applyNumberFormat="1" applyFont="1" applyFill="1" applyBorder="1" applyAlignment="1">
      <x:alignment horizontal="center" vertical="center" wrapText="1"/>
    </x:xf>
    <x:xf numFmtId="0" fontId="15" fillId="13" borderId="3" xfId="0" applyNumberFormat="1" applyFont="1" applyFill="1" applyBorder="1" applyAlignment="1">
      <x:alignment horizontal="center" vertical="center" wrapText="1"/>
    </x:xf>
    <x:xf numFmtId="0" fontId="15" fillId="13" borderId="4" xfId="0" applyNumberFormat="1" applyFont="1" applyFill="1" applyBorder="1" applyAlignment="1">
      <x:alignment horizontal="center" vertical="center" wrapText="1"/>
    </x:xf>
    <x:xf numFmtId="0" fontId="15" fillId="13" borderId="5" xfId="0" applyNumberFormat="1" applyFont="1" applyFill="1" applyBorder="1" applyAlignment="1">
      <x:alignment horizontal="center" vertical="center" wrapText="1"/>
    </x:xf>
    <x:xf numFmtId="0" fontId="15" fillId="13" borderId="6" xfId="0" applyNumberFormat="1" applyFont="1" applyFill="1" applyBorder="1" applyAlignment="1">
      <x:alignment horizontal="center" vertical="center" wrapText="1"/>
    </x:xf>
    <x:xf numFmtId="0" fontId="15" fillId="13" borderId="7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 applyAlignment="1">
      <x:alignment wrapText="1"/>
    </x:xf>
    <x:xf numFmtId="210" fontId="0" fillId="0" borderId="1" xfId="0" applyNumberFormat="1" applyFont="1" applyFill="1" applyBorder="1" applyAlignment="1">
      <x:alignment wrapText="1"/>
    </x:xf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5" xfId="0" applyNumberFormat="1" applyFont="1" applyFill="1" applyBorder="1"/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10" xfId="0" applyNumberFormat="1" applyFont="1" applyFill="1" applyBorder="1" applyAlignment="1">
      <x:alignment wrapText="1"/>
    </x:xf>
    <x:xf numFmtId="0" fontId="0" fillId="7" borderId="1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12" xfId="0" applyNumberFormat="1" applyFont="1" applyFill="1" applyBorder="1" applyAlignment="1">
      <x:alignment wrapText="1"/>
    </x:xf>
    <x:xf numFmtId="0" fontId="0" fillId="7" borderId="13" xfId="0" applyNumberFormat="1" applyFont="1" applyFill="1" applyBorder="1" applyAlignment="1">
      <x:alignment wrapText="1"/>
    </x:xf>
    <x:xf numFmtId="0" fontId="0" fillId="7" borderId="14" xfId="0" applyNumberFormat="1" applyFont="1" applyFill="1" applyBorder="1" applyAlignment="1">
      <x:alignment wrapText="1"/>
    </x:xf>
    <x:xf numFmtId="0" fontId="0" fillId="7" borderId="15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0" fontId="0" fillId="7" borderId="10" xfId="0" applyNumberFormat="1" applyFont="1" applyFill="1" applyBorder="1" applyAlignment="1">
      <x:alignment vertical="top" wrapText="1"/>
    </x:xf>
    <x:xf numFmtId="0" fontId="0" fillId="7" borderId="1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2" xfId="0" applyNumberFormat="1" applyFont="1" applyFill="1" applyBorder="1" applyAlignment="1">
      <x:alignment vertical="top" wrapText="1"/>
    </x:xf>
    <x:xf numFmtId="0" fontId="0" fillId="7" borderId="13" xfId="0" applyNumberFormat="1" applyFont="1" applyFill="1" applyBorder="1" applyAlignment="1">
      <x:alignment vertical="top" wrapText="1"/>
    </x:xf>
    <x:xf numFmtId="0" fontId="0" fillId="7" borderId="14" xfId="0" applyNumberFormat="1" applyFont="1" applyFill="1" applyBorder="1" applyAlignment="1">
      <x:alignment vertical="top" wrapText="1"/>
    </x:xf>
    <x:xf numFmtId="0" fontId="0" fillId="7" borderId="15" xfId="0" applyNumberFormat="1" applyFont="1" applyFill="1" applyBorder="1" applyAlignment="1">
      <x:alignment vertical="top" wrapText="1"/>
    </x:xf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8" xfId="0" applyNumberFormat="1" applyFont="1" applyFill="1" applyBorder="1"/>
    <x:xf numFmtId="0" fontId="0" fillId="7" borderId="21" xfId="0" applyNumberFormat="1" applyFont="1" applyFill="1" applyBorder="1"/>
    <x:xf numFmtId="0" fontId="0" fillId="7" borderId="22" xfId="0" applyNumberFormat="1" applyFont="1" applyFill="1" applyBorder="1"/>
    <x:xf numFmtId="0" fontId="0" fillId="7" borderId="23" xfId="0" applyNumberFormat="1" applyFont="1" applyFill="1" applyBorder="1"/>
    <x:xf numFmtId="0" fontId="0" fillId="7" borderId="16" xfId="0" applyNumberFormat="1" applyFont="1" applyFill="1" applyBorder="1" applyAlignment="1">
      <x:alignment wrapText="1"/>
    </x:xf>
    <x:xf numFmtId="0" fontId="0" fillId="7" borderId="17" xfId="0" applyNumberFormat="1" applyFont="1" applyFill="1" applyBorder="1" applyAlignment="1">
      <x:alignment wrapText="1"/>
    </x:xf>
    <x:xf numFmtId="0" fontId="0" fillId="7" borderId="18" xfId="0" applyNumberFormat="1" applyFont="1" applyFill="1" applyBorder="1" applyAlignment="1">
      <x:alignment wrapText="1"/>
    </x:xf>
    <x:xf numFmtId="0" fontId="0" fillId="7" borderId="19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0" fillId="7" borderId="20" xfId="0" applyNumberFormat="1" applyFont="1" applyFill="1" applyBorder="1" applyAlignment="1">
      <x:alignment wrapText="1"/>
    </x:xf>
    <x:xf numFmtId="0" fontId="0" fillId="7" borderId="21" xfId="0" applyNumberFormat="1" applyFont="1" applyFill="1" applyBorder="1" applyAlignment="1">
      <x:alignment wrapText="1"/>
    </x:xf>
    <x:xf numFmtId="0" fontId="0" fillId="7" borderId="22" xfId="0" applyNumberFormat="1" applyFont="1" applyFill="1" applyBorder="1" applyAlignment="1">
      <x:alignment wrapText="1"/>
    </x:xf>
    <x:xf numFmtId="0" fontId="0" fillId="7" borderId="23" xfId="0" applyNumberFormat="1" applyFont="1" applyFill="1" applyBorder="1" applyAlignment="1">
      <x:alignment wrapText="1"/>
    </x:xf>
    <x:xf numFmtId="0" fontId="0" fillId="7" borderId="16" xfId="0" applyNumberFormat="1" applyFont="1" applyFill="1" applyBorder="1" applyAlignment="1">
      <x:alignment vertical="top" wrapText="1"/>
    </x:xf>
    <x:xf numFmtId="0" fontId="0" fillId="7" borderId="17" xfId="0" applyNumberFormat="1" applyFont="1" applyFill="1" applyBorder="1" applyAlignment="1">
      <x:alignment vertical="top" wrapText="1"/>
    </x:xf>
    <x:xf numFmtId="0" fontId="0" fillId="7" borderId="18" xfId="0" applyNumberFormat="1" applyFont="1" applyFill="1" applyBorder="1" applyAlignment="1">
      <x:alignment vertical="top" wrapText="1"/>
    </x:xf>
    <x:xf numFmtId="0" fontId="0" fillId="7" borderId="19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20" xfId="0" applyNumberFormat="1" applyFont="1" applyFill="1" applyBorder="1" applyAlignment="1">
      <x:alignment vertical="top" wrapText="1"/>
    </x:xf>
    <x:xf numFmtId="0" fontId="0" fillId="7" borderId="21" xfId="0" applyNumberFormat="1" applyFont="1" applyFill="1" applyBorder="1" applyAlignment="1">
      <x:alignment vertical="top" wrapText="1"/>
    </x:xf>
    <x:xf numFmtId="0" fontId="0" fillId="7" borderId="22" xfId="0" applyNumberFormat="1" applyFont="1" applyFill="1" applyBorder="1" applyAlignment="1">
      <x:alignment vertical="top" wrapText="1"/>
    </x:xf>
    <x:xf numFmtId="0" fontId="0" fillId="7" borderId="23" xfId="0" applyNumberFormat="1" applyFont="1" applyFill="1" applyBorder="1" applyAlignment="1">
      <x:alignment vertical="top" wrapText="1"/>
    </x:xf>
    <x:xf numFmtId="0" fontId="16" fillId="7" borderId="8" xfId="0" applyNumberFormat="1" applyFont="1" applyFill="1" applyBorder="1" applyAlignment="1">
      <x:alignment vertical="top" wrapText="1"/>
    </x:xf>
    <x:xf numFmtId="0" fontId="16" fillId="7" borderId="16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 applyAlignment="1">
      <x:alignment horizontal="center" vertical="center" wrapText="1"/>
    </x:xf>
    <x:xf numFmtId="0" fontId="12" fillId="10" borderId="2" xfId="0" applyNumberFormat="1" applyFont="1" applyFill="1" applyBorder="1" applyAlignment="1">
      <x:alignment horizontal="left" vertical="center" wrapText="1"/>
    </x:xf>
    <x:xf numFmtId="0" fontId="12" fillId="10" borderId="3" xfId="0" applyNumberFormat="1" applyFont="1" applyFill="1" applyBorder="1" applyAlignment="1">
      <x:alignment horizontal="left" vertical="center" wrapText="1"/>
    </x:xf>
    <x:xf numFmtId="0" fontId="12" fillId="10" borderId="4" xfId="0" applyNumberFormat="1" applyFont="1" applyFill="1" applyBorder="1" applyAlignment="1">
      <x:alignment horizontal="left" vertical="center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12" fillId="10" borderId="5" xfId="0" applyNumberFormat="1" applyFont="1" applyFill="1" applyBorder="1" applyAlignment="1">
      <x:alignment horizontal="left" vertical="center" wrapText="1"/>
    </x:xf>
    <x:xf numFmtId="0" fontId="12" fillId="10" borderId="6" xfId="0" applyNumberFormat="1" applyFont="1" applyFill="1" applyBorder="1" applyAlignment="1">
      <x:alignment horizontal="left" vertical="center" wrapText="1"/>
    </x:xf>
    <x:xf numFmtId="0" fontId="12" fillId="10" borderId="7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209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207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16" fillId="7" borderId="8" xfId="0" applyNumberFormat="1" applyFont="1" applyFill="1" applyBorder="1" applyAlignment="1">
      <x:alignment vertical="center" wrapText="1"/>
    </x:xf>
    <x:xf numFmtId="0" fontId="0" fillId="7" borderId="9" xfId="0" applyNumberFormat="1" applyFont="1" applyFill="1" applyBorder="1" applyAlignment="1">
      <x:alignment vertical="center" wrapText="1"/>
    </x:xf>
    <x:xf numFmtId="0" fontId="0" fillId="7" borderId="10" xfId="0" applyNumberFormat="1" applyFont="1" applyFill="1" applyBorder="1" applyAlignment="1">
      <x:alignment vertical="center" wrapText="1"/>
    </x:xf>
    <x:xf numFmtId="210" fontId="0" fillId="0" borderId="0" xfId="0" applyNumberFormat="1" applyFont="1" applyFill="1" applyBorder="1" applyAlignment="1">
      <x:alignment vertical="center" wrapText="1"/>
    </x:xf>
    <x:xf numFmtId="0" fontId="0" fillId="7" borderId="1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7" borderId="12" xfId="0" applyNumberFormat="1" applyFont="1" applyFill="1" applyBorder="1" applyAlignment="1">
      <x:alignment vertical="center" wrapText="1"/>
    </x:xf>
    <x:xf numFmtId="0" fontId="0" fillId="7" borderId="13" xfId="0" applyNumberFormat="1" applyFont="1" applyFill="1" applyBorder="1" applyAlignment="1">
      <x:alignment vertical="center" wrapText="1"/>
    </x:xf>
    <x:xf numFmtId="0" fontId="0" fillId="7" borderId="14" xfId="0" applyNumberFormat="1" applyFont="1" applyFill="1" applyBorder="1" applyAlignment="1">
      <x:alignment vertical="center" wrapText="1"/>
    </x:xf>
    <x:xf numFmtId="0" fontId="0" fillId="7" borderId="15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209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207" fontId="0" fillId="0" borderId="1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207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16" fillId="7" borderId="16" xfId="0" applyNumberFormat="1" applyFont="1" applyFill="1" applyBorder="1" applyAlignment="1">
      <x:alignment vertical="center" wrapText="1"/>
    </x:xf>
    <x:xf numFmtId="0" fontId="0" fillId="7" borderId="17" xfId="0" applyNumberFormat="1" applyFont="1" applyFill="1" applyBorder="1" applyAlignment="1">
      <x:alignment vertical="center" wrapText="1"/>
    </x:xf>
    <x:xf numFmtId="0" fontId="0" fillId="7" borderId="18" xfId="0" applyNumberFormat="1" applyFont="1" applyFill="1" applyBorder="1" applyAlignment="1">
      <x:alignment vertical="center" wrapText="1"/>
    </x:xf>
    <x:xf numFmtId="210" fontId="0" fillId="0" borderId="1" xfId="0" applyNumberFormat="1" applyFont="1" applyFill="1" applyBorder="1" applyAlignment="1">
      <x:alignment vertical="center" wrapText="1"/>
    </x:xf>
    <x:xf numFmtId="0" fontId="0" fillId="7" borderId="19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7" borderId="20" xfId="0" applyNumberFormat="1" applyFont="1" applyFill="1" applyBorder="1" applyAlignment="1">
      <x:alignment vertical="center" wrapText="1"/>
    </x:xf>
    <x:xf numFmtId="0" fontId="0" fillId="7" borderId="21" xfId="0" applyNumberFormat="1" applyFont="1" applyFill="1" applyBorder="1" applyAlignment="1">
      <x:alignment vertical="center" wrapText="1"/>
    </x:xf>
    <x:xf numFmtId="0" fontId="0" fillId="7" borderId="22" xfId="0" applyNumberFormat="1" applyFont="1" applyFill="1" applyBorder="1" applyAlignment="1">
      <x:alignment vertical="center" wrapText="1"/>
    </x:xf>
    <x:xf numFmtId="0" fontId="0" fillId="7" borderId="23" xfId="0" applyNumberFormat="1" applyFont="1" applyFill="1" applyBorder="1" applyAlignment="1">
      <x:alignment vertical="center" wrapText="1"/>
    </x:xf>
    <x:xf numFmtId="210" fontId="9" fillId="0" borderId="0" xfId="0" applyNumberFormat="1" applyFont="1" applyFill="1" applyBorder="1" applyAlignment="1">
      <x:alignment vertical="center" wrapText="1"/>
    </x:xf>
    <x:xf numFmtId="209" fontId="9" fillId="0" borderId="0" xfId="0" applyNumberFormat="1" applyFont="1" applyFill="1" applyBorder="1" applyAlignment="1">
      <x:alignment vertical="center" wrapText="1"/>
    </x:xf>
    <x:xf numFmtId="207" fontId="9" fillId="0" borderId="0" xfId="0" applyNumberFormat="1" applyFont="1" applyFill="1" applyBorder="1" applyAlignment="1">
      <x:alignment vertical="center" wrapText="1"/>
    </x:xf>
    <x:xf numFmtId="0" fontId="9" fillId="0" borderId="14" xfId="0" applyNumberFormat="1" applyFont="1" applyFill="1" applyBorder="1" applyAlignment="1">
      <x:alignment vertical="center" wrapText="1"/>
    </x:xf>
    <x:xf numFmtId="210" fontId="9" fillId="0" borderId="1" xfId="0" applyNumberFormat="1" applyFont="1" applyFill="1" applyBorder="1" applyAlignment="1">
      <x:alignment vertical="center" wrapText="1"/>
    </x:xf>
    <x:xf numFmtId="209" fontId="9" fillId="0" borderId="1" xfId="0" applyNumberFormat="1" applyFont="1" applyFill="1" applyBorder="1" applyAlignment="1">
      <x:alignment vertical="center" wrapText="1"/>
    </x:xf>
    <x:xf numFmtId="207" fontId="9" fillId="0" borderId="1" xfId="0" applyNumberFormat="1" applyFont="1" applyFill="1" applyBorder="1" applyAlignment="1">
      <x:alignment vertical="center" wrapText="1"/>
    </x:xf>
    <x:xf numFmtId="0" fontId="9" fillId="0" borderId="22" xfId="0" applyNumberFormat="1" applyFont="1" applyFill="1" applyBorder="1" applyAlignment="1">
      <x:alignment vertical="center" wrapText="1"/>
    </x:xf>
    <x:xf numFmtId="0" fontId="17" fillId="5" borderId="9" xfId="0" applyNumberFormat="1" applyFont="1" applyFill="1" applyBorder="1" applyAlignment="1">
      <x:alignment wrapText="1"/>
    </x:xf>
    <x:xf numFmtId="200" fontId="18" fillId="6" borderId="24" xfId="0" applyNumberFormat="1" applyFont="1" applyFill="1" applyBorder="1"/>
    <x:xf numFmtId="204" fontId="18" fillId="6" borderId="24" xfId="0" applyNumberFormat="1" applyFont="1" applyFill="1" applyBorder="1"/>
    <x:xf numFmtId="201" fontId="18" fillId="6" borderId="24" xfId="0" applyNumberFormat="1" applyFont="1" applyFill="1" applyBorder="1"/>
    <x:xf numFmtId="202" fontId="18" fillId="6" borderId="24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0" fontId="18" fillId="6" borderId="24" xfId="0" applyNumberFormat="1" applyFont="1" applyFill="1" applyBorder="1"/>
    <x:xf numFmtId="203" fontId="18" fillId="6" borderId="24" xfId="0" applyNumberFormat="1" applyFont="1" applyFill="1" applyBorder="1"/>
    <x:xf numFmtId="0" fontId="17" fillId="5" borderId="17" xfId="0" applyNumberFormat="1" applyFont="1" applyFill="1" applyBorder="1" applyAlignment="1">
      <x:alignment wrapText="1"/>
    </x:xf>
    <x:xf numFmtId="200" fontId="18" fillId="6" borderId="25" xfId="0" applyNumberFormat="1" applyFont="1" applyFill="1" applyBorder="1"/>
    <x:xf numFmtId="204" fontId="18" fillId="6" borderId="25" xfId="0" applyNumberFormat="1" applyFont="1" applyFill="1" applyBorder="1"/>
    <x:xf numFmtId="201" fontId="18" fillId="6" borderId="25" xfId="0" applyNumberFormat="1" applyFont="1" applyFill="1" applyBorder="1"/>
    <x:xf numFmtId="202" fontId="18" fillId="6" borderId="25" xfId="0" applyNumberFormat="1" applyFont="1" applyFill="1" applyBorder="1"/>
    <x:xf numFmtId="0" fontId="17" fillId="5" borderId="1" xfId="0" applyNumberFormat="1" applyFont="1" applyFill="1" applyBorder="1" applyAlignment="1">
      <x:alignment wrapText="1"/>
    </x:xf>
    <x:xf numFmtId="0" fontId="18" fillId="6" borderId="25" xfId="0" applyNumberFormat="1" applyFont="1" applyFill="1" applyBorder="1"/>
    <x:xf numFmtId="203" fontId="18" fillId="6" borderId="25" xfId="0" applyNumberFormat="1" applyFont="1" applyFill="1" applyBorder="1"/>
    <x:xf numFmtId="201" fontId="19" fillId="6" borderId="24" xfId="0" applyNumberFormat="1" applyFont="1" applyFill="1" applyBorder="1"/>
    <x:xf numFmtId="201" fontId="19" fillId="6" borderId="25" xfId="0" applyNumberFormat="1" applyFont="1" applyFill="1" applyBorder="1"/>
    <x:xf numFmtId="207" fontId="17" fillId="5" borderId="9" xfId="0" applyNumberFormat="1" applyFont="1" applyFill="1" applyBorder="1" applyAlignment="1">
      <x:alignment wrapText="1"/>
    </x:xf>
    <x:xf numFmtId="207" fontId="18" fillId="6" borderId="24" xfId="0" applyNumberFormat="1" applyFont="1" applyFill="1" applyBorder="1"/>
    <x:xf numFmtId="207" fontId="17" fillId="5" borderId="0" xfId="0" applyNumberFormat="1" applyFont="1" applyFill="1" applyBorder="1" applyAlignment="1">
      <x:alignment wrapText="1"/>
    </x:xf>
    <x:xf numFmtId="207" fontId="19" fillId="6" borderId="24" xfId="0" applyNumberFormat="1" applyFont="1" applyFill="1" applyBorder="1"/>
    <x:xf numFmtId="207" fontId="17" fillId="5" borderId="17" xfId="0" applyNumberFormat="1" applyFont="1" applyFill="1" applyBorder="1" applyAlignment="1">
      <x:alignment wrapText="1"/>
    </x:xf>
    <x:xf numFmtId="207" fontId="18" fillId="6" borderId="25" xfId="0" applyNumberFormat="1" applyFont="1" applyFill="1" applyBorder="1"/>
    <x:xf numFmtId="207" fontId="17" fillId="5" borderId="1" xfId="0" applyNumberFormat="1" applyFont="1" applyFill="1" applyBorder="1" applyAlignment="1">
      <x:alignment wrapText="1"/>
    </x:xf>
    <x:xf numFmtId="207" fontId="19" fillId="6" borderId="25" xfId="0" applyNumberFormat="1" applyFont="1" applyFill="1" applyBorder="1"/>
    <x:xf numFmtId="210" fontId="18" fillId="6" borderId="24" xfId="0" applyNumberFormat="1" applyFont="1" applyFill="1" applyBorder="1"/>
    <x:xf numFmtId="210" fontId="18" fillId="6" borderId="25" xfId="0" applyNumberFormat="1" applyFont="1" applyFill="1" applyBorder="1"/>
    <x:xf numFmtId="211" fontId="18" fillId="6" borderId="24" xfId="0" applyNumberFormat="1" applyFont="1" applyFill="1" applyBorder="1"/>
    <x:xf numFmtId="211" fontId="18" fillId="6" borderId="25" xfId="0" applyNumberFormat="1" applyFont="1" applyFill="1" applyBorder="1"/>
    <x:xf numFmtId="209" fontId="18" fillId="6" borderId="24" xfId="0" applyNumberFormat="1" applyFont="1" applyFill="1" applyBorder="1"/>
    <x:xf numFmtId="209" fontId="18" fillId="6" borderId="25" xfId="0" applyNumberFormat="1" applyFont="1" applyFill="1" applyBorder="1"/>
    <x:xf numFmtId="212" fontId="18" fillId="6" borderId="24" xfId="0" applyNumberFormat="1" applyFont="1" applyFill="1" applyBorder="1"/>
    <x:xf numFmtId="212" fontId="18" fillId="6" borderId="25" xfId="0" applyNumberFormat="1" applyFont="1" applyFill="1" applyBorder="1"/>
    <x:xf numFmtId="205" fontId="10" fillId="7" borderId="8" xfId="0" applyNumberFormat="1" applyFont="1" applyFill="1" applyBorder="1"/>
    <x:xf numFmtId="205" fontId="10" fillId="7" borderId="9" xfId="0" applyNumberFormat="1" applyFont="1" applyFill="1" applyBorder="1"/>
    <x:xf numFmtId="205" fontId="10" fillId="7" borderId="10" xfId="0" applyNumberFormat="1" applyFont="1" applyFill="1" applyBorder="1"/>
    <x:xf numFmtId="204" fontId="10" fillId="7" borderId="11" xfId="0" applyNumberFormat="1" applyFont="1" applyFill="1" applyBorder="1"/>
    <x:xf numFmtId="204" fontId="10" fillId="7" borderId="0" xfId="0" applyNumberFormat="1" applyFont="1" applyFill="1" applyBorder="1"/>
    <x:xf numFmtId="204" fontId="10" fillId="7" borderId="12" xfId="0" applyNumberFormat="1" applyFont="1" applyFill="1" applyBorder="1"/>
    <x:xf numFmtId="0" fontId="10" fillId="0" borderId="11" xfId="0" applyNumberFormat="1" applyFont="1" applyFill="1" applyBorder="1"/>
    <x:xf numFmtId="0" fontId="10" fillId="0" borderId="0" xfId="0" applyNumberFormat="1" applyFont="1" applyFill="1" applyBorder="1"/>
    <x:xf numFmtId="0" fontId="10" fillId="0" borderId="12" xfId="0" applyNumberFormat="1" applyFont="1" applyFill="1" applyBorder="1"/>
    <x:xf numFmtId="206" fontId="10" fillId="6" borderId="11" xfId="0" applyNumberFormat="1" applyFont="1" applyFill="1" applyBorder="1"/>
    <x:xf numFmtId="206" fontId="10" fillId="6" borderId="0" xfId="0" applyNumberFormat="1" applyFont="1" applyFill="1" applyBorder="1"/>
    <x:xf numFmtId="206" fontId="10" fillId="6" borderId="12" xfId="0" applyNumberFormat="1" applyFont="1" applyFill="1" applyBorder="1"/>
    <x:xf numFmtId="206" fontId="10" fillId="8" borderId="11" xfId="0" applyNumberFormat="1" applyFont="1" applyFill="1" applyBorder="1"/>
    <x:xf numFmtId="206" fontId="10" fillId="8" borderId="0" xfId="0" applyNumberFormat="1" applyFont="1" applyFill="1" applyBorder="1"/>
    <x:xf numFmtId="206" fontId="10" fillId="8" borderId="12" xfId="0" applyNumberFormat="1" applyFont="1" applyFill="1" applyBorder="1"/>
    <x:xf numFmtId="206" fontId="10" fillId="0" borderId="11" xfId="0" applyNumberFormat="1" applyFont="1" applyFill="1" applyBorder="1"/>
    <x:xf numFmtId="206" fontId="10" fillId="0" borderId="0" xfId="0" applyNumberFormat="1" applyFont="1" applyFill="1" applyBorder="1"/>
    <x:xf numFmtId="206" fontId="10" fillId="0" borderId="12" xfId="0" applyNumberFormat="1" applyFont="1" applyFill="1" applyBorder="1"/>
    <x:xf numFmtId="206" fontId="10" fillId="0" borderId="13" xfId="0" applyNumberFormat="1" applyFont="1" applyFill="1" applyBorder="1"/>
    <x:xf numFmtId="206" fontId="10" fillId="0" borderId="14" xfId="0" applyNumberFormat="1" applyFont="1" applyFill="1" applyBorder="1"/>
    <x:xf numFmtId="206" fontId="10" fillId="0" borderId="15" xfId="0" applyNumberFormat="1" applyFont="1" applyFill="1" applyBorder="1"/>
    <x:xf numFmtId="205" fontId="10" fillId="7" borderId="16" xfId="0" applyNumberFormat="1" applyFont="1" applyFill="1" applyBorder="1"/>
    <x:xf numFmtId="205" fontId="10" fillId="7" borderId="17" xfId="0" applyNumberFormat="1" applyFont="1" applyFill="1" applyBorder="1"/>
    <x:xf numFmtId="205" fontId="10" fillId="7" borderId="18" xfId="0" applyNumberFormat="1" applyFont="1" applyFill="1" applyBorder="1"/>
    <x:xf numFmtId="204" fontId="10" fillId="7" borderId="19" xfId="0" applyNumberFormat="1" applyFont="1" applyFill="1" applyBorder="1"/>
    <x:xf numFmtId="204" fontId="10" fillId="7" borderId="1" xfId="0" applyNumberFormat="1" applyFont="1" applyFill="1" applyBorder="1"/>
    <x:xf numFmtId="204" fontId="10" fillId="7" borderId="20" xfId="0" applyNumberFormat="1" applyFont="1" applyFill="1" applyBorder="1"/>
    <x:xf numFmtId="0" fontId="10" fillId="0" borderId="19" xfId="0" applyNumberFormat="1" applyFont="1" applyFill="1" applyBorder="1"/>
    <x:xf numFmtId="0" fontId="10" fillId="0" borderId="1" xfId="0" applyNumberFormat="1" applyFont="1" applyFill="1" applyBorder="1"/>
    <x:xf numFmtId="0" fontId="10" fillId="0" borderId="20" xfId="0" applyNumberFormat="1" applyFont="1" applyFill="1" applyBorder="1"/>
    <x:xf numFmtId="206" fontId="10" fillId="6" borderId="19" xfId="0" applyNumberFormat="1" applyFont="1" applyFill="1" applyBorder="1"/>
    <x:xf numFmtId="206" fontId="10" fillId="6" borderId="1" xfId="0" applyNumberFormat="1" applyFont="1" applyFill="1" applyBorder="1"/>
    <x:xf numFmtId="206" fontId="10" fillId="6" borderId="20" xfId="0" applyNumberFormat="1" applyFont="1" applyFill="1" applyBorder="1"/>
    <x:xf numFmtId="206" fontId="10" fillId="8" borderId="19" xfId="0" applyNumberFormat="1" applyFont="1" applyFill="1" applyBorder="1"/>
    <x:xf numFmtId="206" fontId="10" fillId="8" borderId="1" xfId="0" applyNumberFormat="1" applyFont="1" applyFill="1" applyBorder="1"/>
    <x:xf numFmtId="206" fontId="10" fillId="8" borderId="20" xfId="0" applyNumberFormat="1" applyFont="1" applyFill="1" applyBorder="1"/>
    <x:xf numFmtId="206" fontId="10" fillId="0" borderId="19" xfId="0" applyNumberFormat="1" applyFont="1" applyFill="1" applyBorder="1"/>
    <x:xf numFmtId="206" fontId="10" fillId="0" borderId="1" xfId="0" applyNumberFormat="1" applyFont="1" applyFill="1" applyBorder="1"/>
    <x:xf numFmtId="206" fontId="10" fillId="0" borderId="20" xfId="0" applyNumberFormat="1" applyFont="1" applyFill="1" applyBorder="1"/>
    <x:xf numFmtId="206" fontId="10" fillId="0" borderId="21" xfId="0" applyNumberFormat="1" applyFont="1" applyFill="1" applyBorder="1"/>
    <x:xf numFmtId="206" fontId="10" fillId="0" borderId="22" xfId="0" applyNumberFormat="1" applyFont="1" applyFill="1" applyBorder="1"/>
    <x:xf numFmtId="206" fontId="10" fillId="0" borderId="23" xfId="0" applyNumberFormat="1" applyFont="1" applyFill="1" applyBorder="1"/>
    <x:xf numFmtId="206" fontId="20" fillId="6" borderId="11" xfId="0" applyNumberFormat="1" applyFont="1" applyFill="1" applyBorder="1"/>
    <x:xf numFmtId="206" fontId="20" fillId="6" borderId="0" xfId="0" applyNumberFormat="1" applyFont="1" applyFill="1" applyBorder="1"/>
    <x:xf numFmtId="206" fontId="20" fillId="6" borderId="12" xfId="0" applyNumberFormat="1" applyFont="1" applyFill="1" applyBorder="1"/>
    <x:xf numFmtId="206" fontId="20" fillId="6" borderId="19" xfId="0" applyNumberFormat="1" applyFont="1" applyFill="1" applyBorder="1"/>
    <x:xf numFmtId="206" fontId="20" fillId="6" borderId="1" xfId="0" applyNumberFormat="1" applyFont="1" applyFill="1" applyBorder="1"/>
    <x:xf numFmtId="206" fontId="20" fillId="6" borderId="20" xfId="0" applyNumberFormat="1" applyFont="1" applyFill="1" applyBorder="1"/>
    <x:xf numFmtId="209" fontId="10" fillId="7" borderId="11" xfId="0" applyNumberFormat="1" applyFont="1" applyFill="1" applyBorder="1"/>
    <x:xf numFmtId="209" fontId="10" fillId="7" borderId="0" xfId="0" applyNumberFormat="1" applyFont="1" applyFill="1" applyBorder="1"/>
    <x:xf numFmtId="209" fontId="10" fillId="7" borderId="12" xfId="0" applyNumberFormat="1" applyFont="1" applyFill="1" applyBorder="1"/>
    <x:xf numFmtId="209" fontId="10" fillId="0" borderId="11" xfId="0" applyNumberFormat="1" applyFont="1" applyFill="1" applyBorder="1"/>
    <x:xf numFmtId="209" fontId="10" fillId="0" borderId="0" xfId="0" applyNumberFormat="1" applyFont="1" applyFill="1" applyBorder="1"/>
    <x:xf numFmtId="209" fontId="10" fillId="0" borderId="12" xfId="0" applyNumberFormat="1" applyFont="1" applyFill="1" applyBorder="1"/>
    <x:xf numFmtId="209" fontId="20" fillId="6" borderId="11" xfId="0" applyNumberFormat="1" applyFont="1" applyFill="1" applyBorder="1"/>
    <x:xf numFmtId="209" fontId="20" fillId="6" borderId="0" xfId="0" applyNumberFormat="1" applyFont="1" applyFill="1" applyBorder="1"/>
    <x:xf numFmtId="209" fontId="20" fillId="6" borderId="12" xfId="0" applyNumberFormat="1" applyFont="1" applyFill="1" applyBorder="1"/>
    <x:xf numFmtId="209" fontId="10" fillId="8" borderId="11" xfId="0" applyNumberFormat="1" applyFont="1" applyFill="1" applyBorder="1"/>
    <x:xf numFmtId="209" fontId="10" fillId="8" borderId="0" xfId="0" applyNumberFormat="1" applyFont="1" applyFill="1" applyBorder="1"/>
    <x:xf numFmtId="209" fontId="10" fillId="8" borderId="12" xfId="0" applyNumberFormat="1" applyFont="1" applyFill="1" applyBorder="1"/>
    <x:xf numFmtId="209" fontId="10" fillId="0" borderId="13" xfId="0" applyNumberFormat="1" applyFont="1" applyFill="1" applyBorder="1"/>
    <x:xf numFmtId="209" fontId="10" fillId="0" borderId="14" xfId="0" applyNumberFormat="1" applyFont="1" applyFill="1" applyBorder="1"/>
    <x:xf numFmtId="209" fontId="10" fillId="0" borderId="15" xfId="0" applyNumberFormat="1" applyFont="1" applyFill="1" applyBorder="1"/>
    <x:xf numFmtId="209" fontId="10" fillId="7" borderId="19" xfId="0" applyNumberFormat="1" applyFont="1" applyFill="1" applyBorder="1"/>
    <x:xf numFmtId="209" fontId="10" fillId="7" borderId="1" xfId="0" applyNumberFormat="1" applyFont="1" applyFill="1" applyBorder="1"/>
    <x:xf numFmtId="209" fontId="10" fillId="7" borderId="20" xfId="0" applyNumberFormat="1" applyFont="1" applyFill="1" applyBorder="1"/>
    <x:xf numFmtId="209" fontId="10" fillId="0" borderId="19" xfId="0" applyNumberFormat="1" applyFont="1" applyFill="1" applyBorder="1"/>
    <x:xf numFmtId="209" fontId="10" fillId="0" borderId="1" xfId="0" applyNumberFormat="1" applyFont="1" applyFill="1" applyBorder="1"/>
    <x:xf numFmtId="209" fontId="10" fillId="0" borderId="20" xfId="0" applyNumberFormat="1" applyFont="1" applyFill="1" applyBorder="1"/>
    <x:xf numFmtId="209" fontId="20" fillId="6" borderId="19" xfId="0" applyNumberFormat="1" applyFont="1" applyFill="1" applyBorder="1"/>
    <x:xf numFmtId="209" fontId="20" fillId="6" borderId="1" xfId="0" applyNumberFormat="1" applyFont="1" applyFill="1" applyBorder="1"/>
    <x:xf numFmtId="209" fontId="20" fillId="6" borderId="20" xfId="0" applyNumberFormat="1" applyFont="1" applyFill="1" applyBorder="1"/>
    <x:xf numFmtId="209" fontId="10" fillId="8" borderId="19" xfId="0" applyNumberFormat="1" applyFont="1" applyFill="1" applyBorder="1"/>
    <x:xf numFmtId="209" fontId="10" fillId="8" borderId="1" xfId="0" applyNumberFormat="1" applyFont="1" applyFill="1" applyBorder="1"/>
    <x:xf numFmtId="209" fontId="10" fillId="8" borderId="20" xfId="0" applyNumberFormat="1" applyFont="1" applyFill="1" applyBorder="1"/>
    <x:xf numFmtId="209" fontId="10" fillId="0" borderId="21" xfId="0" applyNumberFormat="1" applyFont="1" applyFill="1" applyBorder="1"/>
    <x:xf numFmtId="209" fontId="10" fillId="0" borderId="22" xfId="0" applyNumberFormat="1" applyFont="1" applyFill="1" applyBorder="1"/>
    <x:xf numFmtId="209" fontId="10" fillId="0" borderId="23" xfId="0" applyNumberFormat="1" applyFont="1" applyFill="1" applyBorder="1"/>
    <x:xf numFmtId="211" fontId="10" fillId="8" borderId="11" xfId="0" applyNumberFormat="1" applyFont="1" applyFill="1" applyBorder="1"/>
    <x:xf numFmtId="211" fontId="10" fillId="8" borderId="0" xfId="0" applyNumberFormat="1" applyFont="1" applyFill="1" applyBorder="1"/>
    <x:xf numFmtId="211" fontId="10" fillId="8" borderId="12" xfId="0" applyNumberFormat="1" applyFont="1" applyFill="1" applyBorder="1"/>
    <x:xf numFmtId="211" fontId="10" fillId="8" borderId="19" xfId="0" applyNumberFormat="1" applyFont="1" applyFill="1" applyBorder="1"/>
    <x:xf numFmtId="211" fontId="10" fillId="8" borderId="1" xfId="0" applyNumberFormat="1" applyFont="1" applyFill="1" applyBorder="1"/>
    <x:xf numFmtId="211" fontId="10" fillId="8" borderId="20" xfId="0" applyNumberFormat="1" applyFont="1" applyFill="1" applyBorder="1"/>
    <x:xf numFmtId="211" fontId="10" fillId="0" borderId="11" xfId="0" applyNumberFormat="1" applyFont="1" applyFill="1" applyBorder="1"/>
    <x:xf numFmtId="211" fontId="10" fillId="0" borderId="0" xfId="0" applyNumberFormat="1" applyFont="1" applyFill="1" applyBorder="1"/>
    <x:xf numFmtId="211" fontId="10" fillId="0" borderId="12" xfId="0" applyNumberFormat="1" applyFont="1" applyFill="1" applyBorder="1"/>
    <x:xf numFmtId="211" fontId="10" fillId="0" borderId="19" xfId="0" applyNumberFormat="1" applyFont="1" applyFill="1" applyBorder="1"/>
    <x:xf numFmtId="211" fontId="10" fillId="0" borderId="1" xfId="0" applyNumberFormat="1" applyFont="1" applyFill="1" applyBorder="1"/>
    <x:xf numFmtId="211" fontId="10" fillId="0" borderId="20" xfId="0" applyNumberFormat="1" applyFont="1" applyFill="1" applyBorder="1"/>
    <x:xf numFmtId="205" fontId="10" fillId="0" borderId="8" xfId="0" applyNumberFormat="1" applyFont="1" applyFill="1" applyBorder="1"/>
    <x:xf numFmtId="205" fontId="10" fillId="0" borderId="9" xfId="0" applyNumberFormat="1" applyFont="1" applyFill="1" applyBorder="1"/>
    <x:xf numFmtId="205" fontId="10" fillId="0" borderId="10" xfId="0" applyNumberFormat="1" applyFont="1" applyFill="1" applyBorder="1"/>
    <x:xf numFmtId="204" fontId="10" fillId="0" borderId="11" xfId="0" applyNumberFormat="1" applyFont="1" applyFill="1" applyBorder="1"/>
    <x:xf numFmtId="204" fontId="10" fillId="0" borderId="0" xfId="0" applyNumberFormat="1" applyFont="1" applyFill="1" applyBorder="1"/>
    <x:xf numFmtId="204" fontId="10" fillId="0" borderId="12" xfId="0" applyNumberFormat="1" applyFont="1" applyFill="1" applyBorder="1"/>
    <x:xf numFmtId="201" fontId="10" fillId="0" borderId="11" xfId="0" applyNumberFormat="1" applyFont="1" applyFill="1" applyBorder="1"/>
    <x:xf numFmtId="201" fontId="10" fillId="0" borderId="0" xfId="0" applyNumberFormat="1" applyFont="1" applyFill="1" applyBorder="1"/>
    <x:xf numFmtId="201" fontId="10" fillId="0" borderId="12" xfId="0" applyNumberFormat="1" applyFont="1" applyFill="1" applyBorder="1"/>
    <x:xf numFmtId="201" fontId="10" fillId="9" borderId="11" xfId="0" applyNumberFormat="1" applyFont="1" applyFill="1" applyBorder="1"/>
    <x:xf numFmtId="201" fontId="10" fillId="9" borderId="0" xfId="0" applyNumberFormat="1" applyFont="1" applyFill="1" applyBorder="1"/>
    <x:xf numFmtId="201" fontId="10" fillId="9" borderId="12" xfId="0" applyNumberFormat="1" applyFont="1" applyFill="1" applyBorder="1"/>
    <x:xf numFmtId="203" fontId="10" fillId="9" borderId="11" xfId="0" applyNumberFormat="1" applyFont="1" applyFill="1" applyBorder="1"/>
    <x:xf numFmtId="203" fontId="10" fillId="9" borderId="0" xfId="0" applyNumberFormat="1" applyFont="1" applyFill="1" applyBorder="1"/>
    <x:xf numFmtId="203" fontId="10" fillId="9" borderId="12" xfId="0" applyNumberFormat="1" applyFont="1" applyFill="1" applyBorder="1"/>
    <x:xf numFmtId="203" fontId="10" fillId="9" borderId="13" xfId="0" applyNumberFormat="1" applyFont="1" applyFill="1" applyBorder="1"/>
    <x:xf numFmtId="203" fontId="10" fillId="9" borderId="14" xfId="0" applyNumberFormat="1" applyFont="1" applyFill="1" applyBorder="1"/>
    <x:xf numFmtId="203" fontId="10" fillId="9" borderId="15" xfId="0" applyNumberFormat="1" applyFont="1" applyFill="1" applyBorder="1"/>
    <x:xf numFmtId="205" fontId="10" fillId="0" borderId="16" xfId="0" applyNumberFormat="1" applyFont="1" applyFill="1" applyBorder="1"/>
    <x:xf numFmtId="205" fontId="10" fillId="0" borderId="17" xfId="0" applyNumberFormat="1" applyFont="1" applyFill="1" applyBorder="1"/>
    <x:xf numFmtId="205" fontId="10" fillId="0" borderId="18" xfId="0" applyNumberFormat="1" applyFont="1" applyFill="1" applyBorder="1"/>
    <x:xf numFmtId="204" fontId="10" fillId="0" borderId="19" xfId="0" applyNumberFormat="1" applyFont="1" applyFill="1" applyBorder="1"/>
    <x:xf numFmtId="204" fontId="10" fillId="0" borderId="1" xfId="0" applyNumberFormat="1" applyFont="1" applyFill="1" applyBorder="1"/>
    <x:xf numFmtId="204" fontId="10" fillId="0" borderId="20" xfId="0" applyNumberFormat="1" applyFont="1" applyFill="1" applyBorder="1"/>
    <x:xf numFmtId="201" fontId="10" fillId="0" borderId="19" xfId="0" applyNumberFormat="1" applyFont="1" applyFill="1" applyBorder="1"/>
    <x:xf numFmtId="201" fontId="10" fillId="0" borderId="1" xfId="0" applyNumberFormat="1" applyFont="1" applyFill="1" applyBorder="1"/>
    <x:xf numFmtId="201" fontId="10" fillId="0" borderId="20" xfId="0" applyNumberFormat="1" applyFont="1" applyFill="1" applyBorder="1"/>
    <x:xf numFmtId="201" fontId="10" fillId="9" borderId="19" xfId="0" applyNumberFormat="1" applyFont="1" applyFill="1" applyBorder="1"/>
    <x:xf numFmtId="201" fontId="10" fillId="9" borderId="1" xfId="0" applyNumberFormat="1" applyFont="1" applyFill="1" applyBorder="1"/>
    <x:xf numFmtId="201" fontId="10" fillId="9" borderId="20" xfId="0" applyNumberFormat="1" applyFont="1" applyFill="1" applyBorder="1"/>
    <x:xf numFmtId="203" fontId="10" fillId="9" borderId="19" xfId="0" applyNumberFormat="1" applyFont="1" applyFill="1" applyBorder="1"/>
    <x:xf numFmtId="203" fontId="10" fillId="9" borderId="1" xfId="0" applyNumberFormat="1" applyFont="1" applyFill="1" applyBorder="1"/>
    <x:xf numFmtId="203" fontId="10" fillId="9" borderId="20" xfId="0" applyNumberFormat="1" applyFont="1" applyFill="1" applyBorder="1"/>
    <x:xf numFmtId="203" fontId="10" fillId="9" borderId="21" xfId="0" applyNumberFormat="1" applyFont="1" applyFill="1" applyBorder="1"/>
    <x:xf numFmtId="203" fontId="10" fillId="9" borderId="22" xfId="0" applyNumberFormat="1" applyFont="1" applyFill="1" applyBorder="1"/>
    <x:xf numFmtId="203" fontId="10" fillId="9" borderId="23" xfId="0" applyNumberFormat="1" applyFont="1" applyFill="1" applyBorder="1"/>
    <x:xf numFmtId="207" fontId="10" fillId="0" borderId="11" xfId="0" applyNumberFormat="1" applyFont="1" applyFill="1" applyBorder="1"/>
    <x:xf numFmtId="207" fontId="10" fillId="0" borderId="0" xfId="0" applyNumberFormat="1" applyFont="1" applyFill="1" applyBorder="1"/>
    <x:xf numFmtId="207" fontId="10" fillId="0" borderId="12" xfId="0" applyNumberFormat="1" applyFont="1" applyFill="1" applyBorder="1"/>
    <x:xf numFmtId="207" fontId="10" fillId="0" borderId="19" xfId="0" applyNumberFormat="1" applyFont="1" applyFill="1" applyBorder="1"/>
    <x:xf numFmtId="207" fontId="10" fillId="0" borderId="1" xfId="0" applyNumberFormat="1" applyFont="1" applyFill="1" applyBorder="1"/>
    <x:xf numFmtId="207" fontId="10" fillId="0" borderId="20" xfId="0" applyNumberFormat="1" applyFont="1" applyFill="1" applyBorder="1"/>
    <x:xf numFmtId="209" fontId="10" fillId="9" borderId="11" xfId="0" applyNumberFormat="1" applyFont="1" applyFill="1" applyBorder="1"/>
    <x:xf numFmtId="209" fontId="10" fillId="9" borderId="0" xfId="0" applyNumberFormat="1" applyFont="1" applyFill="1" applyBorder="1"/>
    <x:xf numFmtId="209" fontId="10" fillId="9" borderId="12" xfId="0" applyNumberFormat="1" applyFont="1" applyFill="1" applyBorder="1"/>
    <x:xf numFmtId="209" fontId="10" fillId="9" borderId="19" xfId="0" applyNumberFormat="1" applyFont="1" applyFill="1" applyBorder="1"/>
    <x:xf numFmtId="209" fontId="10" fillId="9" borderId="1" xfId="0" applyNumberFormat="1" applyFont="1" applyFill="1" applyBorder="1"/>
    <x:xf numFmtId="209" fontId="10" fillId="9" borderId="20" xfId="0" applyNumberFormat="1" applyFont="1" applyFill="1" applyBorder="1"/>
    <x:xf numFmtId="207" fontId="10" fillId="9" borderId="11" xfId="0" applyNumberFormat="1" applyFont="1" applyFill="1" applyBorder="1"/>
    <x:xf numFmtId="207" fontId="10" fillId="9" borderId="0" xfId="0" applyNumberFormat="1" applyFont="1" applyFill="1" applyBorder="1"/>
    <x:xf numFmtId="207" fontId="10" fillId="9" borderId="12" xfId="0" applyNumberFormat="1" applyFont="1" applyFill="1" applyBorder="1"/>
    <x:xf numFmtId="207" fontId="10" fillId="9" borderId="19" xfId="0" applyNumberFormat="1" applyFont="1" applyFill="1" applyBorder="1"/>
    <x:xf numFmtId="207" fontId="10" fillId="9" borderId="1" xfId="0" applyNumberFormat="1" applyFont="1" applyFill="1" applyBorder="1"/>
    <x:xf numFmtId="207" fontId="10" fillId="9" borderId="20" xfId="0" applyNumberFormat="1" applyFont="1" applyFill="1" applyBorder="1"/>
    <x:xf numFmtId="207" fontId="10" fillId="9" borderId="13" xfId="0" applyNumberFormat="1" applyFont="1" applyFill="1" applyBorder="1"/>
    <x:xf numFmtId="207" fontId="10" fillId="9" borderId="14" xfId="0" applyNumberFormat="1" applyFont="1" applyFill="1" applyBorder="1"/>
    <x:xf numFmtId="207" fontId="10" fillId="9" borderId="15" xfId="0" applyNumberFormat="1" applyFont="1" applyFill="1" applyBorder="1"/>
    <x:xf numFmtId="207" fontId="10" fillId="9" borderId="21" xfId="0" applyNumberFormat="1" applyFont="1" applyFill="1" applyBorder="1"/>
    <x:xf numFmtId="207" fontId="10" fillId="9" borderId="22" xfId="0" applyNumberFormat="1" applyFont="1" applyFill="1" applyBorder="1"/>
    <x:xf numFmtId="207" fontId="10" fillId="9" borderId="23" xfId="0" applyNumberFormat="1" applyFont="1" applyFill="1" applyBorder="1"/>
    <x:xf numFmtId="203" fontId="10" fillId="0" borderId="11" xfId="0" applyNumberFormat="1" applyFont="1" applyFill="1" applyBorder="1"/>
    <x:xf numFmtId="203" fontId="10" fillId="0" borderId="0" xfId="0" applyNumberFormat="1" applyFont="1" applyFill="1" applyBorder="1"/>
    <x:xf numFmtId="203" fontId="10" fillId="0" borderId="12" xfId="0" applyNumberFormat="1" applyFont="1" applyFill="1" applyBorder="1"/>
    <x:xf numFmtId="203" fontId="10" fillId="0" borderId="19" xfId="0" applyNumberFormat="1" applyFont="1" applyFill="1" applyBorder="1"/>
    <x:xf numFmtId="203" fontId="10" fillId="0" borderId="1" xfId="0" applyNumberFormat="1" applyFont="1" applyFill="1" applyBorder="1"/>
    <x:xf numFmtId="203" fontId="10" fillId="0" borderId="20" xfId="0" applyNumberFormat="1" applyFont="1" applyFill="1" applyBorder="1"/>
    <x:xf numFmtId="207" fontId="0" fillId="0" borderId="12" xfId="0" applyNumberFormat="1" applyFont="1" applyFill="1" applyBorder="1" applyAlignment="1">
      <x:alignment vertical="center" wrapText="1"/>
    </x:xf>
    <x:xf numFmtId="207" fontId="0" fillId="0" borderId="20" xfId="0" applyNumberFormat="1" applyFont="1" applyFill="1" applyBorder="1" applyAlignment="1">
      <x:alignment vertical="center" wrapText="1"/>
    </x:xf>
    <x:xf numFmtId="209" fontId="0" fillId="0" borderId="12" xfId="0" applyNumberFormat="1" applyFont="1" applyFill="1" applyBorder="1" applyAlignment="1">
      <x:alignment vertical="center" wrapText="1"/>
    </x:xf>
    <x:xf numFmtId="209" fontId="0" fillId="0" borderId="20" xfId="0" applyNumberFormat="1" applyFont="1" applyFill="1" applyBorder="1" applyAlignment="1">
      <x:alignment vertical="center" wrapText="1"/>
    </x:xf>
    <x:xf numFmtId="208" fontId="0" fillId="0" borderId="15" xfId="0" applyNumberFormat="1" applyFont="1" applyFill="1" applyBorder="1" applyAlignment="1">
      <x:alignment vertical="center" wrapText="1"/>
    </x:xf>
    <x:xf numFmtId="208" fontId="0" fillId="0" borderId="23" xfId="0" applyNumberFormat="1" applyFont="1" applyFill="1" applyBorder="1" applyAlignment="1">
      <x:alignment vertical="center" wrapText="1"/>
    </x:xf>
    <x:xf numFmtId="0" fontId="15" fillId="7" borderId="8" xfId="0" applyNumberFormat="1" applyFont="1" applyFill="1" applyBorder="1" applyAlignment="1">
      <x:alignment vertical="center" wrapText="1"/>
    </x:xf>
    <x:xf numFmtId="0" fontId="15" fillId="7" borderId="8" xfId="0" applyNumberFormat="1" applyFont="1" applyFill="1" applyBorder="1" applyAlignment="1">
      <x:alignment vertical="top" wrapText="1"/>
    </x:xf>
    <x:xf numFmtId="0" fontId="15" fillId="7" borderId="16" xfId="0" applyNumberFormat="1" applyFont="1" applyFill="1" applyBorder="1" applyAlignment="1">
      <x:alignment vertical="center" wrapText="1"/>
    </x:xf>
    <x:xf numFmtId="0" fontId="15" fillId="7" borderId="16" xfId="0" applyNumberFormat="1" applyFont="1" applyFill="1" applyBorder="1" applyAlignment="1">
      <x:alignment vertical="top" wrapText="1"/>
    </x:xf>
    <x:xf numFmtId="0" fontId="21" fillId="13" borderId="2" xfId="0" applyNumberFormat="1" applyFont="1" applyFill="1" applyBorder="1" applyAlignment="1">
      <x:alignment horizontal="center" vertical="center" wrapText="1"/>
    </x:xf>
    <x:xf numFmtId="0" fontId="21" fillId="13" borderId="3" xfId="0" applyNumberFormat="1" applyFont="1" applyFill="1" applyBorder="1" applyAlignment="1">
      <x:alignment horizontal="center" vertical="center" wrapText="1"/>
    </x:xf>
    <x:xf numFmtId="0" fontId="21" fillId="13" borderId="4" xfId="0" applyNumberFormat="1" applyFont="1" applyFill="1" applyBorder="1" applyAlignment="1">
      <x:alignment horizontal="center" vertical="center" wrapText="1"/>
    </x:xf>
    <x:xf numFmtId="0" fontId="22" fillId="0" borderId="11" xfId="0" applyNumberFormat="1" applyFont="1" applyFill="1" applyBorder="1" applyAlignment="1">
      <x:alignment vertical="center" wrapText="1"/>
    </x:xf>
    <x:xf numFmtId="209" fontId="22" fillId="0" borderId="0" xfId="0" applyNumberFormat="1" applyFont="1" applyFill="1" applyBorder="1" applyAlignment="1">
      <x:alignment vertical="center" wrapText="1"/>
    </x:xf>
    <x:xf numFmtId="0" fontId="22" fillId="0" borderId="12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209" fontId="22" fillId="0" borderId="12" xfId="0" applyNumberFormat="1" applyFont="1" applyFill="1" applyBorder="1" applyAlignment="1">
      <x:alignment vertical="center" wrapText="1"/>
    </x:xf>
    <x:xf numFmtId="207" fontId="22" fillId="0" borderId="0" xfId="0" applyNumberFormat="1" applyFont="1" applyFill="1" applyBorder="1" applyAlignment="1">
      <x:alignment vertical="center" wrapText="1"/>
    </x:xf>
    <x:xf numFmtId="207" fontId="22" fillId="0" borderId="12" xfId="0" applyNumberFormat="1" applyFont="1" applyFill="1" applyBorder="1" applyAlignment="1">
      <x:alignment vertical="center" wrapText="1"/>
    </x:xf>
    <x:xf numFmtId="0" fontId="22" fillId="0" borderId="13" xfId="0" applyNumberFormat="1" applyFont="1" applyFill="1" applyBorder="1" applyAlignment="1">
      <x:alignment vertical="center" wrapText="1"/>
    </x:xf>
    <x:xf numFmtId="207" fontId="22" fillId="0" borderId="14" xfId="0" applyNumberFormat="1" applyFont="1" applyFill="1" applyBorder="1" applyAlignment="1">
      <x:alignment vertical="center" wrapText="1"/>
    </x:xf>
    <x:xf numFmtId="0" fontId="22" fillId="0" borderId="15" xfId="0" applyNumberFormat="1" applyFont="1" applyFill="1" applyBorder="1" applyAlignment="1">
      <x:alignment vertical="center" wrapText="1"/>
    </x:xf>
    <x:xf numFmtId="0" fontId="22" fillId="0" borderId="14" xfId="0" applyNumberFormat="1" applyFont="1" applyFill="1" applyBorder="1" applyAlignment="1">
      <x:alignment vertical="center" wrapText="1"/>
    </x:xf>
    <x:xf numFmtId="208" fontId="22" fillId="0" borderId="15" xfId="0" applyNumberFormat="1" applyFont="1" applyFill="1" applyBorder="1" applyAlignment="1">
      <x:alignment vertical="center" wrapText="1"/>
    </x:xf>
    <x:xf numFmtId="0" fontId="23" fillId="10" borderId="2" xfId="0" applyNumberFormat="1" applyFont="1" applyFill="1" applyBorder="1" applyAlignment="1">
      <x:alignment horizontal="left" vertical="center" wrapText="1"/>
    </x:xf>
    <x:xf numFmtId="0" fontId="23" fillId="10" borderId="3" xfId="0" applyNumberFormat="1" applyFont="1" applyFill="1" applyBorder="1" applyAlignment="1">
      <x:alignment horizontal="left" vertical="center" wrapText="1"/>
    </x:xf>
    <x:xf numFmtId="0" fontId="23" fillId="10" borderId="4" xfId="0" applyNumberFormat="1" applyFont="1" applyFill="1" applyBorder="1" applyAlignment="1">
      <x:alignment horizontal="left" vertical="center" wrapText="1"/>
    </x:xf>
    <x:xf numFmtId="0" fontId="21" fillId="7" borderId="8" xfId="0" applyNumberFormat="1" applyFont="1" applyFill="1" applyBorder="1" applyAlignment="1">
      <x:alignment vertical="top" wrapText="1"/>
    </x:xf>
    <x:xf numFmtId="0" fontId="22" fillId="7" borderId="9" xfId="0" applyNumberFormat="1" applyFont="1" applyFill="1" applyBorder="1" applyAlignment="1">
      <x:alignment vertical="top" wrapText="1"/>
    </x:xf>
    <x:xf numFmtId="0" fontId="22" fillId="7" borderId="10" xfId="0" applyNumberFormat="1" applyFont="1" applyFill="1" applyBorder="1" applyAlignment="1">
      <x:alignment vertical="top" wrapText="1"/>
    </x:xf>
    <x:xf numFmtId="210" fontId="19" fillId="0" borderId="0" xfId="0" applyNumberFormat="1" applyFont="1" applyFill="1" applyBorder="1" applyAlignment="1">
      <x:alignment vertical="center" wrapText="1"/>
    </x:xf>
    <x:xf numFmtId="0" fontId="22" fillId="7" borderId="11" xfId="0" applyNumberFormat="1" applyFont="1" applyFill="1" applyBorder="1" applyAlignment="1">
      <x:alignment vertical="top" wrapText="1"/>
    </x:xf>
    <x:xf numFmtId="0" fontId="22" fillId="7" borderId="0" xfId="0" applyNumberFormat="1" applyFont="1" applyFill="1" applyBorder="1" applyAlignment="1">
      <x:alignment vertical="top" wrapText="1"/>
    </x:xf>
    <x:xf numFmtId="0" fontId="22" fillId="7" borderId="12" xfId="0" applyNumberFormat="1" applyFont="1" applyFill="1" applyBorder="1" applyAlignment="1">
      <x:alignment vertical="top" wrapText="1"/>
    </x:xf>
    <x:xf numFmtId="209" fontId="19" fillId="0" borderId="0" xfId="0" applyNumberFormat="1" applyFont="1" applyFill="1" applyBorder="1" applyAlignment="1">
      <x:alignment vertical="center" wrapText="1"/>
    </x:xf>
    <x:xf numFmtId="207" fontId="19" fillId="0" borderId="0" xfId="0" applyNumberFormat="1" applyFont="1" applyFill="1" applyBorder="1" applyAlignment="1">
      <x:alignment vertical="center" wrapText="1"/>
    </x:xf>
    <x:xf numFmtId="0" fontId="19" fillId="0" borderId="14" xfId="0" applyNumberFormat="1" applyFont="1" applyFill="1" applyBorder="1" applyAlignment="1">
      <x:alignment vertical="center" wrapText="1"/>
    </x:xf>
    <x:xf numFmtId="0" fontId="22" fillId="7" borderId="13" xfId="0" applyNumberFormat="1" applyFont="1" applyFill="1" applyBorder="1" applyAlignment="1">
      <x:alignment vertical="top" wrapText="1"/>
    </x:xf>
    <x:xf numFmtId="0" fontId="22" fillId="7" borderId="14" xfId="0" applyNumberFormat="1" applyFont="1" applyFill="1" applyBorder="1" applyAlignment="1">
      <x:alignment vertical="top" wrapText="1"/>
    </x:xf>
    <x:xf numFmtId="0" fontId="22" fillId="7" borderId="15" xfId="0" applyNumberFormat="1" applyFont="1" applyFill="1" applyBorder="1" applyAlignment="1">
      <x:alignment vertical="top" wrapText="1"/>
    </x:xf>
    <x:xf numFmtId="0" fontId="21" fillId="13" borderId="5" xfId="0" applyNumberFormat="1" applyFont="1" applyFill="1" applyBorder="1" applyAlignment="1">
      <x:alignment horizontal="center" vertical="center" wrapText="1"/>
    </x:xf>
    <x:xf numFmtId="0" fontId="21" fillId="13" borderId="6" xfId="0" applyNumberFormat="1" applyFont="1" applyFill="1" applyBorder="1" applyAlignment="1">
      <x:alignment horizontal="center" vertical="center" wrapText="1"/>
    </x:xf>
    <x:xf numFmtId="0" fontId="21" fillId="13" borderId="7" xfId="0" applyNumberFormat="1" applyFont="1" applyFill="1" applyBorder="1" applyAlignment="1">
      <x:alignment horizontal="center" vertical="center" wrapText="1"/>
    </x:xf>
    <x:xf numFmtId="0" fontId="22" fillId="0" borderId="19" xfId="0" applyNumberFormat="1" applyFont="1" applyFill="1" applyBorder="1" applyAlignment="1">
      <x:alignment vertical="center" wrapText="1"/>
    </x:xf>
    <x:xf numFmtId="209" fontId="22" fillId="0" borderId="1" xfId="0" applyNumberFormat="1" applyFont="1" applyFill="1" applyBorder="1" applyAlignment="1">
      <x:alignment vertical="center" wrapText="1"/>
    </x:xf>
    <x:xf numFmtId="0" fontId="22" fillId="0" borderId="20" xfId="0" applyNumberFormat="1" applyFont="1" applyFill="1" applyBorder="1" applyAlignment="1">
      <x:alignment vertical="center" wrapText="1"/>
    </x:xf>
    <x:xf numFmtId="0" fontId="22" fillId="0" borderId="1" xfId="0" applyNumberFormat="1" applyFont="1" applyFill="1" applyBorder="1" applyAlignment="1">
      <x:alignment vertical="center" wrapText="1"/>
    </x:xf>
    <x:xf numFmtId="209" fontId="22" fillId="0" borderId="20" xfId="0" applyNumberFormat="1" applyFont="1" applyFill="1" applyBorder="1" applyAlignment="1">
      <x:alignment vertical="center" wrapText="1"/>
    </x:xf>
    <x:xf numFmtId="207" fontId="22" fillId="0" borderId="1" xfId="0" applyNumberFormat="1" applyFont="1" applyFill="1" applyBorder="1" applyAlignment="1">
      <x:alignment vertical="center" wrapText="1"/>
    </x:xf>
    <x:xf numFmtId="207" fontId="22" fillId="0" borderId="20" xfId="0" applyNumberFormat="1" applyFont="1" applyFill="1" applyBorder="1" applyAlignment="1">
      <x:alignment vertical="center" wrapText="1"/>
    </x:xf>
    <x:xf numFmtId="0" fontId="22" fillId="0" borderId="21" xfId="0" applyNumberFormat="1" applyFont="1" applyFill="1" applyBorder="1" applyAlignment="1">
      <x:alignment vertical="center" wrapText="1"/>
    </x:xf>
    <x:xf numFmtId="207" fontId="22" fillId="0" borderId="22" xfId="0" applyNumberFormat="1" applyFont="1" applyFill="1" applyBorder="1" applyAlignment="1">
      <x:alignment vertical="center" wrapText="1"/>
    </x:xf>
    <x:xf numFmtId="0" fontId="22" fillId="0" borderId="23" xfId="0" applyNumberFormat="1" applyFont="1" applyFill="1" applyBorder="1" applyAlignment="1">
      <x:alignment vertical="center" wrapText="1"/>
    </x:xf>
    <x:xf numFmtId="0" fontId="22" fillId="0" borderId="22" xfId="0" applyNumberFormat="1" applyFont="1" applyFill="1" applyBorder="1" applyAlignment="1">
      <x:alignment vertical="center" wrapText="1"/>
    </x:xf>
    <x:xf numFmtId="208" fontId="22" fillId="0" borderId="23" xfId="0" applyNumberFormat="1" applyFont="1" applyFill="1" applyBorder="1" applyAlignment="1">
      <x:alignment vertical="center" wrapText="1"/>
    </x:xf>
    <x:xf numFmtId="0" fontId="23" fillId="10" borderId="5" xfId="0" applyNumberFormat="1" applyFont="1" applyFill="1" applyBorder="1" applyAlignment="1">
      <x:alignment horizontal="left" vertical="center" wrapText="1"/>
    </x:xf>
    <x:xf numFmtId="0" fontId="23" fillId="10" borderId="6" xfId="0" applyNumberFormat="1" applyFont="1" applyFill="1" applyBorder="1" applyAlignment="1">
      <x:alignment horizontal="left" vertical="center" wrapText="1"/>
    </x:xf>
    <x:xf numFmtId="0" fontId="23" fillId="10" borderId="7" xfId="0" applyNumberFormat="1" applyFont="1" applyFill="1" applyBorder="1" applyAlignment="1">
      <x:alignment horizontal="left" vertical="center" wrapText="1"/>
    </x:xf>
    <x:xf numFmtId="0" fontId="21" fillId="7" borderId="16" xfId="0" applyNumberFormat="1" applyFont="1" applyFill="1" applyBorder="1" applyAlignment="1">
      <x:alignment vertical="top" wrapText="1"/>
    </x:xf>
    <x:xf numFmtId="0" fontId="22" fillId="7" borderId="17" xfId="0" applyNumberFormat="1" applyFont="1" applyFill="1" applyBorder="1" applyAlignment="1">
      <x:alignment vertical="top" wrapText="1"/>
    </x:xf>
    <x:xf numFmtId="0" fontId="22" fillId="7" borderId="18" xfId="0" applyNumberFormat="1" applyFont="1" applyFill="1" applyBorder="1" applyAlignment="1">
      <x:alignment vertical="top" wrapText="1"/>
    </x:xf>
    <x:xf numFmtId="210" fontId="19" fillId="0" borderId="1" xfId="0" applyNumberFormat="1" applyFont="1" applyFill="1" applyBorder="1" applyAlignment="1">
      <x:alignment vertical="center" wrapText="1"/>
    </x:xf>
    <x:xf numFmtId="0" fontId="22" fillId="7" borderId="19" xfId="0" applyNumberFormat="1" applyFont="1" applyFill="1" applyBorder="1" applyAlignment="1">
      <x:alignment vertical="top" wrapText="1"/>
    </x:xf>
    <x:xf numFmtId="0" fontId="22" fillId="7" borderId="1" xfId="0" applyNumberFormat="1" applyFont="1" applyFill="1" applyBorder="1" applyAlignment="1">
      <x:alignment vertical="top" wrapText="1"/>
    </x:xf>
    <x:xf numFmtId="0" fontId="22" fillId="7" borderId="20" xfId="0" applyNumberFormat="1" applyFont="1" applyFill="1" applyBorder="1" applyAlignment="1">
      <x:alignment vertical="top" wrapText="1"/>
    </x:xf>
    <x:xf numFmtId="209" fontId="19" fillId="0" borderId="1" xfId="0" applyNumberFormat="1" applyFont="1" applyFill="1" applyBorder="1" applyAlignment="1">
      <x:alignment vertical="center" wrapText="1"/>
    </x:xf>
    <x:xf numFmtId="207" fontId="19" fillId="0" borderId="1" xfId="0" applyNumberFormat="1" applyFont="1" applyFill="1" applyBorder="1" applyAlignment="1">
      <x:alignment vertical="center" wrapText="1"/>
    </x:xf>
    <x:xf numFmtId="0" fontId="19" fillId="0" borderId="22" xfId="0" applyNumberFormat="1" applyFont="1" applyFill="1" applyBorder="1" applyAlignment="1">
      <x:alignment vertical="center" wrapText="1"/>
    </x:xf>
    <x:xf numFmtId="0" fontId="22" fillId="7" borderId="21" xfId="0" applyNumberFormat="1" applyFont="1" applyFill="1" applyBorder="1" applyAlignment="1">
      <x:alignment vertical="top" wrapText="1"/>
    </x:xf>
    <x:xf numFmtId="0" fontId="22" fillId="7" borderId="22" xfId="0" applyNumberFormat="1" applyFont="1" applyFill="1" applyBorder="1" applyAlignment="1">
      <x:alignment vertical="top" wrapText="1"/>
    </x:xf>
    <x:xf numFmtId="0" fontId="22" fillId="7" borderId="23" xfId="0" applyNumberFormat="1" applyFont="1" applyFill="1" applyBorder="1" applyAlignment="1">
      <x:alignment vertical="top" wrapText="1"/>
    </x:xf>
    <x:xf numFmtId="209" fontId="13" fillId="3" borderId="11" xfId="0" applyNumberFormat="1" applyFont="1" applyFill="1" applyBorder="1" applyAlignment="1">
      <x:alignment horizontal="center" vertical="center" wrapText="1"/>
    </x:xf>
    <x:xf numFmtId="209" fontId="13" fillId="3" borderId="0" xfId="0" applyNumberFormat="1" applyFont="1" applyFill="1" applyBorder="1" applyAlignment="1">
      <x:alignment horizontal="center" vertical="center" wrapText="1"/>
    </x:xf>
    <x:xf numFmtId="209" fontId="13" fillId="3" borderId="12" xfId="0" applyNumberFormat="1" applyFont="1" applyFill="1" applyBorder="1" applyAlignment="1">
      <x:alignment horizontal="center" vertical="center" wrapText="1"/>
    </x:xf>
    <x:xf numFmtId="0" fontId="13" fillId="11" borderId="11" xfId="0" applyNumberFormat="1" applyFont="1" applyFill="1" applyBorder="1" applyAlignment="1">
      <x:alignment horizontal="center" vertical="center" wrapText="1"/>
    </x:xf>
    <x:xf numFmtId="0" fontId="13" fillId="11" borderId="0" xfId="0" applyNumberFormat="1" applyFont="1" applyFill="1" applyBorder="1" applyAlignment="1">
      <x:alignment horizontal="center" vertical="center" wrapText="1"/>
    </x:xf>
    <x:xf numFmtId="0" fontId="13" fillId="11" borderId="12" xfId="0" applyNumberFormat="1" applyFont="1" applyFill="1" applyBorder="1" applyAlignment="1">
      <x:alignment horizontal="center" vertical="center" wrapText="1"/>
    </x:xf>
    <x:xf numFmtId="209" fontId="13" fillId="12" borderId="11" xfId="0" applyNumberFormat="1" applyFont="1" applyFill="1" applyBorder="1" applyAlignment="1">
      <x:alignment horizontal="center" vertical="center" wrapText="1"/>
    </x:xf>
    <x:xf numFmtId="209" fontId="13" fillId="12" borderId="0" xfId="0" applyNumberFormat="1" applyFont="1" applyFill="1" applyBorder="1" applyAlignment="1">
      <x:alignment horizontal="center" vertical="center" wrapText="1"/>
    </x:xf>
    <x:xf numFmtId="209" fontId="13" fillId="12" borderId="12" xfId="0" applyNumberFormat="1" applyFont="1" applyFill="1" applyBorder="1" applyAlignment="1">
      <x:alignment horizontal="center" vertical="center" wrapText="1"/>
    </x:xf>
    <x:xf numFmtId="207" fontId="13" fillId="12" borderId="11" xfId="0" applyNumberFormat="1" applyFont="1" applyFill="1" applyBorder="1" applyAlignment="1">
      <x:alignment horizontal="center" vertical="center" wrapText="1"/>
    </x:xf>
    <x:xf numFmtId="207" fontId="13" fillId="12" borderId="0" xfId="0" applyNumberFormat="1" applyFont="1" applyFill="1" applyBorder="1" applyAlignment="1">
      <x:alignment horizontal="center" vertical="center" wrapText="1"/>
    </x:xf>
    <x:xf numFmtId="207" fontId="13" fillId="12" borderId="12" xfId="0" applyNumberFormat="1" applyFont="1" applyFill="1" applyBorder="1" applyAlignment="1">
      <x:alignment horizontal="center" vertical="center" wrapText="1"/>
    </x:xf>
    <x:xf numFmtId="209" fontId="13" fillId="3" borderId="13" xfId="0" applyNumberFormat="1" applyFont="1" applyFill="1" applyBorder="1" applyAlignment="1">
      <x:alignment horizontal="center" vertical="center" wrapText="1"/>
    </x:xf>
    <x:xf numFmtId="209" fontId="13" fillId="3" borderId="14" xfId="0" applyNumberFormat="1" applyFont="1" applyFill="1" applyBorder="1" applyAlignment="1">
      <x:alignment horizontal="center" vertical="center" wrapText="1"/>
    </x:xf>
    <x:xf numFmtId="209" fontId="13" fillId="3" borderId="15" xfId="0" applyNumberFormat="1" applyFont="1" applyFill="1" applyBorder="1" applyAlignment="1">
      <x:alignment horizontal="center" vertical="center" wrapText="1"/>
    </x:xf>
    <x:xf numFmtId="0" fontId="13" fillId="11" borderId="13" xfId="0" applyNumberFormat="1" applyFont="1" applyFill="1" applyBorder="1" applyAlignment="1">
      <x:alignment horizontal="center" vertical="center" wrapText="1"/>
    </x:xf>
    <x:xf numFmtId="0" fontId="13" fillId="11" borderId="14" xfId="0" applyNumberFormat="1" applyFont="1" applyFill="1" applyBorder="1" applyAlignment="1">
      <x:alignment horizontal="center" vertical="center" wrapText="1"/>
    </x:xf>
    <x:xf numFmtId="0" fontId="13" fillId="11" borderId="15" xfId="0" applyNumberFormat="1" applyFont="1" applyFill="1" applyBorder="1" applyAlignment="1">
      <x:alignment horizontal="center" vertical="center" wrapText="1"/>
    </x:xf>
    <x:xf numFmtId="209" fontId="13" fillId="12" borderId="13" xfId="0" applyNumberFormat="1" applyFont="1" applyFill="1" applyBorder="1" applyAlignment="1">
      <x:alignment horizontal="center" vertical="center" wrapText="1"/>
    </x:xf>
    <x:xf numFmtId="209" fontId="13" fillId="12" borderId="14" xfId="0" applyNumberFormat="1" applyFont="1" applyFill="1" applyBorder="1" applyAlignment="1">
      <x:alignment horizontal="center" vertical="center" wrapText="1"/>
    </x:xf>
    <x:xf numFmtId="209" fontId="13" fillId="12" borderId="15" xfId="0" applyNumberFormat="1" applyFont="1" applyFill="1" applyBorder="1" applyAlignment="1">
      <x:alignment horizontal="center" vertical="center" wrapText="1"/>
    </x:xf>
    <x:xf numFmtId="207" fontId="13" fillId="12" borderId="13" xfId="0" applyNumberFormat="1" applyFont="1" applyFill="1" applyBorder="1" applyAlignment="1">
      <x:alignment horizontal="center" vertical="center" wrapText="1"/>
    </x:xf>
    <x:xf numFmtId="207" fontId="13" fillId="12" borderId="14" xfId="0" applyNumberFormat="1" applyFont="1" applyFill="1" applyBorder="1" applyAlignment="1">
      <x:alignment horizontal="center" vertical="center" wrapText="1"/>
    </x:xf>
    <x:xf numFmtId="207" fontId="13" fillId="12" borderId="15" xfId="0" applyNumberFormat="1" applyFont="1" applyFill="1" applyBorder="1" applyAlignment="1">
      <x:alignment horizontal="center" vertical="center" wrapText="1"/>
    </x:xf>
    <x:xf numFmtId="207" fontId="13" fillId="6" borderId="11" xfId="0" applyNumberFormat="1" applyFont="1" applyFill="1" applyBorder="1" applyAlignment="1">
      <x:alignment horizontal="center" vertical="center" wrapText="1"/>
    </x:xf>
    <x:xf numFmtId="207" fontId="13" fillId="6" borderId="0" xfId="0" applyNumberFormat="1" applyFont="1" applyFill="1" applyBorder="1" applyAlignment="1">
      <x:alignment horizontal="center" vertical="center" wrapText="1"/>
    </x:xf>
    <x:xf numFmtId="207" fontId="13" fillId="6" borderId="12" xfId="0" applyNumberFormat="1" applyFont="1" applyFill="1" applyBorder="1" applyAlignment="1">
      <x:alignment horizontal="center" vertical="center" wrapText="1"/>
    </x:xf>
    <x:xf numFmtId="207" fontId="13" fillId="6" borderId="13" xfId="0" applyNumberFormat="1" applyFont="1" applyFill="1" applyBorder="1" applyAlignment="1">
      <x:alignment horizontal="center" vertical="center" wrapText="1"/>
    </x:xf>
    <x:xf numFmtId="207" fontId="13" fillId="6" borderId="14" xfId="0" applyNumberFormat="1" applyFont="1" applyFill="1" applyBorder="1" applyAlignment="1">
      <x:alignment horizontal="center" vertical="center" wrapText="1"/>
    </x:xf>
    <x:xf numFmtId="207" fontId="13" fillId="6" borderId="15" xfId="0" applyNumberFormat="1" applyFont="1" applyFill="1" applyBorder="1" applyAlignment="1">
      <x:alignment horizontal="center" vertical="center" wrapText="1"/>
    </x:xf>
    <x:xf numFmtId="208" fontId="13" fillId="5" borderId="11" xfId="0" applyNumberFormat="1" applyFont="1" applyFill="1" applyBorder="1" applyAlignment="1">
      <x:alignment horizontal="center" vertical="center" wrapText="1"/>
    </x:xf>
    <x:xf numFmtId="208" fontId="13" fillId="5" borderId="0" xfId="0" applyNumberFormat="1" applyFont="1" applyFill="1" applyBorder="1" applyAlignment="1">
      <x:alignment horizontal="center" vertical="center" wrapText="1"/>
    </x:xf>
    <x:xf numFmtId="208" fontId="13" fillId="5" borderId="12" xfId="0" applyNumberFormat="1" applyFont="1" applyFill="1" applyBorder="1" applyAlignment="1">
      <x:alignment horizontal="center" vertical="center" wrapText="1"/>
    </x:xf>
    <x:xf numFmtId="207" fontId="13" fillId="5" borderId="11" xfId="0" applyNumberFormat="1" applyFont="1" applyFill="1" applyBorder="1" applyAlignment="1">
      <x:alignment horizontal="center" vertical="center" wrapText="1"/>
    </x:xf>
    <x:xf numFmtId="207" fontId="13" fillId="5" borderId="0" xfId="0" applyNumberFormat="1" applyFont="1" applyFill="1" applyBorder="1" applyAlignment="1">
      <x:alignment horizontal="center" vertical="center" wrapText="1"/>
    </x:xf>
    <x:xf numFmtId="207" fontId="13" fillId="5" borderId="12" xfId="0" applyNumberFormat="1" applyFont="1" applyFill="1" applyBorder="1" applyAlignment="1">
      <x:alignment horizontal="center" vertical="center" wrapText="1"/>
    </x:xf>
    <x:xf numFmtId="208" fontId="13" fillId="5" borderId="13" xfId="0" applyNumberFormat="1" applyFont="1" applyFill="1" applyBorder="1" applyAlignment="1">
      <x:alignment horizontal="center" vertical="center" wrapText="1"/>
    </x:xf>
    <x:xf numFmtId="208" fontId="13" fillId="5" borderId="14" xfId="0" applyNumberFormat="1" applyFont="1" applyFill="1" applyBorder="1" applyAlignment="1">
      <x:alignment horizontal="center" vertical="center" wrapText="1"/>
    </x:xf>
    <x:xf numFmtId="208" fontId="13" fillId="5" borderId="15" xfId="0" applyNumberFormat="1" applyFont="1" applyFill="1" applyBorder="1" applyAlignment="1">
      <x:alignment horizontal="center" vertical="center" wrapText="1"/>
    </x:xf>
    <x:xf numFmtId="207" fontId="13" fillId="5" borderId="13" xfId="0" applyNumberFormat="1" applyFont="1" applyFill="1" applyBorder="1" applyAlignment="1">
      <x:alignment horizontal="center" vertical="center" wrapText="1"/>
    </x:xf>
    <x:xf numFmtId="207" fontId="13" fillId="5" borderId="14" xfId="0" applyNumberFormat="1" applyFont="1" applyFill="1" applyBorder="1" applyAlignment="1">
      <x:alignment horizontal="center" vertical="center" wrapText="1"/>
    </x:xf>
    <x:xf numFmtId="207" fontId="13" fillId="5" borderId="15" xfId="0" applyNumberFormat="1" applyFont="1" applyFill="1" applyBorder="1" applyAlignment="1">
      <x:alignment horizontal="center" vertical="center" wrapText="1"/>
    </x:xf>
    <x:xf numFmtId="209" fontId="13" fillId="3" borderId="19" xfId="0" applyNumberFormat="1" applyFont="1" applyFill="1" applyBorder="1" applyAlignment="1">
      <x:alignment horizontal="center" vertical="center" wrapText="1"/>
    </x:xf>
    <x:xf numFmtId="209" fontId="13" fillId="3" borderId="1" xfId="0" applyNumberFormat="1" applyFont="1" applyFill="1" applyBorder="1" applyAlignment="1">
      <x:alignment horizontal="center" vertical="center" wrapText="1"/>
    </x:xf>
    <x:xf numFmtId="209" fontId="13" fillId="3" borderId="20" xfId="0" applyNumberFormat="1" applyFont="1" applyFill="1" applyBorder="1" applyAlignment="1">
      <x:alignment horizontal="center" vertical="center" wrapText="1"/>
    </x:xf>
    <x:xf numFmtId="0" fontId="13" fillId="11" borderId="19" xfId="0" applyNumberFormat="1" applyFont="1" applyFill="1" applyBorder="1" applyAlignment="1">
      <x:alignment horizontal="center" vertical="center" wrapText="1"/>
    </x:xf>
    <x:xf numFmtId="0" fontId="13" fillId="11" borderId="1" xfId="0" applyNumberFormat="1" applyFont="1" applyFill="1" applyBorder="1" applyAlignment="1">
      <x:alignment horizontal="center" vertical="center" wrapText="1"/>
    </x:xf>
    <x:xf numFmtId="0" fontId="13" fillId="11" borderId="20" xfId="0" applyNumberFormat="1" applyFont="1" applyFill="1" applyBorder="1" applyAlignment="1">
      <x:alignment horizontal="center" vertical="center" wrapText="1"/>
    </x:xf>
    <x:xf numFmtId="209" fontId="13" fillId="12" borderId="19" xfId="0" applyNumberFormat="1" applyFont="1" applyFill="1" applyBorder="1" applyAlignment="1">
      <x:alignment horizontal="center" vertical="center" wrapText="1"/>
    </x:xf>
    <x:xf numFmtId="209" fontId="13" fillId="12" borderId="1" xfId="0" applyNumberFormat="1" applyFont="1" applyFill="1" applyBorder="1" applyAlignment="1">
      <x:alignment horizontal="center" vertical="center" wrapText="1"/>
    </x:xf>
    <x:xf numFmtId="209" fontId="13" fillId="12" borderId="20" xfId="0" applyNumberFormat="1" applyFont="1" applyFill="1" applyBorder="1" applyAlignment="1">
      <x:alignment horizontal="center" vertical="center" wrapText="1"/>
    </x:xf>
    <x:xf numFmtId="207" fontId="13" fillId="12" borderId="19" xfId="0" applyNumberFormat="1" applyFont="1" applyFill="1" applyBorder="1" applyAlignment="1">
      <x:alignment horizontal="center" vertical="center" wrapText="1"/>
    </x:xf>
    <x:xf numFmtId="207" fontId="13" fillId="12" borderId="1" xfId="0" applyNumberFormat="1" applyFont="1" applyFill="1" applyBorder="1" applyAlignment="1">
      <x:alignment horizontal="center" vertical="center" wrapText="1"/>
    </x:xf>
    <x:xf numFmtId="207" fontId="13" fillId="12" borderId="20" xfId="0" applyNumberFormat="1" applyFont="1" applyFill="1" applyBorder="1" applyAlignment="1">
      <x:alignment horizontal="center" vertical="center" wrapText="1"/>
    </x:xf>
    <x:xf numFmtId="209" fontId="13" fillId="3" borderId="21" xfId="0" applyNumberFormat="1" applyFont="1" applyFill="1" applyBorder="1" applyAlignment="1">
      <x:alignment horizontal="center" vertical="center" wrapText="1"/>
    </x:xf>
    <x:xf numFmtId="209" fontId="13" fillId="3" borderId="22" xfId="0" applyNumberFormat="1" applyFont="1" applyFill="1" applyBorder="1" applyAlignment="1">
      <x:alignment horizontal="center" vertical="center" wrapText="1"/>
    </x:xf>
    <x:xf numFmtId="209" fontId="13" fillId="3" borderId="23" xfId="0" applyNumberFormat="1" applyFont="1" applyFill="1" applyBorder="1" applyAlignment="1">
      <x:alignment horizontal="center" vertical="center" wrapText="1"/>
    </x:xf>
    <x:xf numFmtId="0" fontId="13" fillId="11" borderId="21" xfId="0" applyNumberFormat="1" applyFont="1" applyFill="1" applyBorder="1" applyAlignment="1">
      <x:alignment horizontal="center" vertical="center" wrapText="1"/>
    </x:xf>
    <x:xf numFmtId="0" fontId="13" fillId="11" borderId="22" xfId="0" applyNumberFormat="1" applyFont="1" applyFill="1" applyBorder="1" applyAlignment="1">
      <x:alignment horizontal="center" vertical="center" wrapText="1"/>
    </x:xf>
    <x:xf numFmtId="0" fontId="13" fillId="11" borderId="23" xfId="0" applyNumberFormat="1" applyFont="1" applyFill="1" applyBorder="1" applyAlignment="1">
      <x:alignment horizontal="center" vertical="center" wrapText="1"/>
    </x:xf>
    <x:xf numFmtId="209" fontId="13" fillId="12" borderId="21" xfId="0" applyNumberFormat="1" applyFont="1" applyFill="1" applyBorder="1" applyAlignment="1">
      <x:alignment horizontal="center" vertical="center" wrapText="1"/>
    </x:xf>
    <x:xf numFmtId="209" fontId="13" fillId="12" borderId="22" xfId="0" applyNumberFormat="1" applyFont="1" applyFill="1" applyBorder="1" applyAlignment="1">
      <x:alignment horizontal="center" vertical="center" wrapText="1"/>
    </x:xf>
    <x:xf numFmtId="209" fontId="13" fillId="12" borderId="23" xfId="0" applyNumberFormat="1" applyFont="1" applyFill="1" applyBorder="1" applyAlignment="1">
      <x:alignment horizontal="center" vertical="center" wrapText="1"/>
    </x:xf>
    <x:xf numFmtId="207" fontId="13" fillId="12" borderId="21" xfId="0" applyNumberFormat="1" applyFont="1" applyFill="1" applyBorder="1" applyAlignment="1">
      <x:alignment horizontal="center" vertical="center" wrapText="1"/>
    </x:xf>
    <x:xf numFmtId="207" fontId="13" fillId="12" borderId="22" xfId="0" applyNumberFormat="1" applyFont="1" applyFill="1" applyBorder="1" applyAlignment="1">
      <x:alignment horizontal="center" vertical="center" wrapText="1"/>
    </x:xf>
    <x:xf numFmtId="207" fontId="13" fillId="12" borderId="23" xfId="0" applyNumberFormat="1" applyFont="1" applyFill="1" applyBorder="1" applyAlignment="1">
      <x:alignment horizontal="center" vertical="center" wrapText="1"/>
    </x:xf>
    <x:xf numFmtId="207" fontId="13" fillId="6" borderId="19" xfId="0" applyNumberFormat="1" applyFont="1" applyFill="1" applyBorder="1" applyAlignment="1">
      <x:alignment horizontal="center" vertical="center" wrapText="1"/>
    </x:xf>
    <x:xf numFmtId="207" fontId="13" fillId="6" borderId="1" xfId="0" applyNumberFormat="1" applyFont="1" applyFill="1" applyBorder="1" applyAlignment="1">
      <x:alignment horizontal="center" vertical="center" wrapText="1"/>
    </x:xf>
    <x:xf numFmtId="207" fontId="13" fillId="6" borderId="20" xfId="0" applyNumberFormat="1" applyFont="1" applyFill="1" applyBorder="1" applyAlignment="1">
      <x:alignment horizontal="center" vertical="center" wrapText="1"/>
    </x:xf>
    <x:xf numFmtId="207" fontId="13" fillId="6" borderId="21" xfId="0" applyNumberFormat="1" applyFont="1" applyFill="1" applyBorder="1" applyAlignment="1">
      <x:alignment horizontal="center" vertical="center" wrapText="1"/>
    </x:xf>
    <x:xf numFmtId="207" fontId="13" fillId="6" borderId="22" xfId="0" applyNumberFormat="1" applyFont="1" applyFill="1" applyBorder="1" applyAlignment="1">
      <x:alignment horizontal="center" vertical="center" wrapText="1"/>
    </x:xf>
    <x:xf numFmtId="207" fontId="13" fillId="6" borderId="23" xfId="0" applyNumberFormat="1" applyFont="1" applyFill="1" applyBorder="1" applyAlignment="1">
      <x:alignment horizontal="center" vertical="center" wrapText="1"/>
    </x:xf>
    <x:xf numFmtId="208" fontId="13" fillId="5" borderId="19" xfId="0" applyNumberFormat="1" applyFont="1" applyFill="1" applyBorder="1" applyAlignment="1">
      <x:alignment horizontal="center" vertical="center" wrapText="1"/>
    </x:xf>
    <x:xf numFmtId="208" fontId="13" fillId="5" borderId="1" xfId="0" applyNumberFormat="1" applyFont="1" applyFill="1" applyBorder="1" applyAlignment="1">
      <x:alignment horizontal="center" vertical="center" wrapText="1"/>
    </x:xf>
    <x:xf numFmtId="208" fontId="13" fillId="5" borderId="20" xfId="0" applyNumberFormat="1" applyFont="1" applyFill="1" applyBorder="1" applyAlignment="1">
      <x:alignment horizontal="center" vertical="center" wrapText="1"/>
    </x:xf>
    <x:xf numFmtId="207" fontId="13" fillId="5" borderId="19" xfId="0" applyNumberFormat="1" applyFont="1" applyFill="1" applyBorder="1" applyAlignment="1">
      <x:alignment horizontal="center" vertical="center" wrapText="1"/>
    </x:xf>
    <x:xf numFmtId="207" fontId="13" fillId="5" borderId="1" xfId="0" applyNumberFormat="1" applyFont="1" applyFill="1" applyBorder="1" applyAlignment="1">
      <x:alignment horizontal="center" vertical="center" wrapText="1"/>
    </x:xf>
    <x:xf numFmtId="207" fontId="13" fillId="5" borderId="20" xfId="0" applyNumberFormat="1" applyFont="1" applyFill="1" applyBorder="1" applyAlignment="1">
      <x:alignment horizontal="center" vertical="center" wrapText="1"/>
    </x:xf>
    <x:xf numFmtId="208" fontId="13" fillId="5" borderId="21" xfId="0" applyNumberFormat="1" applyFont="1" applyFill="1" applyBorder="1" applyAlignment="1">
      <x:alignment horizontal="center" vertical="center" wrapText="1"/>
    </x:xf>
    <x:xf numFmtId="208" fontId="13" fillId="5" borderId="22" xfId="0" applyNumberFormat="1" applyFont="1" applyFill="1" applyBorder="1" applyAlignment="1">
      <x:alignment horizontal="center" vertical="center" wrapText="1"/>
    </x:xf>
    <x:xf numFmtId="208" fontId="13" fillId="5" borderId="23" xfId="0" applyNumberFormat="1" applyFont="1" applyFill="1" applyBorder="1" applyAlignment="1">
      <x:alignment horizontal="center" vertical="center" wrapText="1"/>
    </x:xf>
    <x:xf numFmtId="207" fontId="13" fillId="5" borderId="21" xfId="0" applyNumberFormat="1" applyFont="1" applyFill="1" applyBorder="1" applyAlignment="1">
      <x:alignment horizontal="center" vertical="center" wrapText="1"/>
    </x:xf>
    <x:xf numFmtId="207" fontId="13" fillId="5" borderId="22" xfId="0" applyNumberFormat="1" applyFont="1" applyFill="1" applyBorder="1" applyAlignment="1">
      <x:alignment horizontal="center" vertical="center" wrapText="1"/>
    </x:xf>
    <x:xf numFmtId="207" fontId="13" fillId="5" borderId="2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bd1286df8f4f41" /><Relationship Type="http://schemas.openxmlformats.org/officeDocument/2006/relationships/theme" Target="/xl/theme/theme1.xml" Id="R57e063f37e5d4458" /><Relationship Type="http://schemas.openxmlformats.org/officeDocument/2006/relationships/sharedStrings" Target="/xl/sharedStrings.xml" Id="R56f4894ee9ed45dc" /><Relationship Type="http://schemas.openxmlformats.org/officeDocument/2006/relationships/worksheet" Target="/xl/worksheets/sheet1.xml" Id="Ra11e8b5656f94d37" /><Relationship Type="http://schemas.openxmlformats.org/officeDocument/2006/relationships/worksheet" Target="/xl/worksheets/sheet2.xml" Id="R515b3c2400e54ea4" /><Relationship Type="http://schemas.openxmlformats.org/officeDocument/2006/relationships/worksheet" Target="/xl/worksheets/sheet3.xml" Id="R3c456ca3a3974072" /><Relationship Type="http://schemas.openxmlformats.org/officeDocument/2006/relationships/worksheet" Target="/xl/worksheets/sheet4.xml" Id="Rbbb3a4de0d974337" /><Relationship Type="http://schemas.openxmlformats.org/officeDocument/2006/relationships/worksheet" Target="/xl/worksheets/sheet5.xml" Id="R5ef8adf9a7bf4bf5" /><Relationship Type="http://schemas.openxmlformats.org/officeDocument/2006/relationships/worksheet" Target="/xl/worksheets/sheet6.xml" Id="R08dc963bc19d4e91" /><Relationship Type="http://schemas.openxmlformats.org/officeDocument/2006/relationships/worksheet" Target="/xl/worksheets/sheet7.xml" Id="Rcb1f47316b064b12" /><Relationship Type="http://schemas.openxmlformats.org/officeDocument/2006/relationships/worksheet" Target="/xl/worksheets/sheet8.xml" Id="Re87e76e6b35549bc" /><Relationship Type="http://schemas.openxmlformats.org/officeDocument/2006/relationships/worksheet" Target="/xl/worksheets/sheet9.xml" Id="R65a69d2577e24f95" /><Relationship Type="http://schemas.openxmlformats.org/officeDocument/2006/relationships/worksheet" Target="/xl/worksheets/sheet10.xml" Id="R328b5cbce59b4855" /><Relationship Type="http://schemas.openxmlformats.org/officeDocument/2006/relationships/worksheet" Target="/xl/worksheets/sheet11.xml" Id="Rdd93c13af18f4c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.860000610351562" hidden="0" customWidth="1"/>
    <x:col min="2" max="2" width="12.859999656677246" hidden="0" customWidth="1"/>
    <x:col min="3" max="3" width="12.859999656677246" hidden="0" customWidth="1"/>
    <x:col min="4" max="4" width="15" hidden="0" customWidth="1"/>
    <x:col min="5" max="5" width="12.859999656677246" hidden="0" customWidth="1"/>
    <x:col min="6" max="6" width="23.56999969482422" hidden="0" customWidth="1"/>
    <x:col min="7" max="7" width="18.56999969482422" hidden="0" customWidth="1"/>
    <x:col min="8" max="8" width="17.139999389648438" hidden="0" customWidth="1"/>
    <x:col min="9" max="9" width="15.710000038146973" hidden="0" customWidth="1"/>
    <x:col min="10" max="10" width="17.860000610351562" hidden="0" customWidth="1"/>
    <x:col min="11" max="11" width="17.860000610351562" hidden="0" customWidth="1"/>
    <x:col min="12" max="12" width="19.290000915527344" hidden="0" customWidth="1"/>
  </x:cols>
  <x:sheetData>
    <x:row r="1">
      <x:c r="A1" s="1071" t="str">
        <x:v>BitMach | Simplified 20MW Phase 1 Model (36 months)</x:v>
      </x:c>
      <x:c r="B1" s="1071"/>
      <x:c r="C1" s="1071"/>
      <x:c r="D1" s="1071"/>
      <x:c r="E1" s="1071"/>
      <x:c r="F1" s="1071"/>
      <x:c r="G1" s="1071"/>
      <x:c r="H1" s="1071"/>
      <x:c r="I1" s="1071"/>
      <x:c r="J1" s="1071"/>
      <x:c r="K1" s="1071"/>
      <x:c r="L1" s="1071"/>
    </x:row>
    <x:row r="2">
      <x:c r="A2" s="445" t="str">
        <x:v>Equity-first base case for management and investor conversations. Detailed master model remains separate; optional revenue and debt are included only as editable upside levers.</x:v>
      </x:c>
      <x:c r="B2" s="445"/>
      <x:c r="C2" s="445"/>
      <x:c r="D2" s="445"/>
      <x:c r="E2" s="445"/>
      <x:c r="F2" s="445"/>
      <x:c r="G2" s="445"/>
      <x:c r="H2" s="445"/>
      <x:c r="I2" s="445"/>
      <x:c r="J2" s="445"/>
      <x:c r="K2" s="445"/>
      <x:c r="L2" s="445"/>
    </x:row>
    <x:row r="3">
      <x:c r="A3" s="1079"/>
      <x:c r="B3" s="1079"/>
      <x:c r="C3" s="1079"/>
      <x:c r="D3" s="1079"/>
      <x:c r="E3" s="1079"/>
      <x:c r="F3" s="1079"/>
      <x:c r="G3" s="1079"/>
      <x:c r="H3" s="1079"/>
      <x:c r="I3" s="1079"/>
      <x:c r="J3" s="1079"/>
      <x:c r="K3" s="1079"/>
      <x:c r="L3" s="1079"/>
    </x:row>
    <x:row r="4">
      <x:c r="A4" s="1072" t="str">
        <x:v>Headline KPIs</x:v>
      </x:c>
      <x:c r="B4" s="1073"/>
      <x:c r="C4" s="1073"/>
      <x:c r="D4" s="1073"/>
      <x:c r="E4" s="1073"/>
      <x:c r="F4" s="1073"/>
      <x:c r="G4" s="1073"/>
      <x:c r="H4" s="1073"/>
      <x:c r="I4" s="1073"/>
      <x:c r="J4" s="1073"/>
      <x:c r="K4" s="1073"/>
      <x:c r="L4" s="1074"/>
    </x:row>
    <x:row r="5">
      <x:c r="A5" s="533" t="str">
        <x:v>Phase 1 envelope (MW)</x:v>
      </x:c>
      <x:c r="B5" s="534"/>
      <x:c r="C5" s="535"/>
      <x:c r="D5" s="635" t="str">
        <x:v>Site split (GVL / AMSA MW)</x:v>
      </x:c>
      <x:c r="E5" s="636"/>
      <x:c r="F5" s="637"/>
      <x:c r="G5" s="725" t="str">
        <x:v>36M BTC mined</x:v>
      </x:c>
      <x:c r="H5" s="726"/>
      <x:c r="I5" s="727"/>
      <x:c r="J5" s="725" t="str">
        <x:v>36M revenue (base)</x:v>
      </x:c>
      <x:c r="K5" s="726"/>
      <x:c r="L5" s="727"/>
    </x:row>
    <x:row r="6">
      <x:c r="A6" s="551" t="n">
        <x:f>Inputs!C7</x:f>
        <x:v>20</x:v>
      </x:c>
      <x:c r="B6" s="552"/>
      <x:c r="C6" s="553"/>
      <x:c r="D6" s="641" t="str">
        <x:f>Inputs!C8&amp;" / "&amp;Inputs!C9</x:f>
        <x:v>15 / 5</x:v>
      </x:c>
      <x:c r="E6" s="642"/>
      <x:c r="F6" s="643"/>
      <x:c r="G6" s="743" t="n">
        <x:f>SUM(Annual_Summary!C11:E11)</x:f>
        <x:v>649.3622889771652</x:v>
      </x:c>
      <x:c r="H6" s="744"/>
      <x:c r="I6" s="745"/>
      <x:c r="J6" s="755" t="n">
        <x:f>SUM(Annual_Summary!C12:E12)</x:f>
        <x:v>1036384.415882926</x:v>
      </x:c>
      <x:c r="K6" s="756"/>
      <x:c r="L6" s="757"/>
    </x:row>
    <x:row r="7">
      <x:c r="A7" s="554"/>
      <x:c r="B7" s="555"/>
      <x:c r="C7" s="556"/>
      <x:c r="D7" s="644"/>
      <x:c r="E7" s="645"/>
      <x:c r="F7" s="646"/>
      <x:c r="G7" s="746"/>
      <x:c r="H7" s="747"/>
      <x:c r="I7" s="748"/>
      <x:c r="J7" s="758"/>
      <x:c r="K7" s="759"/>
      <x:c r="L7" s="760"/>
    </x:row>
    <x:row r="8">
      <x:c r="A8" s="839" t="str">
        <x:v>Peak funding required</x:v>
      </x:c>
      <x:c r="B8" s="840"/>
      <x:c r="C8" s="841"/>
      <x:c r="D8" s="839" t="str">
        <x:v>Total equity required</x:v>
      </x:c>
      <x:c r="E8" s="840"/>
      <x:c r="F8" s="841"/>
      <x:c r="G8" s="725" t="str">
        <x:v>Year 3 EBITDA</x:v>
      </x:c>
      <x:c r="H8" s="726"/>
      <x:c r="I8" s="727"/>
      <x:c r="J8" s="725" t="str">
        <x:v>End-36M cash</x:v>
      </x:c>
      <x:c r="K8" s="726"/>
      <x:c r="L8" s="727"/>
    </x:row>
    <x:row r="9">
      <x:c r="A9" s="857" t="n">
        <x:f>Annual_Summary!C25</x:f>
        <x:v>470888.2514298901</x:v>
      </x:c>
      <x:c r="B9" s="858"/>
      <x:c r="C9" s="859"/>
      <x:c r="D9" s="857" t="n">
        <x:f>Annual_Summary!C26</x:f>
        <x:v>470888.2514298901</x:v>
      </x:c>
      <x:c r="E9" s="858"/>
      <x:c r="F9" s="859"/>
      <x:c r="G9" s="755" t="n">
        <x:f>Annual_Summary!E15</x:f>
        <x:v>255462.49216883164</x:v>
      </x:c>
      <x:c r="H9" s="756"/>
      <x:c r="I9" s="757"/>
      <x:c r="J9" s="755" t="n">
        <x:f>Annual_Summary!E21</x:f>
        <x:v>589548.417096016</x:v>
      </x:c>
      <x:c r="K9" s="756"/>
      <x:c r="L9" s="757"/>
    </x:row>
    <x:row r="10">
      <x:c r="A10" s="860"/>
      <x:c r="B10" s="861"/>
      <x:c r="C10" s="862"/>
      <x:c r="D10" s="860"/>
      <x:c r="E10" s="861"/>
      <x:c r="F10" s="862"/>
      <x:c r="G10" s="758"/>
      <x:c r="H10" s="759"/>
      <x:c r="I10" s="760"/>
      <x:c r="J10" s="758"/>
      <x:c r="K10" s="759"/>
      <x:c r="L10" s="760"/>
    </x:row>
    <x:row r="11">
      <x:c r="A11" s="941" t="str">
        <x:v>Implied payback (yrs)</x:v>
      </x:c>
      <x:c r="B11" s="942"/>
      <x:c r="C11" s="943"/>
      <x:c r="D11" s="839" t="str">
        <x:v>Year 1 capex</x:v>
      </x:c>
      <x:c r="E11" s="840"/>
      <x:c r="F11" s="841"/>
      <x:c r="G11" s="941" t="str">
        <x:v>Year 2 unlevered CF</x:v>
      </x:c>
      <x:c r="H11" s="942"/>
      <x:c r="I11" s="943"/>
      <x:c r="J11" s="635" t="str">
        <x:v>Optionality toggles</x:v>
      </x:c>
      <x:c r="K11" s="636"/>
      <x:c r="L11" s="637"/>
    </x:row>
    <x:row r="12">
      <x:c r="A12" s="959" t="n">
        <x:f>IF(Annual_Summary!E15=0,"",SUM(Annual_Summary!C17:E17)/Annual_Summary!E15)</x:f>
        <x:v>1.9783946654007605</x:v>
      </x:c>
      <x:c r="B12" s="960"/>
      <x:c r="C12" s="961"/>
      <x:c r="D12" s="857" t="n">
        <x:f>Annual_Summary!C17</x:f>
        <x:v>505405.63171680004</x:v>
      </x:c>
      <x:c r="E12" s="858"/>
      <x:c r="F12" s="859"/>
      <x:c r="G12" s="971" t="n">
        <x:f>Annual_Summary!D18</x:f>
        <x:v>232752.44002439245</x:v>
      </x:c>
      <x:c r="H12" s="972"/>
      <x:c r="I12" s="973"/>
      <x:c r="J12" s="641" t="str">
        <x:f>IF(AND(Inputs!C82=0,Inputs!C87=0),"DR OFF / HYP OFF","UPSIDE ON")</x:f>
        <x:v>DR OFF / HYP OFF</x:v>
      </x:c>
      <x:c r="K12" s="642"/>
      <x:c r="L12" s="643"/>
    </x:row>
    <x:row r="13">
      <x:c r="A13" s="962"/>
      <x:c r="B13" s="963"/>
      <x:c r="C13" s="964"/>
      <x:c r="D13" s="860"/>
      <x:c r="E13" s="861"/>
      <x:c r="F13" s="862"/>
      <x:c r="G13" s="974"/>
      <x:c r="H13" s="975"/>
      <x:c r="I13" s="976"/>
      <x:c r="J13" s="644"/>
      <x:c r="K13" s="645"/>
      <x:c r="L13" s="646"/>
    </x:row>
    <x:row r="14">
      <x:c r="A14" s="1079"/>
      <x:c r="B14" s="1079"/>
      <x:c r="C14" s="1079"/>
      <x:c r="D14" s="1079"/>
      <x:c r="E14" s="1079"/>
      <x:c r="F14" s="1079"/>
      <x:c r="G14" s="1079"/>
      <x:c r="H14" s="1079"/>
      <x:c r="I14" s="1079"/>
      <x:c r="J14" s="1079"/>
      <x:c r="K14" s="1079"/>
      <x:c r="L14" s="1079"/>
    </x:row>
    <x:row r="15">
      <x:c r="A15" s="1079"/>
      <x:c r="B15" s="1079"/>
      <x:c r="C15" s="1079"/>
      <x:c r="D15" s="1079"/>
      <x:c r="E15" s="1079"/>
      <x:c r="F15" s="1079"/>
      <x:c r="G15" s="1079"/>
      <x:c r="H15" s="1079"/>
      <x:c r="I15" s="1079"/>
      <x:c r="J15" s="1079"/>
      <x:c r="K15" s="1079"/>
      <x:c r="L15" s="1079"/>
    </x:row>
    <x:row r="16">
      <x:c r="A16" s="1072" t="str">
        <x:v>Annual output summary</x:v>
      </x:c>
      <x:c r="B16" s="1073"/>
      <x:c r="C16" s="1073"/>
      <x:c r="D16" s="1073"/>
      <x:c r="E16" s="1073"/>
      <x:c r="F16" s="1074"/>
      <x:c r="G16" s="1072" t="str">
        <x:v>Site deployment and revenue architecture</x:v>
      </x:c>
      <x:c r="H16" s="1073"/>
      <x:c r="I16" s="1073"/>
      <x:c r="J16" s="1073"/>
      <x:c r="K16" s="1073"/>
      <x:c r="L16" s="1074"/>
    </x:row>
    <x:row r="17" ht="24.4140625" hidden="0" customHeight="1">
      <x:c r="A17" s="1325" t="str">
        <x:v>Metric</x:v>
      </x:c>
      <x:c r="B17" s="1326" t="str">
        <x:v>Year 1</x:v>
      </x:c>
      <x:c r="C17" s="1326" t="str">
        <x:v>Year 2</x:v>
      </x:c>
      <x:c r="D17" s="1326" t="str">
        <x:v>Year 3</x:v>
      </x:c>
      <x:c r="E17" s="1326" t="str">
        <x:v>36M total</x:v>
      </x:c>
      <x:c r="F17" s="1327" t="str">
        <x:v>Comment</x:v>
      </x:c>
      <x:c r="G17" s="1325" t="str">
        <x:v>Topic</x:v>
      </x:c>
      <x:c r="H17" s="1326" t="str">
        <x:v>Base case</x:v>
      </x:c>
      <x:c r="I17" s="1326" t="str">
        <x:v>Why it matters</x:v>
      </x:c>
      <x:c r="J17" s="1327" t="str">
        <x:v>Edit at</x:v>
      </x:c>
      <x:c r="K17" s="1325" t="str">
        <x:v>Current phase footprint</x:v>
      </x:c>
      <x:c r="L17" s="1327" t="str">
        <x:v>MW</x:v>
      </x:c>
    </x:row>
    <x:row r="18" ht="36.62109375" hidden="0" customHeight="1">
      <x:c r="A18" s="1328" t="str">
        <x:v>Year-end gross MW</x:v>
      </x:c>
      <x:c r="B18" s="1329" t="n">
        <x:f>Annual_Summary!C7</x:f>
        <x:v>20</x:v>
      </x:c>
      <x:c r="C18" s="1329" t="n">
        <x:f>Annual_Summary!D7</x:f>
        <x:v>20</x:v>
      </x:c>
      <x:c r="D18" s="1329" t="n">
        <x:f>Annual_Summary!E7</x:f>
        <x:v>20</x:v>
      </x:c>
      <x:c r="E18" s="1329" t="n">
        <x:f>D18</x:f>
        <x:v>20</x:v>
      </x:c>
      <x:c r="F18" s="1330" t="str">
        <x:v>Gross compute MW in place</x:v>
      </x:c>
      <x:c r="G18" s="1328" t="str">
        <x:v>Grootvlei compute</x:v>
      </x:c>
      <x:c r="H18" s="1331" t="str">
        <x:v>15MW by month 5 | 22h/day</x:v>
      </x:c>
      <x:c r="I18" s="1331" t="str">
        <x:v>Primary production node and Eskom brownfield anchor</x:v>
      </x:c>
      <x:c r="J18" s="1330" t="str">
        <x:v>Inputs / Deployment_36M</x:v>
      </x:c>
      <x:c r="K18" s="1328" t="str">
        <x:v>Phase 1 total gross</x:v>
      </x:c>
      <x:c r="L18" s="1332" t="n">
        <x:f>Inputs!C7</x:f>
        <x:v>20</x:v>
      </x:c>
    </x:row>
    <x:row r="19" ht="36.62109375" hidden="0" customHeight="1">
      <x:c r="A19" s="1328" t="str">
        <x:v>BTC mined</x:v>
      </x:c>
      <x:c r="B19" s="1333" t="n">
        <x:f>Annual_Summary!C11</x:f>
        <x:v>177.7337984767233</x:v>
      </x:c>
      <x:c r="C19" s="1333" t="n">
        <x:f>Annual_Summary!D11</x:f>
        <x:v>247.36134912201942</x:v>
      </x:c>
      <x:c r="D19" s="1333" t="n">
        <x:f>Annual_Summary!E11</x:f>
        <x:v>224.26714137842254</x:v>
      </x:c>
      <x:c r="E19" s="1333" t="n">
        <x:f>SUM(B19:D19)</x:f>
        <x:v>649.3622889771652</x:v>
      </x:c>
      <x:c r="F19" s="1330" t="str">
        <x:v>Bitcoin produced</x:v>
      </x:c>
      <x:c r="G19" s="1328" t="str">
        <x:v>AMSA compute</x:v>
      </x:c>
      <x:c r="H19" s="1331" t="str">
        <x:v>5MW by month 6</x:v>
      </x:c>
      <x:c r="I19" s="1331" t="str">
        <x:v>Adds industrial diversification and solar blend pathway</x:v>
      </x:c>
      <x:c r="J19" s="1330" t="str">
        <x:v>Inputs / Deployment_36M</x:v>
      </x:c>
      <x:c r="K19" s="1328" t="str">
        <x:v>Year-end Grootvlei</x:v>
      </x:c>
      <x:c r="L19" s="1332" t="n">
        <x:f>Annual_Summary!C8</x:f>
        <x:v>15</x:v>
      </x:c>
    </x:row>
    <x:row r="20" ht="36.62109375" hidden="0" customHeight="1">
      <x:c r="A20" s="1328" t="str">
        <x:v>Revenue (base)</x:v>
      </x:c>
      <x:c r="B20" s="1333" t="n">
        <x:f>Annual_Summary!C12</x:f>
        <x:v>246952.79518970184</x:v>
      </x:c>
      <x:c r="C20" s="1333" t="n">
        <x:f>Annual_Summary!D12</x:f>
        <x:v>386487.07002439245</x:v>
      </x:c>
      <x:c r="D20" s="1333" t="n">
        <x:f>Annual_Summary!E12</x:f>
        <x:v>402944.5506688316</x:v>
      </x:c>
      <x:c r="E20" s="1333" t="n">
        <x:f>SUM(B20:D20)</x:f>
        <x:v>1036384.415882926</x:v>
      </x:c>
      <x:c r="F20" s="1330" t="str">
        <x:v>BTC revenue only</x:v>
      </x:c>
      <x:c r="G20" s="1328" t="str">
        <x:v>AMSA solar</x:v>
      </x:c>
      <x:c r="H20" s="1331" t="str">
        <x:v>10MW from month 5</x:v>
      </x:c>
      <x:c r="I20" s="1331" t="str">
        <x:v>Reduces blended energy cost materially</x:v>
      </x:c>
      <x:c r="J20" s="1330" t="str">
        <x:v>Inputs / Deployment_36M</x:v>
      </x:c>
      <x:c r="K20" s="1328" t="str">
        <x:v>Year-end AMSA</x:v>
      </x:c>
      <x:c r="L20" s="1332" t="n">
        <x:f>Annual_Summary!C9</x:f>
        <x:v>5</x:v>
      </x:c>
    </x:row>
    <x:row r="21" ht="36.62109375" hidden="0" customHeight="1">
      <x:c r="A21" s="1328" t="str">
        <x:v>Cash opex</x:v>
      </x:c>
      <x:c r="B21" s="1333" t="n">
        <x:f>Annual_Summary!C14</x:f>
        <x:v>111101.93</x:v>
      </x:c>
      <x:c r="C21" s="1333" t="n">
        <x:f>Annual_Summary!D14</x:f>
        <x:v>153734.62999999998</x:v>
      </x:c>
      <x:c r="D21" s="1333" t="n">
        <x:f>Annual_Summary!E14</x:f>
        <x:v>147482.05849999998</x:v>
      </x:c>
      <x:c r="E21" s="1333" t="n">
        <x:f>SUM(B21:D21)</x:f>
        <x:v>412318.6184999999</x:v>
      </x:c>
      <x:c r="F21" s="1330" t="str">
        <x:v>Cash operating cost</x:v>
      </x:c>
      <x:c r="G21" s="1328" t="str">
        <x:v>Revenue stack</x:v>
      </x:c>
      <x:c r="H21" s="1331" t="str">
        <x:v>BTC base; DR + hyperscaler optional</x:v>
      </x:c>
      <x:c r="I21" s="1331" t="str">
        <x:v>Keeps base case conservative for investors/lenders</x:v>
      </x:c>
      <x:c r="J21" s="1330" t="str">
        <x:v>Revenue_36M toggles</x:v>
      </x:c>
      <x:c r="K21" s="1328" t="str">
        <x:v>Year-end AMSA solar</x:v>
      </x:c>
      <x:c r="L21" s="1332" t="n">
        <x:f>Annual_Summary!C10</x:f>
        <x:v>10</x:v>
      </x:c>
    </x:row>
    <x:row r="22" ht="36.62109375" hidden="0" customHeight="1">
      <x:c r="A22" s="1328" t="str">
        <x:v>EBITDA (base)</x:v>
      </x:c>
      <x:c r="B22" s="1333" t="n">
        <x:f>Annual_Summary!C15</x:f>
        <x:v>135850.8651897018</x:v>
      </x:c>
      <x:c r="C22" s="1333" t="n">
        <x:f>Annual_Summary!D15</x:f>
        <x:v>232752.44002439245</x:v>
      </x:c>
      <x:c r="D22" s="1333" t="n">
        <x:f>Annual_Summary!E15</x:f>
        <x:v>255462.49216883164</x:v>
      </x:c>
      <x:c r="E22" s="1333" t="n">
        <x:f>SUM(B22:D22)</x:f>
        <x:v>624065.7973829259</x:v>
      </x:c>
      <x:c r="F22" s="1330" t="str">
        <x:v>Revenue less opex</x:v>
      </x:c>
      <x:c r="G22" s="1328" t="str">
        <x:v>Funding stack</x:v>
      </x:c>
      <x:c r="H22" s="1331" t="str">
        <x:v>100% equity default</x:v>
      </x:c>
      <x:c r="I22" s="1331" t="str">
        <x:v>Aligns with current Phase 1 raise framing</x:v>
      </x:c>
      <x:c r="J22" s="1330" t="str">
        <x:v>Inputs / Funding_36M</x:v>
      </x:c>
      <x:c r="K22" s="1328" t="str">
        <x:v>Peak funding</x:v>
      </x:c>
      <x:c r="L22" s="1334" t="n">
        <x:f>Annual_Summary!C25</x:f>
        <x:v>470888.2514298901</x:v>
      </x:c>
    </x:row>
    <x:row r="23" ht="36.62109375" hidden="0" customHeight="1">
      <x:c r="A23" s="1328" t="str">
        <x:v>Capex spend</x:v>
      </x:c>
      <x:c r="B23" s="1333" t="n">
        <x:f>Annual_Summary!C17</x:f>
        <x:v>505405.63171680004</x:v>
      </x:c>
      <x:c r="C23" s="1333" t="n">
        <x:f>Annual_Summary!D17</x:f>
        <x:v>0</x:v>
      </x:c>
      <x:c r="D23" s="1333" t="n">
        <x:f>Annual_Summary!E17</x:f>
        <x:v>0</x:v>
      </x:c>
      <x:c r="E23" s="1333" t="n">
        <x:f>SUM(B23:D23)</x:f>
        <x:v>505405.63171680004</x:v>
      </x:c>
      <x:c r="F23" s="1330" t="str">
        <x:v>Cash capital deployed</x:v>
      </x:c>
      <x:c r="G23" s="1328" t="str">
        <x:v>Operating model</x:v>
      </x:c>
      <x:c r="H23" s="1331" t="str">
        <x:v>98% uptime; 22h GVL; 12h + 9h AMSA</x:v>
      </x:c>
      <x:c r="I23" s="1331" t="str">
        <x:v>Separates uptime from site operating windows</x:v>
      </x:c>
      <x:c r="J23" s="1330" t="str">
        <x:v>Inputs</x:v>
      </x:c>
      <x:c r="K23" s="1328" t="str">
        <x:v>Total equity</x:v>
      </x:c>
      <x:c r="L23" s="1334" t="n">
        <x:f>Annual_Summary!C26</x:f>
        <x:v>470888.2514298901</x:v>
      </x:c>
    </x:row>
    <x:row r="24" ht="36.62109375" hidden="0" customHeight="1">
      <x:c r="A24" s="1335" t="str">
        <x:v>Unlevered cash flow</x:v>
      </x:c>
      <x:c r="B24" s="1336" t="n">
        <x:f>Annual_Summary!C18</x:f>
        <x:v>-369554.7665270982</x:v>
      </x:c>
      <x:c r="C24" s="1336" t="n">
        <x:f>Annual_Summary!D18</x:f>
        <x:v>232752.44002439245</x:v>
      </x:c>
      <x:c r="D24" s="1336" t="n">
        <x:f>Annual_Summary!E18</x:f>
        <x:v>255462.49216883164</x:v>
      </x:c>
      <x:c r="E24" s="1336" t="n">
        <x:f>SUM(B24:D24)</x:f>
        <x:v>118660.16566612589</x:v>
      </x:c>
      <x:c r="F24" s="1337" t="str">
        <x:v>Base-case free cash flow before funding</x:v>
      </x:c>
      <x:c r="G24" s="1328" t="str">
        <x:v>Investor use</x:v>
      </x:c>
      <x:c r="H24" s="1331" t="str">
        <x:v>Use Dashboard + Annual_Summary only</x:v>
      </x:c>
      <x:c r="I24" s="1331" t="str">
        <x:v>Detailed monthly tabs remain internal</x:v>
      </x:c>
      <x:c r="J24" s="1330" t="str">
        <x:v>Sources_Notes</x:v>
      </x:c>
      <x:c r="K24" s="1328" t="str">
        <x:v>Y3 EBITDA</x:v>
      </x:c>
      <x:c r="L24" s="1334" t="n">
        <x:f>Annual_Summary!E15</x:f>
        <x:v>255462.49216883164</x:v>
      </x:c>
    </x:row>
    <x:row r="25" ht="36.62109375" hidden="0" customHeight="1">
      <x:c r="A25" s="1331"/>
      <x:c r="B25" s="1331"/>
      <x:c r="C25" s="1331"/>
      <x:c r="D25" s="1331"/>
      <x:c r="E25" s="1331"/>
      <x:c r="F25" s="1331"/>
      <x:c r="G25" s="1335" t="str">
        <x:v>Editable choice</x:v>
      </x:c>
      <x:c r="H25" s="1338" t="str">
        <x:v>Still easy to switch to a 10 / 10 split</x:v>
      </x:c>
      <x:c r="I25" s="1338" t="str">
        <x:v>Scenario flexibility without breaking formulas</x:v>
      </x:c>
      <x:c r="J25" s="1337" t="str">
        <x:v>Inputs / Deployment_36M</x:v>
      </x:c>
      <x:c r="K25" s="1335" t="str">
        <x:v>Implied payback</x:v>
      </x:c>
      <x:c r="L25" s="1339" t="n">
        <x:f>IF(Annual_Summary!E15=0,"",SUM(Annual_Summary!C17:E17)/Annual_Summary!E15)</x:f>
        <x:v>1.9783946654007605</x:v>
      </x:c>
    </x:row>
    <x:row r="26" ht="15" hidden="0" customHeight="1">
      <x:c r="A26" s="1331"/>
      <x:c r="B26" s="1331"/>
      <x:c r="C26" s="1331"/>
      <x:c r="D26" s="1331"/>
      <x:c r="E26" s="1331"/>
      <x:c r="F26" s="1331"/>
      <x:c r="G26" s="1331"/>
      <x:c r="H26" s="1331"/>
      <x:c r="I26" s="1331"/>
      <x:c r="J26" s="1331"/>
      <x:c r="K26" s="1331"/>
      <x:c r="L26" s="1331"/>
    </x:row>
    <x:row r="27" ht="24.4140625" hidden="0" customHeight="1">
      <x:c r="A27" s="1340" t="str">
        <x:v>Base-case assumptions</x:v>
      </x:c>
      <x:c r="B27" s="1341"/>
      <x:c r="C27" s="1341"/>
      <x:c r="D27" s="1341"/>
      <x:c r="E27" s="1341"/>
      <x:c r="F27" s="1342"/>
      <x:c r="G27" s="1340" t="str">
        <x:v>Model framing and cautions</x:v>
      </x:c>
      <x:c r="H27" s="1341"/>
      <x:c r="I27" s="1341"/>
      <x:c r="J27" s="1341"/>
      <x:c r="K27" s="1341"/>
      <x:c r="L27" s="1342"/>
    </x:row>
    <x:row r="28" ht="317.3828125" hidden="0" customHeight="1">
      <x:c r="A28" s="1325" t="str">
        <x:v>Driver</x:v>
      </x:c>
      <x:c r="B28" s="1326" t="str">
        <x:v>Value</x:v>
      </x:c>
      <x:c r="C28" s="1326" t="str">
        <x:v>Unit</x:v>
      </x:c>
      <x:c r="D28" s="1326" t="str">
        <x:v>Where to edit</x:v>
      </x:c>
      <x:c r="E28" s="1326" t="str">
        <x:v>Model role</x:v>
      </x:c>
      <x:c r="F28" s="1327" t="str">
        <x:v>Comment</x:v>
      </x:c>
      <x:c r="G28" s="1343" t="str">
        <x:v>1) This workbook is intentionally smaller than the detailed master model.
2) Base case excludes demand-response and hyperscaler resale revenue.
3) Debt is off by default to match the current Phase 1 equity raise framing.
4) The latest April 2026 deck uses a 15MW Grootvlei / 5MW AMSA split, but the workbook is editable if management wants a 10 / 10 variant.
5) Use this Dashboard and the Annual_Summary tab in investor conversations; keep the detailed monthly tabs internal.</x:v>
      </x:c>
      <x:c r="H28" s="1344"/>
      <x:c r="I28" s="1344"/>
      <x:c r="J28" s="1344"/>
      <x:c r="K28" s="1344"/>
      <x:c r="L28" s="1345"/>
    </x:row>
    <x:row r="29" ht="24.4140625" hidden="0" customHeight="1">
      <x:c r="A29" s="1328" t="str">
        <x:v>Technical uptime</x:v>
      </x:c>
      <x:c r="B29" s="1346" t="n">
        <x:f>Inputs!C10</x:f>
        <x:v>0.98</x:v>
      </x:c>
      <x:c r="C29" s="1331" t="str">
        <x:v>%</x:v>
      </x:c>
      <x:c r="D29" s="1331" t="str">
        <x:v>Inputs!C10</x:v>
      </x:c>
      <x:c r="E29" s="1331" t="str">
        <x:v>Production conversion</x:v>
      </x:c>
      <x:c r="F29" s="1330" t="str">
        <x:v>User confirmed 98% is realistic.</x:v>
      </x:c>
      <x:c r="G29" s="1347"/>
      <x:c r="H29" s="1348"/>
      <x:c r="I29" s="1348"/>
      <x:c r="J29" s="1348"/>
      <x:c r="K29" s="1348"/>
      <x:c r="L29" s="1349"/>
    </x:row>
    <x:row r="30" ht="36.62109375" hidden="0" customHeight="1">
      <x:c r="A30" s="1328" t="str">
        <x:v>Grootvlei hours/day</x:v>
      </x:c>
      <x:c r="B30" s="1350" t="n">
        <x:f>Inputs!C12</x:f>
        <x:v>22</x:v>
      </x:c>
      <x:c r="C30" s="1331" t="str">
        <x:v>hours</x:v>
      </x:c>
      <x:c r="D30" s="1331" t="str">
        <x:v>Inputs!C12</x:v>
      </x:c>
      <x:c r="E30" s="1331" t="str">
        <x:v>Availability profile</x:v>
      </x:c>
      <x:c r="F30" s="1330" t="str">
        <x:v>User confirmed 22h/day is aligned with current negotiations.</x:v>
      </x:c>
      <x:c r="G30" s="1347"/>
      <x:c r="H30" s="1348"/>
      <x:c r="I30" s="1348"/>
      <x:c r="J30" s="1348"/>
      <x:c r="K30" s="1348"/>
      <x:c r="L30" s="1349"/>
    </x:row>
    <x:row r="31" ht="24.4140625" hidden="0" customHeight="1">
      <x:c r="A31" s="1328" t="str">
        <x:v>AMSA Eskom hours/day</x:v>
      </x:c>
      <x:c r="B31" s="1350" t="n">
        <x:f>Inputs!C13</x:f>
        <x:v>12</x:v>
      </x:c>
      <x:c r="C31" s="1331" t="str">
        <x:v>hours</x:v>
      </x:c>
      <x:c r="D31" s="1331" t="str">
        <x:v>Inputs!C13</x:v>
      </x:c>
      <x:c r="E31" s="1331" t="str">
        <x:v>Grid supply profile</x:v>
      </x:c>
      <x:c r="F31" s="1330" t="str">
        <x:v>Editable.</x:v>
      </x:c>
      <x:c r="G31" s="1347"/>
      <x:c r="H31" s="1348"/>
      <x:c r="I31" s="1348"/>
      <x:c r="J31" s="1348"/>
      <x:c r="K31" s="1348"/>
      <x:c r="L31" s="1349"/>
    </x:row>
    <x:row r="32" ht="24.4140625" hidden="0" customHeight="1">
      <x:c r="A32" s="1328" t="str">
        <x:v>AMSA solar hours/day</x:v>
      </x:c>
      <x:c r="B32" s="1350" t="n">
        <x:f>Inputs!C14</x:f>
        <x:v>9</x:v>
      </x:c>
      <x:c r="C32" s="1331" t="str">
        <x:v>hours</x:v>
      </x:c>
      <x:c r="D32" s="1331" t="str">
        <x:v>Inputs!C14</x:v>
      </x:c>
      <x:c r="E32" s="1331" t="str">
        <x:v>Solar contribution</x:v>
      </x:c>
      <x:c r="F32" s="1330" t="str">
        <x:v>Editable.</x:v>
      </x:c>
      <x:c r="G32" s="1347"/>
      <x:c r="H32" s="1348"/>
      <x:c r="I32" s="1348"/>
      <x:c r="J32" s="1348"/>
      <x:c r="K32" s="1348"/>
      <x:c r="L32" s="1349"/>
    </x:row>
    <x:row r="33" ht="15" hidden="0" customHeight="1">
      <x:c r="A33" s="1328" t="str">
        <x:v>BTC price start</x:v>
      </x:c>
      <x:c r="B33" s="1351" t="n">
        <x:f>Inputs!C21</x:f>
        <x:v>75000</x:v>
      </x:c>
      <x:c r="C33" s="1331" t="str">
        <x:v>USD/BTC</x:v>
      </x:c>
      <x:c r="D33" s="1331" t="str">
        <x:v>Inputs!C21</x:v>
      </x:c>
      <x:c r="E33" s="1331" t="str">
        <x:v>Top-line driver</x:v>
      </x:c>
      <x:c r="F33" s="1330" t="str">
        <x:v>Editable.</x:v>
      </x:c>
      <x:c r="G33" s="1347"/>
      <x:c r="H33" s="1348"/>
      <x:c r="I33" s="1348"/>
      <x:c r="J33" s="1348"/>
      <x:c r="K33" s="1348"/>
      <x:c r="L33" s="1349"/>
    </x:row>
    <x:row r="34" ht="24.4140625" hidden="0" customHeight="1">
      <x:c r="A34" s="1328" t="str">
        <x:v>Network growth p.a.</x:v>
      </x:c>
      <x:c r="B34" s="1346" t="n">
        <x:f>Inputs!C24</x:f>
        <x:v>0.1</x:v>
      </x:c>
      <x:c r="C34" s="1331" t="str">
        <x:v>%</x:v>
      </x:c>
      <x:c r="D34" s="1331" t="str">
        <x:v>Inputs!C24</x:v>
      </x:c>
      <x:c r="E34" s="1331" t="str">
        <x:v>Difficulty sensitivity</x:v>
      </x:c>
      <x:c r="F34" s="1330" t="str">
        <x:v>Editable stress point.</x:v>
      </x:c>
      <x:c r="G34" s="1347"/>
      <x:c r="H34" s="1348"/>
      <x:c r="I34" s="1348"/>
      <x:c r="J34" s="1348"/>
      <x:c r="K34" s="1348"/>
      <x:c r="L34" s="1349"/>
    </x:row>
    <x:row r="35" ht="24.4140625" hidden="0" customHeight="1">
      <x:c r="A35" s="1335" t="str">
        <x:v>Year 1 tariffs (GVL / AMSA)</x:v>
      </x:c>
      <x:c r="B35" s="1352" t="str">
        <x:f>TEXT(Inputs!C29,"0.00")&amp;" / "&amp;TEXT(Inputs!C32,"0.00")</x:f>
        <x:v>1.00 / 0.90</x:v>
      </x:c>
      <x:c r="C35" s="1338" t="str">
        <x:v>R/kWh</x:v>
      </x:c>
      <x:c r="D35" s="1338" t="str">
        <x:v>Inputs tariffs</x:v>
      </x:c>
      <x:c r="E35" s="1338" t="str">
        <x:v>Primary IRR driver</x:v>
      </x:c>
      <x:c r="F35" s="1337" t="str">
        <x:v>Keep conservative in investor discussions.</x:v>
      </x:c>
      <x:c r="G35" s="1353"/>
      <x:c r="H35" s="1354"/>
      <x:c r="I35" s="1354"/>
      <x:c r="J35" s="1354"/>
      <x:c r="K35" s="1354"/>
      <x:c r="L35" s="1355"/>
    </x:row>
  </x:sheetData>
  <x:mergeCells>
    <x:mergeCell ref="A1:L1"/>
    <x:mergeCell ref="A2:L2"/>
    <x:mergeCell ref="A4:L4"/>
    <x:mergeCell ref="A16:F16"/>
    <x:mergeCell ref="G16:L16"/>
    <x:mergeCell ref="A27:F27"/>
    <x:mergeCell ref="G27:L27"/>
    <x:mergeCell ref="A5:C5"/>
    <x:mergeCell ref="A6:C7"/>
    <x:mergeCell ref="D5:F5"/>
    <x:mergeCell ref="D6:F7"/>
    <x:mergeCell ref="G5:I5"/>
    <x:mergeCell ref="G6:I7"/>
    <x:mergeCell ref="J5:L5"/>
    <x:mergeCell ref="J6:L7"/>
    <x:mergeCell ref="A8:C8"/>
    <x:mergeCell ref="A9:C10"/>
    <x:mergeCell ref="D8:F8"/>
    <x:mergeCell ref="D9:F10"/>
    <x:mergeCell ref="G8:I8"/>
    <x:mergeCell ref="G9:I10"/>
    <x:mergeCell ref="J8:L8"/>
    <x:mergeCell ref="J9:L10"/>
    <x:mergeCell ref="A11:C11"/>
    <x:mergeCell ref="A12:C13"/>
    <x:mergeCell ref="D11:F11"/>
    <x:mergeCell ref="D12:F13"/>
    <x:mergeCell ref="G11:I11"/>
    <x:mergeCell ref="G12:I13"/>
    <x:mergeCell ref="J11:L11"/>
    <x:mergeCell ref="J12:L13"/>
    <x:mergeCell ref="G28:L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.13999938964844" hidden="0" customWidth="1"/>
    <x:col min="2" max="2" width="12.859999656677246" hidden="0" customWidth="1"/>
    <x:col min="3" max="3" width="14.289999961853027" hidden="0" customWidth="1"/>
    <x:col min="4" max="4" width="59.290000915527344" hidden="0" customWidth="1"/>
  </x:cols>
  <x:sheetData>
    <x:row r="1" ht="24" customHeight="1">
      <x:c r="A1" s="5" t="str">
        <x:v>BitMach Phase 1 (20MW) | Simplified 36-Month Model</x:v>
      </x:c>
      <x:c r="B1" s="5"/>
      <x:c r="C1" s="5"/>
      <x:c r="D1" s="5"/>
    </x:row>
    <x:row r="2" ht="34" customHeight="1">
      <x:c r="A2" s="13" t="str">
        <x:v>Scaled-down fundraising model for the first 20MW only. Core case is conservative; optionality is visible but off by default.</x:v>
      </x:c>
      <x:c r="B2" s="13"/>
      <x:c r="C2" s="13"/>
      <x:c r="D2" s="13"/>
    </x:row>
    <x:row r="3" ht="20" customHeight="1">
      <x:c r="A3" s="26" t="str">
        <x:v>Driver</x:v>
      </x:c>
      <x:c r="B3" s="27" t="str">
        <x:v>Unit</x:v>
      </x:c>
      <x:c r="C3" s="27" t="str">
        <x:v>Value</x:v>
      </x:c>
      <x:c r="D3" s="28" t="str">
        <x:v>Notes</x:v>
      </x:c>
    </x:row>
    <x:row r="4">
      <x:c r="A4" s="70" t="str">
        <x:v>MODEL ASSUMPTIONS</x:v>
      </x:c>
      <x:c r="B4" s="71" t="str"/>
      <x:c r="C4" s="1143" t="str"/>
      <x:c r="D4" s="69" t="str">
        <x:v>Editable blue cells. Defaults aim to be conservative and bankable.</x:v>
      </x:c>
    </x:row>
    <x:row r="5">
      <x:c r="A5" s="84" t="str">
        <x:v>Model start date</x:v>
      </x:c>
      <x:c r="B5" s="85" t="str">
        <x:v>date</x:v>
      </x:c>
      <x:c r="C5" s="1144" t="n">
        <x:v>46204</x:v>
      </x:c>
      <x:c r="D5" s="88" t="str">
        <x:v>Editable. Relative 36-month model start.</x:v>
      </x:c>
    </x:row>
    <x:row r="6">
      <x:c r="A6" s="84" t="str">
        <x:v>Horizon months</x:v>
      </x:c>
      <x:c r="B6" s="85" t="str">
        <x:v>months</x:v>
      </x:c>
      <x:c r="C6" s="1144" t="n">
        <x:v>36</x:v>
      </x:c>
      <x:c r="D6" s="88" t="str">
        <x:v>Fixed workbook horizon.</x:v>
      </x:c>
    </x:row>
    <x:row r="7">
      <x:c r="A7" s="84" t="str">
        <x:v>Phase 1 total gross MW</x:v>
      </x:c>
      <x:c r="B7" s="85" t="str">
        <x:v>MW</x:v>
      </x:c>
      <x:c r="C7" s="1155" t="n">
        <x:v>20</x:v>
      </x:c>
      <x:c r="D7" s="88" t="str">
        <x:v>Scaled-down Phase 1 only.</x:v>
      </x:c>
    </x:row>
    <x:row r="8">
      <x:c r="A8" s="84" t="str">
        <x:v>Grootvlei target MW</x:v>
      </x:c>
      <x:c r="B8" s="85" t="str">
        <x:v>MW</x:v>
      </x:c>
      <x:c r="C8" s="1155" t="n">
        <x:v>15</x:v>
      </x:c>
      <x:c r="D8" s="88" t="str">
        <x:v>Latest investor deck uses 15MW Grootvlei + 5MW AMSA; change these two cells to 10/10 if management wants the older Nedbank memo framing.</x:v>
      </x:c>
    </x:row>
    <x:row r="9">
      <x:c r="A9" s="84" t="str">
        <x:v>AMSA target MW</x:v>
      </x:c>
      <x:c r="B9" s="85" t="str">
        <x:v>MW</x:v>
      </x:c>
      <x:c r="C9" s="1155" t="n">
        <x:v>5</x:v>
      </x:c>
      <x:c r="D9" s="88" t="str">
        <x:v>Editable site split.</x:v>
      </x:c>
    </x:row>
    <x:row r="10">
      <x:c r="A10" s="84" t="str">
        <x:v>Technical uptime</x:v>
      </x:c>
      <x:c r="B10" s="85" t="str">
        <x:v>%</x:v>
      </x:c>
      <x:c r="C10" s="1151" t="n">
        <x:v>0.98</x:v>
      </x:c>
      <x:c r="D10" s="88" t="str">
        <x:v>User requested 98% as a realistic technical uptime.</x:v>
      </x:c>
    </x:row>
    <x:row r="11">
      <x:c r="A11" s="84" t="str">
        <x:v>Aux load</x:v>
      </x:c>
      <x:c r="B11" s="85" t="str">
        <x:v>%</x:v>
      </x:c>
      <x:c r="C11" s="1144" t="n">
        <x:v>0.05</x:v>
      </x:c>
      <x:c r="D11" s="88" t="str">
        <x:v>Cooling / container auxiliaries.</x:v>
      </x:c>
    </x:row>
    <x:row r="12">
      <x:c r="A12" s="84" t="str">
        <x:v>Grootvlei hours/day</x:v>
      </x:c>
      <x:c r="B12" s="85" t="str">
        <x:v>hours/day</x:v>
      </x:c>
      <x:c r="C12" s="1155" t="n">
        <x:v>22</x:v>
      </x:c>
      <x:c r="D12" s="88" t="str">
        <x:v>User confirmed 22h/day remains consistent with Eskom negotiations.</x:v>
      </x:c>
    </x:row>
    <x:row r="13">
      <x:c r="A13" s="84" t="str">
        <x:v>AMSA Eskom hours/day</x:v>
      </x:c>
      <x:c r="B13" s="85" t="str">
        <x:v>hours/day</x:v>
      </x:c>
      <x:c r="C13" s="1155" t="n">
        <x:v>12</x:v>
      </x:c>
      <x:c r="D13" s="88" t="str">
        <x:v>Grid-supplied runtime leg.</x:v>
      </x:c>
    </x:row>
    <x:row r="14">
      <x:c r="A14" s="84" t="str">
        <x:v>AMSA solar hours/day</x:v>
      </x:c>
      <x:c r="B14" s="85" t="str">
        <x:v>hours/day</x:v>
      </x:c>
      <x:c r="C14" s="1155" t="n">
        <x:v>9</x:v>
      </x:c>
      <x:c r="D14" s="88" t="str">
        <x:v>Solar-supplied runtime leg.</x:v>
      </x:c>
    </x:row>
    <x:row r="15">
      <x:c r="A15" s="84" t="str">
        <x:v>AMSA solar MW in Phase 1</x:v>
      </x:c>
      <x:c r="B15" s="85" t="str">
        <x:v>MW</x:v>
      </x:c>
      <x:c r="C15" s="1144" t="n">
        <x:v>10</x:v>
      </x:c>
      <x:c r="D15" s="88" t="str">
        <x:v>Conservative Year-1 placeholder; keep editable.</x:v>
      </x:c>
    </x:row>
    <x:row r="16">
      <x:c r="A16" s="84" t="str">
        <x:v>Solar COD month</x:v>
      </x:c>
      <x:c r="B16" s="85" t="str">
        <x:v>month#</x:v>
      </x:c>
      <x:c r="C16" s="1144" t="n">
        <x:v>5</x:v>
      </x:c>
      <x:c r="D16" s="88" t="str">
        <x:v>Solar available during ramp-up.</x:v>
      </x:c>
    </x:row>
    <x:row r="17">
      <x:c r="A17" s="84" t="str">
        <x:v>General annual inflation</x:v>
      </x:c>
      <x:c r="B17" s="85" t="str">
        <x:v>%</x:v>
      </x:c>
      <x:c r="C17" s="1144" t="n">
        <x:v>0.05</x:v>
      </x:c>
      <x:c r="D17" s="88" t="str">
        <x:v>Used for non-payroll recurring opex.</x:v>
      </x:c>
    </x:row>
    <x:row r="18">
      <x:c r="A18" s="84" t="str">
        <x:v>Salary annual inflation</x:v>
      </x:c>
      <x:c r="B18" s="85" t="str">
        <x:v>%</x:v>
      </x:c>
      <x:c r="C18" s="1144" t="n">
        <x:v>0.05</x:v>
      </x:c>
      <x:c r="D18" s="88" t="str">
        <x:v>Used for payroll escalation.</x:v>
      </x:c>
    </x:row>
    <x:row r="19">
      <x:c r="A19" s="96" t="str">
        <x:v>BITCOIN / NETWORK</x:v>
      </x:c>
      <x:c r="B19" s="97" t="str"/>
      <x:c r="C19" s="1145" t="str"/>
      <x:c r="D19" s="95" t="str">
        <x:v>Core market assumptions.</x:v>
      </x:c>
    </x:row>
    <x:row r="20">
      <x:c r="A20" s="84" t="str">
        <x:v>FX (ZAR/USD)</x:v>
      </x:c>
      <x:c r="B20" s="85" t="str">
        <x:v>ZAR/USD</x:v>
      </x:c>
      <x:c r="C20" s="1144" t="n">
        <x:v>17</x:v>
      </x:c>
      <x:c r="D20" s="88" t="str">
        <x:v>April 2026 investor materials use R17.00/USD.</x:v>
      </x:c>
    </x:row>
    <x:row r="21">
      <x:c r="A21" s="84" t="str">
        <x:v>BTC price start</x:v>
      </x:c>
      <x:c r="B21" s="85" t="str">
        <x:v>USD/BTC</x:v>
      </x:c>
      <x:c r="C21" s="1144" t="n">
        <x:v>75000</x:v>
      </x:c>
      <x:c r="D21" s="88" t="str">
        <x:v>Editable spot / entry assumption.</x:v>
      </x:c>
    </x:row>
    <x:row r="22">
      <x:c r="A22" s="84" t="str">
        <x:v>BTC annual growth</x:v>
      </x:c>
      <x:c r="B22" s="85" t="str">
        <x:v>%</x:v>
      </x:c>
      <x:c r="C22" s="1151" t="n">
        <x:v>0.15</x:v>
      </x:c>
      <x:c r="D22" s="88" t="str">
        <x:v>Base case market growth.</x:v>
      </x:c>
    </x:row>
    <x:row r="23">
      <x:c r="A23" s="84" t="str">
        <x:v>Network hash start</x:v>
      </x:c>
      <x:c r="B23" s="85" t="str">
        <x:v>TH/s</x:v>
      </x:c>
      <x:c r="C23" s="1144" t="n">
        <x:v>900000000</x:v>
      </x:c>
      <x:c r="D23" s="88" t="str">
        <x:v>Editable.</x:v>
      </x:c>
    </x:row>
    <x:row r="24">
      <x:c r="A24" s="84" t="str">
        <x:v>Network hash annual growth</x:v>
      </x:c>
      <x:c r="B24" s="85" t="str">
        <x:v>%</x:v>
      </x:c>
      <x:c r="C24" s="1151" t="n">
        <x:v>0.1</x:v>
      </x:c>
      <x:c r="D24" s="88" t="str">
        <x:v>Base case difficulty / network growth.</x:v>
      </x:c>
    </x:row>
    <x:row r="25">
      <x:c r="A25" s="84" t="str">
        <x:v>Blocks per day</x:v>
      </x:c>
      <x:c r="B25" s="85" t="str">
        <x:v>blocks/day</x:v>
      </x:c>
      <x:c r="C25" s="1144" t="n">
        <x:v>144</x:v>
      </x:c>
      <x:c r="D25" s="88" t="str">
        <x:v>Protocol input.</x:v>
      </x:c>
    </x:row>
    <x:row r="26">
      <x:c r="A26" s="84" t="str">
        <x:v>Block subsidy</x:v>
      </x:c>
      <x:c r="B26" s="85" t="str">
        <x:v>BTC/block</x:v>
      </x:c>
      <x:c r="C26" s="1144" t="n">
        <x:v>3.125</x:v>
      </x:c>
      <x:c r="D26" s="88" t="str">
        <x:v>Protocol input.</x:v>
      </x:c>
    </x:row>
    <x:row r="27">
      <x:c r="A27" s="84" t="str">
        <x:v>Fee factor on subsidy</x:v>
      </x:c>
      <x:c r="B27" s="85" t="str">
        <x:v>%</x:v>
      </x:c>
      <x:c r="C27" s="1144" t="n">
        <x:v>0.15</x:v>
      </x:c>
      <x:c r="D27" s="88" t="str">
        <x:v>Pool fee / transaction fee uplift.</x:v>
      </x:c>
    </x:row>
    <x:row r="28">
      <x:c r="A28" s="96" t="str">
        <x:v>SITE PRICING</x:v>
      </x:c>
      <x:c r="B28" s="97" t="str"/>
      <x:c r="C28" s="1145" t="str"/>
      <x:c r="D28" s="95" t="str">
        <x:v>Explicit yearly tariffs rather than a hidden blend.</x:v>
      </x:c>
    </x:row>
    <x:row r="29">
      <x:c r="A29" s="84" t="str">
        <x:v>Grootvlei tariff - Year 1</x:v>
      </x:c>
      <x:c r="B29" s="85" t="str">
        <x:v>R/kWh</x:v>
      </x:c>
      <x:c r="C29" s="1157" t="n">
        <x:v>1</x:v>
      </x:c>
      <x:c r="D29" s="88" t="str">
        <x:v>Proof-phase conservative tariff.</x:v>
      </x:c>
    </x:row>
    <x:row r="30">
      <x:c r="A30" s="84" t="str">
        <x:v>Grootvlei tariff - Year 2</x:v>
      </x:c>
      <x:c r="B30" s="85" t="str">
        <x:v>R/kWh</x:v>
      </x:c>
      <x:c r="C30" s="1157" t="n">
        <x:v>0.95</x:v>
      </x:c>
      <x:c r="D30" s="88" t="str">
        <x:v>Partial improvement after proof of flexibility.</x:v>
      </x:c>
    </x:row>
    <x:row r="31">
      <x:c r="A31" s="84" t="str">
        <x:v>Grootvlei tariff - Year 3</x:v>
      </x:c>
      <x:c r="B31" s="85" t="str">
        <x:v>R/kWh</x:v>
      </x:c>
      <x:c r="C31" s="1157" t="n">
        <x:v>0.9</x:v>
      </x:c>
      <x:c r="D31" s="88" t="str">
        <x:v>Future-state improvement placeholder; editable.</x:v>
      </x:c>
    </x:row>
    <x:row r="32">
      <x:c r="A32" s="84" t="str">
        <x:v>AMSA Eskom tariff - Year 1</x:v>
      </x:c>
      <x:c r="B32" s="85" t="str">
        <x:v>R/kWh</x:v>
      </x:c>
      <x:c r="C32" s="1157" t="n">
        <x:v>0.9</x:v>
      </x:c>
      <x:c r="D32" s="88" t="str">
        <x:v>AMSA grid leg.</x:v>
      </x:c>
    </x:row>
    <x:row r="33">
      <x:c r="A33" s="84" t="str">
        <x:v>AMSA Eskom tariff - Year 2</x:v>
      </x:c>
      <x:c r="B33" s="85" t="str">
        <x:v>R/kWh</x:v>
      </x:c>
      <x:c r="C33" s="1157" t="n">
        <x:v>0.85</x:v>
      </x:c>
      <x:c r="D33" s="88" t="str">
        <x:v>AMSA grid leg.</x:v>
      </x:c>
    </x:row>
    <x:row r="34">
      <x:c r="A34" s="84" t="str">
        <x:v>AMSA Eskom tariff - Year 3</x:v>
      </x:c>
      <x:c r="B34" s="85" t="str">
        <x:v>R/kWh</x:v>
      </x:c>
      <x:c r="C34" s="1157" t="n">
        <x:v>0.8</x:v>
      </x:c>
      <x:c r="D34" s="88" t="str">
        <x:v>AMSA grid leg.</x:v>
      </x:c>
    </x:row>
    <x:row r="35">
      <x:c r="A35" s="84" t="str">
        <x:v>Solar capex</x:v>
      </x:c>
      <x:c r="B35" s="85" t="str">
        <x:v>ZAR'000/MW</x:v>
      </x:c>
      <x:c r="C35" s="1144" t="n">
        <x:v>7000</x:v>
      </x:c>
      <x:c r="D35" s="88" t="str">
        <x:v>Conservative placeholder.</x:v>
      </x:c>
    </x:row>
    <x:row r="36">
      <x:c r="A36" s="84" t="str">
        <x:v>Solar O&amp;M</x:v>
      </x:c>
      <x:c r="B36" s="85" t="str">
        <x:v>% p.a.</x:v>
      </x:c>
      <x:c r="C36" s="1144" t="n">
        <x:v>0.02</x:v>
      </x:c>
      <x:c r="D36" s="88" t="str">
        <x:v>Annual O&amp;M as % of solar capex.</x:v>
      </x:c>
    </x:row>
    <x:row r="37">
      <x:c r="A37" s="96" t="str">
        <x:v>HARDWARE</x:v>
      </x:c>
      <x:c r="B37" s="97" t="str"/>
      <x:c r="C37" s="1145" t="str"/>
      <x:c r="D37" s="95" t="str">
        <x:v>Default set to the internally consistent working basis currently used in the detailed master model; editable if Bitmain terms are finalized.</x:v>
      </x:c>
    </x:row>
    <x:row r="38">
      <x:c r="A38" s="84" t="str">
        <x:v>Miner hashrate</x:v>
      </x:c>
      <x:c r="B38" s="85" t="str">
        <x:v>TH/miner</x:v>
      </x:c>
      <x:c r="C38" s="1155" t="n">
        <x:v>700</x:v>
      </x:c>
      <x:c r="D38" s="88" t="str">
        <x:v>Editable. Current working base.</x:v>
      </x:c>
    </x:row>
    <x:row r="39">
      <x:c r="A39" s="84" t="str">
        <x:v>Miner efficiency</x:v>
      </x:c>
      <x:c r="B39" s="85" t="str">
        <x:v>J/T</x:v>
      </x:c>
      <x:c r="C39" s="1155" t="n">
        <x:v>12.5</x:v>
      </x:c>
      <x:c r="D39" s="88" t="str">
        <x:v>Editable. Current working base.</x:v>
      </x:c>
    </x:row>
    <x:row r="40">
      <x:c r="A40" s="84" t="str">
        <x:v>Miner power</x:v>
      </x:c>
      <x:c r="B40" s="85" t="str">
        <x:v>W/miner</x:v>
      </x:c>
      <x:c r="C40" s="1146" t="n">
        <x:f>C38*C39</x:f>
        <x:v>8750</x:v>
      </x:c>
      <x:c r="D40" s="88" t="str">
        <x:v>Formula = hashrate x J/T.</x:v>
      </x:c>
    </x:row>
    <x:row r="41">
      <x:c r="A41" s="84" t="str">
        <x:v>Miner price</x:v>
      </x:c>
      <x:c r="B41" s="85" t="str">
        <x:v>USD/miner</x:v>
      </x:c>
      <x:c r="C41" s="1144" t="n">
        <x:v>5915</x:v>
      </x:c>
      <x:c r="D41" s="88" t="str">
        <x:v>Editable hardware pricing.</x:v>
      </x:c>
    </x:row>
    <x:row r="42">
      <x:c r="A42" s="84" t="str">
        <x:v>Miner useful life</x:v>
      </x:c>
      <x:c r="B42" s="85" t="str">
        <x:v>years</x:v>
      </x:c>
      <x:c r="C42" s="1144" t="n">
        <x:v>4</x:v>
      </x:c>
      <x:c r="D42" s="88" t="str">
        <x:v>For replacement reserve framing only.</x:v>
      </x:c>
    </x:row>
    <x:row r="43">
      <x:c r="A43" s="84" t="str">
        <x:v>Miner slots per container</x:v>
      </x:c>
      <x:c r="B43" s="85" t="str">
        <x:v>miners/container</x:v>
      </x:c>
      <x:c r="C43" s="1153" t="n">
        <x:v>240</x:v>
      </x:c>
      <x:c r="D43" s="88" t="str">
        <x:v>Working hydro container basis.</x:v>
      </x:c>
    </x:row>
    <x:row r="44">
      <x:c r="A44" s="84" t="str">
        <x:v>Hydro container cost</x:v>
      </x:c>
      <x:c r="B44" s="85" t="str">
        <x:v>USD/container</x:v>
      </x:c>
      <x:c r="C44" s="1144" t="n">
        <x:v>350000</x:v>
      </x:c>
      <x:c r="D44" s="88" t="str">
        <x:v>Editable placeholder.</x:v>
      </x:c>
    </x:row>
    <x:row r="45">
      <x:c r="A45" s="84" t="str">
        <x:v>Container gross MW</x:v>
      </x:c>
      <x:c r="B45" s="85" t="str">
        <x:v>MW/container</x:v>
      </x:c>
      <x:c r="C45" s="1146" t="n">
        <x:f>(C43*C40/1000000)/(1-C11)</x:f>
        <x:v>2.210526315789474</x:v>
      </x:c>
      <x:c r="D45" s="88" t="str">
        <x:v>Formula from miner power, slot count and aux load.</x:v>
      </x:c>
    </x:row>
    <x:row r="46">
      <x:c r="A46" s="96" t="str">
        <x:v>CAPEX BASIS</x:v>
      </x:c>
      <x:c r="B46" s="97" t="str"/>
      <x:c r="C46" s="1145" t="str"/>
      <x:c r="D46" s="95" t="str">
        <x:v>Fixed + variable capex and deployment logistics.</x:v>
      </x:c>
    </x:row>
    <x:row r="47">
      <x:c r="A47" s="84" t="str">
        <x:v>Electrical site fixed capex</x:v>
      </x:c>
      <x:c r="B47" s="85" t="str">
        <x:v>ZAR'000/site</x:v>
      </x:c>
      <x:c r="C47" s="1144" t="n">
        <x:v>25375.758343</x:v>
      </x:c>
      <x:c r="D47" s="88" t="str">
        <x:v>Derived from the detailed EPC quote normalization in the master model.</x:v>
      </x:c>
    </x:row>
    <x:row r="48">
      <x:c r="A48" s="84" t="str">
        <x:v>Electrical variable capex</x:v>
      </x:c>
      <x:c r="B48" s="85" t="str">
        <x:v>ZAR'000/MW</x:v>
      </x:c>
      <x:c r="C48" s="1144" t="n">
        <x:v>3806.36375154</x:v>
      </x:c>
      <x:c r="D48" s="88" t="str">
        <x:v>Derived from the detailed EPC quote normalization in the master model.</x:v>
      </x:c>
    </x:row>
    <x:row r="49">
      <x:c r="A49" s="84" t="str">
        <x:v>Initial spare parts</x:v>
      </x:c>
      <x:c r="B49" s="85" t="str">
        <x:v>% of hardware+containers</x:v>
      </x:c>
      <x:c r="C49" s="1144" t="n">
        <x:v>0.02</x:v>
      </x:c>
      <x:c r="D49" s="88" t="str">
        <x:v>One-off initial spares.</x:v>
      </x:c>
    </x:row>
    <x:row r="50">
      <x:c r="A50" s="84" t="str">
        <x:v>Tools &amp; equipment initial</x:v>
      </x:c>
      <x:c r="B50" s="85" t="str">
        <x:v>ZAR'000/site</x:v>
      </x:c>
      <x:c r="C50" s="1144" t="n">
        <x:v>750</x:v>
      </x:c>
      <x:c r="D50" s="88" t="str">
        <x:v>One-off tools/accessories.</x:v>
      </x:c>
    </x:row>
    <x:row r="51">
      <x:c r="A51" s="84" t="str">
        <x:v>Office setup / deposits</x:v>
      </x:c>
      <x:c r="B51" s="85" t="str">
        <x:v>ZAR'000</x:v>
      </x:c>
      <x:c r="C51" s="1144" t="n">
        <x:v>350</x:v>
      </x:c>
      <x:c r="D51" s="88" t="str">
        <x:v>One-off corporate setup.</x:v>
      </x:c>
    </x:row>
    <x:row r="52">
      <x:c r="A52" s="84" t="str">
        <x:v>Software / SCADA setup</x:v>
      </x:c>
      <x:c r="B52" s="85" t="str">
        <x:v>ZAR'000</x:v>
      </x:c>
      <x:c r="C52" s="1144" t="n">
        <x:v>1500</x:v>
      </x:c>
      <x:c r="D52" s="88" t="str">
        <x:v>One-off systems setup.</x:v>
      </x:c>
    </x:row>
    <x:row r="53">
      <x:c r="A53" s="84" t="str">
        <x:v>Legal setup total</x:v>
      </x:c>
      <x:c r="B53" s="85" t="str">
        <x:v>ZAR'000</x:v>
      </x:c>
      <x:c r="C53" s="1144" t="n">
        <x:v>600</x:v>
      </x:c>
      <x:c r="D53" s="88" t="str">
        <x:v>One-off documentation / structuring.</x:v>
      </x:c>
    </x:row>
    <x:row r="54">
      <x:c r="A54" s="84" t="str">
        <x:v>Ocean freight</x:v>
      </x:c>
      <x:c r="B54" s="85" t="str">
        <x:v>USD/container</x:v>
      </x:c>
      <x:c r="C54" s="1144" t="n">
        <x:v>8000</x:v>
      </x:c>
      <x:c r="D54" s="88" t="str">
        <x:v>Editable logistics placeholder.</x:v>
      </x:c>
    </x:row>
    <x:row r="55">
      <x:c r="A55" s="84" t="str">
        <x:v>Port / clearing</x:v>
      </x:c>
      <x:c r="B55" s="85" t="str">
        <x:v>ZAR'000/container</x:v>
      </x:c>
      <x:c r="C55" s="1144" t="n">
        <x:v>150</x:v>
      </x:c>
      <x:c r="D55" s="88" t="str">
        <x:v>Editable logistics placeholder.</x:v>
      </x:c>
    </x:row>
    <x:row r="56">
      <x:c r="A56" s="84" t="str">
        <x:v>Inland trucking</x:v>
      </x:c>
      <x:c r="B56" s="85" t="str">
        <x:v>ZAR'000/container</x:v>
      </x:c>
      <x:c r="C56" s="1144" t="n">
        <x:v>70</x:v>
      </x:c>
      <x:c r="D56" s="88" t="str">
        <x:v>Editable logistics placeholder.</x:v>
      </x:c>
    </x:row>
    <x:row r="57">
      <x:c r="A57" s="84" t="str">
        <x:v>Crane / rigging</x:v>
      </x:c>
      <x:c r="B57" s="85" t="str">
        <x:v>ZAR'000/container</x:v>
      </x:c>
      <x:c r="C57" s="1144" t="n">
        <x:v>50</x:v>
      </x:c>
      <x:c r="D57" s="88" t="str">
        <x:v>Editable logistics placeholder.</x:v>
      </x:c>
    </x:row>
    <x:row r="58">
      <x:c r="A58" s="84" t="str">
        <x:v>Cargo insurance</x:v>
      </x:c>
      <x:c r="B58" s="85" t="str">
        <x:v>% of hardware+containers</x:v>
      </x:c>
      <x:c r="C58" s="1144" t="n">
        <x:v>0.01</x:v>
      </x:c>
      <x:c r="D58" s="88" t="str">
        <x:v>Editable logistics assumption.</x:v>
      </x:c>
    </x:row>
    <x:row r="59">
      <x:c r="A59" s="84" t="str">
        <x:v>Import duty</x:v>
      </x:c>
      <x:c r="B59" s="85" t="str">
        <x:v>% of hardware+containers</x:v>
      </x:c>
      <x:c r="C59" s="1144" t="n">
        <x:v>0.05</x:v>
      </x:c>
      <x:c r="D59" s="88" t="str">
        <x:v>Editable duty assumption.</x:v>
      </x:c>
    </x:row>
    <x:row r="60">
      <x:c r="A60" s="96" t="str">
        <x:v>PEOPLE / OPEX</x:v>
      </x:c>
      <x:c r="B60" s="97" t="str"/>
      <x:c r="C60" s="1145" t="str"/>
      <x:c r="D60" s="95" t="str">
        <x:v>Recurring people and overhead assumptions.</x:v>
      </x:c>
    </x:row>
    <x:row r="61">
      <x:c r="A61" s="84" t="str">
        <x:v>Staff hardware setup</x:v>
      </x:c>
      <x:c r="B61" s="85" t="str">
        <x:v>ZAR'000/FTE</x:v>
      </x:c>
      <x:c r="C61" s="1144" t="n">
        <x:v>35</x:v>
      </x:c>
      <x:c r="D61" s="88" t="str">
        <x:v>Laptop / phone / PPE provisioning.</x:v>
      </x:c>
    </x:row>
    <x:row r="62">
      <x:c r="A62" s="84" t="str">
        <x:v>Fixed corporate FTE</x:v>
      </x:c>
      <x:c r="B62" s="85" t="str">
        <x:v>FTE</x:v>
      </x:c>
      <x:c r="C62" s="1153" t="n">
        <x:v>4</x:v>
      </x:c>
      <x:c r="D62" s="88" t="str">
        <x:v>Corporate team for Phase 1.</x:v>
      </x:c>
    </x:row>
    <x:row r="63">
      <x:c r="A63" s="84" t="str">
        <x:v>Corporate salary</x:v>
      </x:c>
      <x:c r="B63" s="85" t="str">
        <x:v>ZAR'000/FTE/yr</x:v>
      </x:c>
      <x:c r="C63" s="1144" t="n">
        <x:v>1000</x:v>
      </x:c>
      <x:c r="D63" s="88" t="str">
        <x:v>Fully loaded CTC.</x:v>
      </x:c>
    </x:row>
    <x:row r="64">
      <x:c r="A64" s="84" t="str">
        <x:v>Site management FTE/site</x:v>
      </x:c>
      <x:c r="B64" s="85" t="str">
        <x:v>FTE/site</x:v>
      </x:c>
      <x:c r="C64" s="1144" t="n">
        <x:v>2</x:v>
      </x:c>
      <x:c r="D64" s="88" t="str">
        <x:v>Manager + supervisor.</x:v>
      </x:c>
    </x:row>
    <x:row r="65">
      <x:c r="A65" s="84" t="str">
        <x:v>Site management salary</x:v>
      </x:c>
      <x:c r="B65" s="85" t="str">
        <x:v>ZAR'000/FTE/yr</x:v>
      </x:c>
      <x:c r="C65" s="1144" t="n">
        <x:v>700</x:v>
      </x:c>
      <x:c r="D65" s="88" t="str">
        <x:v>Fully loaded CTC.</x:v>
      </x:c>
    </x:row>
    <x:row r="66">
      <x:c r="A66" s="84" t="str">
        <x:v>Technicians FTE/MW</x:v>
      </x:c>
      <x:c r="B66" s="85" t="str">
        <x:v>FTE/MW</x:v>
      </x:c>
      <x:c r="C66" s="1144" t="n">
        <x:v>0.35</x:v>
      </x:c>
      <x:c r="D66" s="88" t="str">
        <x:v>Hydro site technician intensity.</x:v>
      </x:c>
    </x:row>
    <x:row r="67">
      <x:c r="A67" s="84" t="str">
        <x:v>Technician salary</x:v>
      </x:c>
      <x:c r="B67" s="85" t="str">
        <x:v>ZAR'000/FTE/yr</x:v>
      </x:c>
      <x:c r="C67" s="1144" t="n">
        <x:v>350</x:v>
      </x:c>
      <x:c r="D67" s="88" t="str">
        <x:v>Fully loaded CTC.</x:v>
      </x:c>
    </x:row>
    <x:row r="68">
      <x:c r="A68" s="84" t="str">
        <x:v>Electricians FTE/MW</x:v>
      </x:c>
      <x:c r="B68" s="85" t="str">
        <x:v>FTE/MW</x:v>
      </x:c>
      <x:c r="C68" s="1144" t="n">
        <x:v>0.08</x:v>
      </x:c>
      <x:c r="D68" s="88" t="str">
        <x:v>Electricians per MW.</x:v>
      </x:c>
    </x:row>
    <x:row r="69">
      <x:c r="A69" s="84" t="str">
        <x:v>Electrician salary</x:v>
      </x:c>
      <x:c r="B69" s="85" t="str">
        <x:v>ZAR'000/FTE/yr</x:v>
      </x:c>
      <x:c r="C69" s="1144" t="n">
        <x:v>450</x:v>
      </x:c>
      <x:c r="D69" s="88" t="str">
        <x:v>Fully loaded CTC.</x:v>
      </x:c>
    </x:row>
    <x:row r="70">
      <x:c r="A70" s="84" t="str">
        <x:v>Benefits load</x:v>
      </x:c>
      <x:c r="B70" s="85" t="str">
        <x:v>%</x:v>
      </x:c>
      <x:c r="C70" s="1144" t="n">
        <x:v>0.2</x:v>
      </x:c>
      <x:c r="D70" s="88" t="str">
        <x:v>Benefits / payroll load.</x:v>
      </x:c>
    </x:row>
    <x:row r="71">
      <x:c r="A71" s="84" t="str">
        <x:v>Travel &amp; accommodation</x:v>
      </x:c>
      <x:c r="B71" s="85" t="str">
        <x:v>% of gross payroll</x:v>
      </x:c>
      <x:c r="C71" s="1144" t="n">
        <x:v>0.06</x:v>
      </x:c>
      <x:c r="D71" s="88" t="str">
        <x:v>Recurring travel as % of payroll.</x:v>
      </x:c>
    </x:row>
    <x:row r="72">
      <x:c r="A72" s="84" t="str">
        <x:v>Site mobilization travel</x:v>
      </x:c>
      <x:c r="B72" s="85" t="str">
        <x:v>ZAR'000/site start</x:v>
      </x:c>
      <x:c r="C72" s="1144" t="n">
        <x:v>250</x:v>
      </x:c>
      <x:c r="D72" s="88" t="str">
        <x:v>One-off mobilization / commissioning travel.</x:v>
      </x:c>
    </x:row>
    <x:row r="73">
      <x:c r="A73" s="84" t="str">
        <x:v>SaaS per FTE / month</x:v>
      </x:c>
      <x:c r="B73" s="85" t="str">
        <x:v>ZAR'000/FTE/mo</x:v>
      </x:c>
      <x:c r="C73" s="1144" t="n">
        <x:v>3.5</x:v>
      </x:c>
      <x:c r="D73" s="88" t="str">
        <x:v>Email, PM, security tools.</x:v>
      </x:c>
    </x:row>
    <x:row r="74">
      <x:c r="A74" s="84" t="str">
        <x:v>Site software / monitoring</x:v>
      </x:c>
      <x:c r="B74" s="85" t="str">
        <x:v>ZAR'000/site/mo</x:v>
      </x:c>
      <x:c r="C74" s="1144" t="n">
        <x:v>40</x:v>
      </x:c>
      <x:c r="D74" s="88" t="str">
        <x:v>SCADA, monitoring, connectivity support.</x:v>
      </x:c>
    </x:row>
    <x:row r="75">
      <x:c r="A75" s="84" t="str">
        <x:v>File storage / cloud</x:v>
      </x:c>
      <x:c r="B75" s="85" t="str">
        <x:v>ZAR'000/mo</x:v>
      </x:c>
      <x:c r="C75" s="1144" t="n">
        <x:v>4</x:v>
      </x:c>
      <x:c r="D75" s="88" t="str">
        <x:v>Recurring file storage/cloud.</x:v>
      </x:c>
    </x:row>
    <x:row r="76">
      <x:c r="A76" s="84" t="str">
        <x:v>Legal retainer</x:v>
      </x:c>
      <x:c r="B76" s="85" t="str">
        <x:v>ZAR'000/mo</x:v>
      </x:c>
      <x:c r="C76" s="1144" t="n">
        <x:v>75</x:v>
      </x:c>
      <x:c r="D76" s="88" t="str">
        <x:v>Ongoing legal support.</x:v>
      </x:c>
    </x:row>
    <x:row r="77">
      <x:c r="A77" s="84" t="str">
        <x:v>Office rent</x:v>
      </x:c>
      <x:c r="B77" s="85" t="str">
        <x:v>ZAR'000/mo</x:v>
      </x:c>
      <x:c r="C77" s="1144" t="n">
        <x:v>10</x:v>
      </x:c>
      <x:c r="D77" s="88" t="str">
        <x:v>Head office rent.</x:v>
      </x:c>
    </x:row>
    <x:row r="78">
      <x:c r="A78" s="84" t="str">
        <x:v>Tools / consumables recurring</x:v>
      </x:c>
      <x:c r="B78" s="85" t="str">
        <x:v>ZAR'000/MW/mo</x:v>
      </x:c>
      <x:c r="C78" s="1144" t="n">
        <x:v>8</x:v>
      </x:c>
      <x:c r="D78" s="88" t="str">
        <x:v>Filters, consumables, small parts.</x:v>
      </x:c>
    </x:row>
    <x:row r="79">
      <x:c r="A79" s="84" t="str">
        <x:v>Security &amp; operating insurance</x:v>
      </x:c>
      <x:c r="B79" s="85" t="str">
        <x:v>ZAR'000/site/mo</x:v>
      </x:c>
      <x:c r="C79" s="1144" t="n">
        <x:v>40</x:v>
      </x:c>
      <x:c r="D79" s="88" t="str">
        <x:v>Site security and insurance.</x:v>
      </x:c>
    </x:row>
    <x:row r="80">
      <x:c r="A80" s="84" t="str">
        <x:v>Other utilities / water</x:v>
      </x:c>
      <x:c r="B80" s="85" t="str">
        <x:v>ZAR'000/MW/mo</x:v>
      </x:c>
      <x:c r="C80" s="1144" t="n">
        <x:v>10</x:v>
      </x:c>
      <x:c r="D80" s="88" t="str">
        <x:v>Water treatment and misc utilities.</x:v>
      </x:c>
    </x:row>
    <x:row r="81">
      <x:c r="A81" s="96" t="str">
        <x:v>OPTIONALITY / UPSIDE</x:v>
      </x:c>
      <x:c r="B81" s="97" t="str"/>
      <x:c r="C81" s="1145" t="str"/>
      <x:c r="D81" s="95" t="str">
        <x:v>All off by default in the conservative case.</x:v>
      </x:c>
    </x:row>
    <x:row r="82">
      <x:c r="A82" s="84" t="str">
        <x:v>Include demand response?</x:v>
      </x:c>
      <x:c r="B82" s="85" t="str">
        <x:v>0/1</x:v>
      </x:c>
      <x:c r="C82" s="1144" t="n">
        <x:v>0</x:v>
      </x:c>
      <x:c r="D82" s="88" t="str">
        <x:v>0 = off / 1 = on.</x:v>
      </x:c>
    </x:row>
    <x:row r="83">
      <x:c r="A83" s="84" t="str">
        <x:v>DR start month</x:v>
      </x:c>
      <x:c r="B83" s="85" t="str">
        <x:v>month#</x:v>
      </x:c>
      <x:c r="C83" s="1144" t="n">
        <x:v>7</x:v>
      </x:c>
      <x:c r="D83" s="88" t="str">
        <x:v>Start month if toggled on.</x:v>
      </x:c>
    </x:row>
    <x:row r="84">
      <x:c r="A84" s="84" t="str">
        <x:v>DR price</x:v>
      </x:c>
      <x:c r="B84" s="85" t="str">
        <x:v>R/kWh</x:v>
      </x:c>
      <x:c r="C84" s="1144" t="n">
        <x:v>0.25</x:v>
      </x:c>
      <x:c r="D84" s="88" t="str">
        <x:v>Placeholder paid availability price.</x:v>
      </x:c>
    </x:row>
    <x:row r="85">
      <x:c r="A85" s="84" t="str">
        <x:v>DR equivalent hours/day</x:v>
      </x:c>
      <x:c r="B85" s="85" t="str">
        <x:v>hours/day</x:v>
      </x:c>
      <x:c r="C85" s="1144" t="n">
        <x:v>1.5</x:v>
      </x:c>
      <x:c r="D85" s="88" t="str">
        <x:v>Equivalent paid availability window.</x:v>
      </x:c>
    </x:row>
    <x:row r="86">
      <x:c r="A86" s="84" t="str">
        <x:v>DR paid utilisation</x:v>
      </x:c>
      <x:c r="B86" s="85" t="str">
        <x:v>%</x:v>
      </x:c>
      <x:c r="C86" s="1144" t="n">
        <x:v>0.5</x:v>
      </x:c>
      <x:c r="D86" s="88" t="str">
        <x:v>Share of availability window actually paid.</x:v>
      </x:c>
    </x:row>
    <x:row r="87">
      <x:c r="A87" s="84" t="str">
        <x:v>Include hyperscaler resale?</x:v>
      </x:c>
      <x:c r="B87" s="85" t="str">
        <x:v>0/1</x:v>
      </x:c>
      <x:c r="C87" s="1144" t="n">
        <x:v>0</x:v>
      </x:c>
      <x:c r="D87" s="88" t="str">
        <x:v>0 = off / 1 = on.</x:v>
      </x:c>
    </x:row>
    <x:row r="88">
      <x:c r="A88" s="84" t="str">
        <x:v>Hyperscaler start month</x:v>
      </x:c>
      <x:c r="B88" s="85" t="str">
        <x:v>month#</x:v>
      </x:c>
      <x:c r="C88" s="1144" t="n">
        <x:v>25</x:v>
      </x:c>
      <x:c r="D88" s="88" t="str">
        <x:v>Year-3 optionality by default.</x:v>
      </x:c>
    </x:row>
    <x:row r="89">
      <x:c r="A89" s="84" t="str">
        <x:v>Hyperscaler MW sold</x:v>
      </x:c>
      <x:c r="B89" s="85" t="str">
        <x:v>MW</x:v>
      </x:c>
      <x:c r="C89" s="1155" t="n">
        <x:v>2</x:v>
      </x:c>
      <x:c r="D89" s="88" t="str">
        <x:v>Pilot resale / tenant MW.</x:v>
      </x:c>
    </x:row>
    <x:row r="90">
      <x:c r="A90" s="84" t="str">
        <x:v>Hyperscaler hours/day</x:v>
      </x:c>
      <x:c r="B90" s="85" t="str">
        <x:v>hours/day</x:v>
      </x:c>
      <x:c r="C90" s="1144" t="n">
        <x:v>16</x:v>
      </x:c>
      <x:c r="D90" s="88" t="str">
        <x:v>Pilot tenant runtime.</x:v>
      </x:c>
    </x:row>
    <x:row r="91">
      <x:c r="A91" s="84" t="str">
        <x:v>Hyperscaler sale price</x:v>
      </x:c>
      <x:c r="B91" s="85" t="str">
        <x:v>USD/MWh</x:v>
      </x:c>
      <x:c r="C91" s="1144" t="n">
        <x:v>130</x:v>
      </x:c>
      <x:c r="D91" s="88" t="str">
        <x:v>Placeholder resale tariff.</x:v>
      </x:c>
    </x:row>
    <x:row r="92">
      <x:c r="A92" s="96" t="str">
        <x:v>FUNDING / CASH TIMING</x:v>
      </x:c>
      <x:c r="B92" s="97" t="str"/>
      <x:c r="C92" s="1145" t="str"/>
      <x:c r="D92" s="95" t="str">
        <x:v>Keep simple: staged payments and editable funding mix.</x:v>
      </x:c>
    </x:row>
    <x:row r="93">
      <x:c r="A93" s="84" t="str">
        <x:v>Equity share of external funding</x:v>
      </x:c>
      <x:c r="B93" s="85" t="str">
        <x:v>%</x:v>
      </x:c>
      <x:c r="C93" s="1151" t="n">
        <x:v>1</x:v>
      </x:c>
      <x:c r="D93" s="88" t="str">
        <x:v>Default for this simplified 20MW model = equity-funded Phase 1; user can reintroduce debt later.</x:v>
      </x:c>
    </x:row>
    <x:row r="94">
      <x:c r="A94" s="84" t="str">
        <x:v>Senior debt share of external funding</x:v>
      </x:c>
      <x:c r="B94" s="85" t="str">
        <x:v>%</x:v>
      </x:c>
      <x:c r="C94" s="1151" t="n">
        <x:v>0</x:v>
      </x:c>
      <x:c r="D94" s="88" t="str">
        <x:v>Set to 0% by default to align with current Phase 1 equity raise framing.</x:v>
      </x:c>
    </x:row>
    <x:row r="95">
      <x:c r="A95" s="84" t="str">
        <x:v>Senior debt interest</x:v>
      </x:c>
      <x:c r="B95" s="85" t="str">
        <x:v>% p.a.</x:v>
      </x:c>
      <x:c r="C95" s="1151" t="n">
        <x:v>0.13</x:v>
      </x:c>
      <x:c r="D95" s="88" t="str">
        <x:v>Indicative project debt placeholder.</x:v>
      </x:c>
    </x:row>
    <x:row r="96">
      <x:c r="A96" s="84" t="str">
        <x:v>Senior debt tenor</x:v>
      </x:c>
      <x:c r="B96" s="85" t="str">
        <x:v>months</x:v>
      </x:c>
      <x:c r="C96" s="1153" t="n">
        <x:v>60</x:v>
      </x:c>
      <x:c r="D96" s="88" t="str">
        <x:v>Indicative term.</x:v>
      </x:c>
    </x:row>
    <x:row r="97">
      <x:c r="A97" s="84" t="str">
        <x:v>Senior debt grace period</x:v>
      </x:c>
      <x:c r="B97" s="85" t="str">
        <x:v>months</x:v>
      </x:c>
      <x:c r="C97" s="1153" t="n">
        <x:v>12</x:v>
      </x:c>
      <x:c r="D97" s="88" t="str">
        <x:v>Interest capitalizes during grace.</x:v>
      </x:c>
    </x:row>
    <x:row r="98">
      <x:c r="A98" s="84" t="str">
        <x:v>Arrangement fee</x:v>
      </x:c>
      <x:c r="B98" s="85" t="str">
        <x:v>% of gross debt draw</x:v>
      </x:c>
      <x:c r="C98" s="1151" t="n">
        <x:v>0.01</x:v>
      </x:c>
      <x:c r="D98" s="88" t="str">
        <x:v>Debt arrangement fee.</x:v>
      </x:c>
    </x:row>
    <x:row r="99">
      <x:c r="A99" s="84" t="str">
        <x:v>Minimum cash buffer</x:v>
      </x:c>
      <x:c r="B99" s="85" t="str">
        <x:v>ZAR'000</x:v>
      </x:c>
      <x:c r="C99" s="1144" t="n">
        <x:v>0</x:v>
      </x:c>
      <x:c r="D99" s="88" t="str">
        <x:v>Raise if financiers want a liquidity reserve.</x:v>
      </x:c>
    </x:row>
    <x:row r="100">
      <x:c r="A100" s="84" t="str">
        <x:v>Miner deposit</x:v>
      </x:c>
      <x:c r="B100" s="85" t="str">
        <x:v>% of hardware basis</x:v>
      </x:c>
      <x:c r="C100" s="1151" t="n">
        <x:v>0.6</x:v>
      </x:c>
      <x:c r="D100" s="88" t="str">
        <x:v>Simplified staged payment.</x:v>
      </x:c>
    </x:row>
    <x:row r="101">
      <x:c r="A101" s="84" t="str">
        <x:v>Miner final payment</x:v>
      </x:c>
      <x:c r="B101" s="85" t="str">
        <x:v>% of hardware basis</x:v>
      </x:c>
      <x:c r="C101" s="1151" t="n">
        <x:v>0.4</x:v>
      </x:c>
      <x:c r="D101" s="88" t="str">
        <x:v>Simplified staged payment.</x:v>
      </x:c>
    </x:row>
    <x:row r="102">
      <x:c r="A102" s="84" t="str">
        <x:v>Miner order lead time</x:v>
      </x:c>
      <x:c r="B102" s="85" t="str">
        <x:v>months</x:v>
      </x:c>
      <x:c r="C102" s="1144" t="n">
        <x:v>2</x:v>
      </x:c>
      <x:c r="D102" s="88" t="str">
        <x:v>Deposit paid this many months before COD.</x:v>
      </x:c>
    </x:row>
    <x:row r="103">
      <x:c r="A103" s="84" t="str">
        <x:v>Container deposit</x:v>
      </x:c>
      <x:c r="B103" s="85" t="str">
        <x:v>% of container basis</x:v>
      </x:c>
      <x:c r="C103" s="1144" t="n">
        <x:v>0.2</x:v>
      </x:c>
      <x:c r="D103" s="88" t="str">
        <x:v>Simplified staged payment.</x:v>
      </x:c>
    </x:row>
    <x:row r="104">
      <x:c r="A104" s="84" t="str">
        <x:v>Container progress</x:v>
      </x:c>
      <x:c r="B104" s="85" t="str">
        <x:v>% of container basis</x:v>
      </x:c>
      <x:c r="C104" s="1144" t="n">
        <x:v>0.3</x:v>
      </x:c>
      <x:c r="D104" s="88" t="str">
        <x:v>Simplified staged payment.</x:v>
      </x:c>
    </x:row>
    <x:row r="105">
      <x:c r="A105" s="84" t="str">
        <x:v>Container final</x:v>
      </x:c>
      <x:c r="B105" s="85" t="str">
        <x:v>% of container basis</x:v>
      </x:c>
      <x:c r="C105" s="1144" t="n">
        <x:v>0.5</x:v>
      </x:c>
      <x:c r="D105" s="88" t="str">
        <x:v>Simplified staged payment.</x:v>
      </x:c>
    </x:row>
    <x:row r="106">
      <x:c r="A106" s="84" t="str">
        <x:v>Container order lead time</x:v>
      </x:c>
      <x:c r="B106" s="85" t="str">
        <x:v>months</x:v>
      </x:c>
      <x:c r="C106" s="1144" t="n">
        <x:v>2</x:v>
      </x:c>
      <x:c r="D106" s="88" t="str">
        <x:v>Deposit paid this many months before COD.</x:v>
      </x:c>
    </x:row>
    <x:row r="107">
      <x:c r="A107" s="84" t="str">
        <x:v>EPC deposit</x:v>
      </x:c>
      <x:c r="B107" s="85" t="str">
        <x:v>% of EPC basis</x:v>
      </x:c>
      <x:c r="C107" s="1151" t="n">
        <x:v>0.15</x:v>
      </x:c>
      <x:c r="D107" s="88" t="str">
        <x:v>Simplified staged payment.</x:v>
      </x:c>
    </x:row>
    <x:row r="108">
      <x:c r="A108" s="84" t="str">
        <x:v>EPC progress</x:v>
      </x:c>
      <x:c r="B108" s="85" t="str">
        <x:v>% of EPC basis</x:v>
      </x:c>
      <x:c r="C108" s="1151" t="n">
        <x:v>0.35</x:v>
      </x:c>
      <x:c r="D108" s="88" t="str">
        <x:v>Simplified staged payment.</x:v>
      </x:c>
    </x:row>
    <x:row r="109">
      <x:c r="A109" s="84" t="str">
        <x:v>EPC final</x:v>
      </x:c>
      <x:c r="B109" s="85" t="str">
        <x:v>% of EPC basis</x:v>
      </x:c>
      <x:c r="C109" s="1151" t="n">
        <x:v>0.4</x:v>
      </x:c>
      <x:c r="D109" s="88" t="str">
        <x:v>Paid in COD month.</x:v>
      </x:c>
    </x:row>
    <x:row r="110">
      <x:c r="A110" s="84" t="str">
        <x:v>EPC commissioning</x:v>
      </x:c>
      <x:c r="B110" s="85" t="str">
        <x:v>% of EPC basis</x:v>
      </x:c>
      <x:c r="C110" s="1151" t="n">
        <x:v>0.1</x:v>
      </x:c>
      <x:c r="D110" s="88" t="str">
        <x:v>Paid one month after COD.</x:v>
      </x:c>
    </x:row>
    <x:row r="111">
      <x:c r="A111" s="108" t="str">
        <x:v>EPC order lead time</x:v>
      </x:c>
      <x:c r="B111" s="109" t="str">
        <x:v>months</x:v>
      </x:c>
      <x:c r="C111" s="1144" t="n">
        <x:v>2</x:v>
      </x:c>
      <x:c r="D111" s="112" t="str">
        <x:v>Deposit paid this many months before COD.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.709999084472656" hidden="0" customWidth="1"/>
    <x:col min="2" max="2" width="10.710000038146973" hidden="0" customWidth="1"/>
    <x:col min="3" max="3" width="12.140000343322754" hidden="0" customWidth="1"/>
    <x:col min="4" max="4" width="9.569999694824219" hidden="0" customWidth="1"/>
    <x:col min="5" max="5" width="9.569999694824219" hidden="0" customWidth="1"/>
    <x:col min="6" max="6" width="9.569999694824219" hidden="0" customWidth="1"/>
    <x:col min="7" max="7" width="9.569999694824219" hidden="0" customWidth="1"/>
    <x:col min="8" max="8" width="9.569999694824219" hidden="0" customWidth="1"/>
    <x:col min="9" max="9" width="9.569999694824219" hidden="0" customWidth="1"/>
    <x:col min="10" max="10" width="9.569999694824219" hidden="0" customWidth="1"/>
    <x:col min="11" max="11" width="9.569999694824219" hidden="0" customWidth="1"/>
    <x:col min="12" max="12" width="9.569999694824219" hidden="0" customWidth="1"/>
    <x:col min="13" max="13" width="9.569999694824219" hidden="0" customWidth="1"/>
    <x:col min="14" max="14" width="9.569999694824219" hidden="0" customWidth="1"/>
    <x:col min="15" max="15" width="9.569999694824219" hidden="0" customWidth="1"/>
    <x:col min="16" max="16" width="9.569999694824219" hidden="0" customWidth="1"/>
    <x:col min="17" max="17" width="9.569999694824219" hidden="0" customWidth="1"/>
    <x:col min="18" max="18" width="9.569999694824219" hidden="0" customWidth="1"/>
    <x:col min="19" max="19" width="9.569999694824219" hidden="0" customWidth="1"/>
    <x:col min="20" max="20" width="9.569999694824219" hidden="0" customWidth="1"/>
    <x:col min="21" max="21" width="9.569999694824219" hidden="0" customWidth="1"/>
    <x:col min="22" max="22" width="9.569999694824219" hidden="0" customWidth="1"/>
    <x:col min="23" max="23" width="9.569999694824219" hidden="0" customWidth="1"/>
    <x:col min="24" max="24" width="9.569999694824219" hidden="0" customWidth="1"/>
    <x:col min="25" max="25" width="9.569999694824219" hidden="0" customWidth="1"/>
    <x:col min="26" max="26" width="9.569999694824219" hidden="0" customWidth="1"/>
    <x:col min="27" max="27" width="9.569999694824219" hidden="0" customWidth="1"/>
    <x:col min="28" max="28" width="9.569999694824219" hidden="0" customWidth="1"/>
    <x:col min="29" max="29" width="9.569999694824219" hidden="0" customWidth="1"/>
    <x:col min="30" max="30" width="9.569999694824219" hidden="0" customWidth="1"/>
    <x:col min="31" max="31" width="9.569999694824219" hidden="0" customWidth="1"/>
    <x:col min="32" max="32" width="9.569999694824219" hidden="0" customWidth="1"/>
    <x:col min="33" max="33" width="9.569999694824219" hidden="0" customWidth="1"/>
    <x:col min="34" max="34" width="9.569999694824219" hidden="0" customWidth="1"/>
    <x:col min="35" max="35" width="9.569999694824219" hidden="0" customWidth="1"/>
    <x:col min="36" max="36" width="9.569999694824219" hidden="0" customWidth="1"/>
    <x:col min="37" max="37" width="9.569999694824219" hidden="0" customWidth="1"/>
    <x:col min="38" max="38" width="9.569999694824219" hidden="0" customWidth="1"/>
    <x:col min="39" max="39" width="9.569999694824219" hidden="0" customWidth="1"/>
  </x:cols>
  <x:sheetData>
    <x:row r="1">
      <x:c r="A1" s="129" t="str">
        <x:v>Deployment_36M | Editable site ramp for the first 20MW only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  <x:c r="O1" s="129"/>
      <x:c r="P1" s="129"/>
      <x:c r="Q1" s="129"/>
      <x:c r="R1" s="129"/>
      <x:c r="S1" s="129"/>
      <x:c r="T1" s="129"/>
      <x:c r="U1" s="129"/>
      <x:c r="V1" s="129"/>
      <x:c r="W1" s="129"/>
      <x:c r="X1" s="129"/>
      <x:c r="Y1" s="129"/>
      <x:c r="Z1" s="129"/>
      <x:c r="AA1" s="129"/>
      <x:c r="AB1" s="129"/>
      <x:c r="AC1" s="129"/>
      <x:c r="AD1" s="129"/>
      <x:c r="AE1" s="129"/>
      <x:c r="AF1" s="129"/>
      <x:c r="AG1" s="129"/>
      <x:c r="AH1" s="129"/>
      <x:c r="AI1" s="129"/>
      <x:c r="AJ1" s="129"/>
      <x:c r="AK1" s="129"/>
      <x:c r="AL1" s="129"/>
      <x:c r="AM1" s="129"/>
    </x:row>
    <x:row r="2">
      <x:c r="A2" s="133" t="str">
        <x:v>Edit only the three closing-MW rows (Grootvlei, AMSA, AMSA solar). Everything else is formula-driven. Default ramp = 0/0/5/10/15/20MW gross over the first six months.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  <x:c r="P2" s="133"/>
      <x:c r="Q2" s="133"/>
      <x:c r="R2" s="133"/>
      <x:c r="S2" s="133"/>
      <x:c r="T2" s="133"/>
      <x:c r="U2" s="133"/>
      <x:c r="V2" s="133"/>
      <x:c r="W2" s="133"/>
      <x:c r="X2" s="133"/>
      <x:c r="Y2" s="133"/>
      <x:c r="Z2" s="133"/>
      <x:c r="AA2" s="133"/>
      <x:c r="AB2" s="133"/>
      <x:c r="AC2" s="133"/>
      <x:c r="AD2" s="133"/>
      <x:c r="AE2" s="133"/>
      <x:c r="AF2" s="133"/>
      <x:c r="AG2" s="133"/>
      <x:c r="AH2" s="133"/>
      <x:c r="AI2" s="133"/>
      <x:c r="AJ2" s="133"/>
      <x:c r="AK2" s="133"/>
      <x:c r="AL2" s="133"/>
      <x:c r="AM2" s="133"/>
    </x:row>
    <x:row r="4">
      <x:c r="A4" s="140" t="str">
        <x:v>Metric</x:v>
      </x:c>
      <x:c r="B4" s="141" t="str">
        <x:v>Unit</x:v>
      </x:c>
      <x:c r="C4" s="142" t="str">
        <x:v>Notes</x:v>
      </x:c>
    </x:row>
    <x:row r="5">
      <x:c r="A5" s="143" t="str">
        <x:v>Date</x:v>
      </x:c>
      <x:c r="B5" s="136" t="str">
        <x:v>date</x:v>
      </x:c>
      <x:c r="C5" s="144" t="str">
        <x:v>From Inputs start date</x:v>
      </x:c>
      <x:c r="D5" s="1159" t="n">
        <x:f>Inputs!C5</x:f>
        <x:v>46204</x:v>
      </x:c>
      <x:c r="E5" s="1160" t="n">
        <x:f>EDATE(D5,1)</x:f>
        <x:v>46235</x:v>
      </x:c>
      <x:c r="F5" s="1160" t="n">
        <x:f>EDATE(E5,1)</x:f>
        <x:v>46266</x:v>
      </x:c>
      <x:c r="G5" s="1160" t="n">
        <x:f>EDATE(F5,1)</x:f>
        <x:v>46296</x:v>
      </x:c>
      <x:c r="H5" s="1160" t="n">
        <x:f>EDATE(G5,1)</x:f>
        <x:v>46327</x:v>
      </x:c>
      <x:c r="I5" s="1160" t="n">
        <x:f>EDATE(H5,1)</x:f>
        <x:v>46357</x:v>
      </x:c>
      <x:c r="J5" s="1160" t="n">
        <x:f>EDATE(I5,1)</x:f>
        <x:v>46388</x:v>
      </x:c>
      <x:c r="K5" s="1160" t="n">
        <x:f>EDATE(J5,1)</x:f>
        <x:v>46419</x:v>
      </x:c>
      <x:c r="L5" s="1160" t="n">
        <x:f>EDATE(K5,1)</x:f>
        <x:v>46447</x:v>
      </x:c>
      <x:c r="M5" s="1160" t="n">
        <x:f>EDATE(L5,1)</x:f>
        <x:v>46478</x:v>
      </x:c>
      <x:c r="N5" s="1160" t="n">
        <x:f>EDATE(M5,1)</x:f>
        <x:v>46508</x:v>
      </x:c>
      <x:c r="O5" s="1160" t="n">
        <x:f>EDATE(N5,1)</x:f>
        <x:v>46539</x:v>
      </x:c>
      <x:c r="P5" s="1160" t="n">
        <x:f>EDATE(O5,1)</x:f>
        <x:v>46569</x:v>
      </x:c>
      <x:c r="Q5" s="1160" t="n">
        <x:f>EDATE(P5,1)</x:f>
        <x:v>46600</x:v>
      </x:c>
      <x:c r="R5" s="1160" t="n">
        <x:f>EDATE(Q5,1)</x:f>
        <x:v>46631</x:v>
      </x:c>
      <x:c r="S5" s="1160" t="n">
        <x:f>EDATE(R5,1)</x:f>
        <x:v>46661</x:v>
      </x:c>
      <x:c r="T5" s="1160" t="n">
        <x:f>EDATE(S5,1)</x:f>
        <x:v>46692</x:v>
      </x:c>
      <x:c r="U5" s="1160" t="n">
        <x:f>EDATE(T5,1)</x:f>
        <x:v>46722</x:v>
      </x:c>
      <x:c r="V5" s="1160" t="n">
        <x:f>EDATE(U5,1)</x:f>
        <x:v>46753</x:v>
      </x:c>
      <x:c r="W5" s="1160" t="n">
        <x:f>EDATE(V5,1)</x:f>
        <x:v>46784</x:v>
      </x:c>
      <x:c r="X5" s="1160" t="n">
        <x:f>EDATE(W5,1)</x:f>
        <x:v>46813</x:v>
      </x:c>
      <x:c r="Y5" s="1160" t="n">
        <x:f>EDATE(X5,1)</x:f>
        <x:v>46844</x:v>
      </x:c>
      <x:c r="Z5" s="1160" t="n">
        <x:f>EDATE(Y5,1)</x:f>
        <x:v>46874</x:v>
      </x:c>
      <x:c r="AA5" s="1160" t="n">
        <x:f>EDATE(Z5,1)</x:f>
        <x:v>46905</x:v>
      </x:c>
      <x:c r="AB5" s="1160" t="n">
        <x:f>EDATE(AA5,1)</x:f>
        <x:v>46935</x:v>
      </x:c>
      <x:c r="AC5" s="1160" t="n">
        <x:f>EDATE(AB5,1)</x:f>
        <x:v>46966</x:v>
      </x:c>
      <x:c r="AD5" s="1160" t="n">
        <x:f>EDATE(AC5,1)</x:f>
        <x:v>46997</x:v>
      </x:c>
      <x:c r="AE5" s="1160" t="n">
        <x:f>EDATE(AD5,1)</x:f>
        <x:v>47027</x:v>
      </x:c>
      <x:c r="AF5" s="1160" t="n">
        <x:f>EDATE(AE5,1)</x:f>
        <x:v>47058</x:v>
      </x:c>
      <x:c r="AG5" s="1160" t="n">
        <x:f>EDATE(AF5,1)</x:f>
        <x:v>47088</x:v>
      </x:c>
      <x:c r="AH5" s="1160" t="n">
        <x:f>EDATE(AG5,1)</x:f>
        <x:v>47119</x:v>
      </x:c>
      <x:c r="AI5" s="1160" t="n">
        <x:f>EDATE(AH5,1)</x:f>
        <x:v>47150</x:v>
      </x:c>
      <x:c r="AJ5" s="1160" t="n">
        <x:f>EDATE(AI5,1)</x:f>
        <x:v>47178</x:v>
      </x:c>
      <x:c r="AK5" s="1160" t="n">
        <x:f>EDATE(AJ5,1)</x:f>
        <x:v>47209</x:v>
      </x:c>
      <x:c r="AL5" s="1160" t="n">
        <x:f>EDATE(AK5,1)</x:f>
        <x:v>47239</x:v>
      </x:c>
      <x:c r="AM5" s="1161" t="n">
        <x:f>EDATE(AL5,1)</x:f>
        <x:v>47270</x:v>
      </x:c>
    </x:row>
    <x:row r="6">
      <x:c r="A6" s="143" t="str">
        <x:v>Days in month</x:v>
      </x:c>
      <x:c r="B6" s="136" t="str">
        <x:v>days</x:v>
      </x:c>
      <x:c r="C6" s="144" t="str">
        <x:v>Calendar days</x:v>
      </x:c>
      <x:c r="D6" s="1207" t="n">
        <x:f>DAY(EOMONTH(D5,0))</x:f>
        <x:v>31</x:v>
      </x:c>
      <x:c r="E6" s="1208" t="n">
        <x:f>DAY(EOMONTH(E5,0))</x:f>
        <x:v>31</x:v>
      </x:c>
      <x:c r="F6" s="1208" t="n">
        <x:f>DAY(EOMONTH(F5,0))</x:f>
        <x:v>30</x:v>
      </x:c>
      <x:c r="G6" s="1208" t="n">
        <x:f>DAY(EOMONTH(G5,0))</x:f>
        <x:v>31</x:v>
      </x:c>
      <x:c r="H6" s="1208" t="n">
        <x:f>DAY(EOMONTH(H5,0))</x:f>
        <x:v>30</x:v>
      </x:c>
      <x:c r="I6" s="1208" t="n">
        <x:f>DAY(EOMONTH(I5,0))</x:f>
        <x:v>31</x:v>
      </x:c>
      <x:c r="J6" s="1208" t="n">
        <x:f>DAY(EOMONTH(J5,0))</x:f>
        <x:v>31</x:v>
      </x:c>
      <x:c r="K6" s="1208" t="n">
        <x:f>DAY(EOMONTH(K5,0))</x:f>
        <x:v>28</x:v>
      </x:c>
      <x:c r="L6" s="1208" t="n">
        <x:f>DAY(EOMONTH(L5,0))</x:f>
        <x:v>31</x:v>
      </x:c>
      <x:c r="M6" s="1208" t="n">
        <x:f>DAY(EOMONTH(M5,0))</x:f>
        <x:v>30</x:v>
      </x:c>
      <x:c r="N6" s="1208" t="n">
        <x:f>DAY(EOMONTH(N5,0))</x:f>
        <x:v>31</x:v>
      </x:c>
      <x:c r="O6" s="1208" t="n">
        <x:f>DAY(EOMONTH(O5,0))</x:f>
        <x:v>30</x:v>
      </x:c>
      <x:c r="P6" s="1208" t="n">
        <x:f>DAY(EOMONTH(P5,0))</x:f>
        <x:v>31</x:v>
      </x:c>
      <x:c r="Q6" s="1208" t="n">
        <x:f>DAY(EOMONTH(Q5,0))</x:f>
        <x:v>31</x:v>
      </x:c>
      <x:c r="R6" s="1208" t="n">
        <x:f>DAY(EOMONTH(R5,0))</x:f>
        <x:v>30</x:v>
      </x:c>
      <x:c r="S6" s="1208" t="n">
        <x:f>DAY(EOMONTH(S5,0))</x:f>
        <x:v>31</x:v>
      </x:c>
      <x:c r="T6" s="1208" t="n">
        <x:f>DAY(EOMONTH(T5,0))</x:f>
        <x:v>30</x:v>
      </x:c>
      <x:c r="U6" s="1208" t="n">
        <x:f>DAY(EOMONTH(U5,0))</x:f>
        <x:v>31</x:v>
      </x:c>
      <x:c r="V6" s="1208" t="n">
        <x:f>DAY(EOMONTH(V5,0))</x:f>
        <x:v>31</x:v>
      </x:c>
      <x:c r="W6" s="1208" t="n">
        <x:f>DAY(EOMONTH(W5,0))</x:f>
        <x:v>29</x:v>
      </x:c>
      <x:c r="X6" s="1208" t="n">
        <x:f>DAY(EOMONTH(X5,0))</x:f>
        <x:v>31</x:v>
      </x:c>
      <x:c r="Y6" s="1208" t="n">
        <x:f>DAY(EOMONTH(Y5,0))</x:f>
        <x:v>30</x:v>
      </x:c>
      <x:c r="Z6" s="1208" t="n">
        <x:f>DAY(EOMONTH(Z5,0))</x:f>
        <x:v>31</x:v>
      </x:c>
      <x:c r="AA6" s="1208" t="n">
        <x:f>DAY(EOMONTH(AA5,0))</x:f>
        <x:v>30</x:v>
      </x:c>
      <x:c r="AB6" s="1208" t="n">
        <x:f>DAY(EOMONTH(AB5,0))</x:f>
        <x:v>31</x:v>
      </x:c>
      <x:c r="AC6" s="1208" t="n">
        <x:f>DAY(EOMONTH(AC5,0))</x:f>
        <x:v>31</x:v>
      </x:c>
      <x:c r="AD6" s="1208" t="n">
        <x:f>DAY(EOMONTH(AD5,0))</x:f>
        <x:v>30</x:v>
      </x:c>
      <x:c r="AE6" s="1208" t="n">
        <x:f>DAY(EOMONTH(AE5,0))</x:f>
        <x:v>31</x:v>
      </x:c>
      <x:c r="AF6" s="1208" t="n">
        <x:f>DAY(EOMONTH(AF5,0))</x:f>
        <x:v>30</x:v>
      </x:c>
      <x:c r="AG6" s="1208" t="n">
        <x:f>DAY(EOMONTH(AG5,0))</x:f>
        <x:v>31</x:v>
      </x:c>
      <x:c r="AH6" s="1208" t="n">
        <x:f>DAY(EOMONTH(AH5,0))</x:f>
        <x:v>31</x:v>
      </x:c>
      <x:c r="AI6" s="1208" t="n">
        <x:f>DAY(EOMONTH(AI5,0))</x:f>
        <x:v>28</x:v>
      </x:c>
      <x:c r="AJ6" s="1208" t="n">
        <x:f>DAY(EOMONTH(AJ5,0))</x:f>
        <x:v>31</x:v>
      </x:c>
      <x:c r="AK6" s="1208" t="n">
        <x:f>DAY(EOMONTH(AK5,0))</x:f>
        <x:v>30</x:v>
      </x:c>
      <x:c r="AL6" s="1208" t="n">
        <x:f>DAY(EOMONTH(AL5,0))</x:f>
        <x:v>31</x:v>
      </x:c>
      <x:c r="AM6" s="1209" t="n">
        <x:f>DAY(EOMONTH(AM5,0))</x:f>
        <x:v>30</x:v>
      </x:c>
    </x:row>
    <x:row r="7">
      <x:c r="A7" s="145"/>
      <x:c r="B7" s="124"/>
      <x:c r="C7" s="146"/>
      <x:c r="D7" s="1210"/>
      <x:c r="E7" s="1211"/>
      <x:c r="F7" s="1211"/>
      <x:c r="G7" s="1211"/>
      <x:c r="H7" s="1211"/>
      <x:c r="I7" s="1211"/>
      <x:c r="J7" s="1211"/>
      <x:c r="K7" s="1211"/>
      <x:c r="L7" s="1211"/>
      <x:c r="M7" s="1211"/>
      <x:c r="N7" s="1211"/>
      <x:c r="O7" s="1211"/>
      <x:c r="P7" s="1211"/>
      <x:c r="Q7" s="1211"/>
      <x:c r="R7" s="1211"/>
      <x:c r="S7" s="1211"/>
      <x:c r="T7" s="1211"/>
      <x:c r="U7" s="1211"/>
      <x:c r="V7" s="1211"/>
      <x:c r="W7" s="1211"/>
      <x:c r="X7" s="1211"/>
      <x:c r="Y7" s="1211"/>
      <x:c r="Z7" s="1211"/>
      <x:c r="AA7" s="1211"/>
      <x:c r="AB7" s="1211"/>
      <x:c r="AC7" s="1211"/>
      <x:c r="AD7" s="1211"/>
      <x:c r="AE7" s="1211"/>
      <x:c r="AF7" s="1211"/>
      <x:c r="AG7" s="1211"/>
      <x:c r="AH7" s="1211"/>
      <x:c r="AI7" s="1211"/>
      <x:c r="AJ7" s="1211"/>
      <x:c r="AK7" s="1211"/>
      <x:c r="AL7" s="1211"/>
      <x:c r="AM7" s="1212"/>
    </x:row>
    <x:row r="8">
      <x:c r="A8" s="189" t="str">
        <x:v>Grootvlei closing MW</x:v>
      </x:c>
      <x:c r="B8" s="190" t="str">
        <x:v>MW</x:v>
      </x:c>
      <x:c r="C8" s="191" t="str">
        <x:v>Editable</x:v>
      </x:c>
      <x:c r="D8" s="1213" t="n">
        <x:v>0</x:v>
      </x:c>
      <x:c r="E8" s="1214" t="n">
        <x:v>0</x:v>
      </x:c>
      <x:c r="F8" s="1214" t="n">
        <x:v>5</x:v>
      </x:c>
      <x:c r="G8" s="1214" t="n">
        <x:v>10</x:v>
      </x:c>
      <x:c r="H8" s="1214" t="n">
        <x:v>15</x:v>
      </x:c>
      <x:c r="I8" s="1214" t="n">
        <x:v>15</x:v>
      </x:c>
      <x:c r="J8" s="1214" t="n">
        <x:v>15</x:v>
      </x:c>
      <x:c r="K8" s="1214" t="n">
        <x:v>15</x:v>
      </x:c>
      <x:c r="L8" s="1214" t="n">
        <x:v>15</x:v>
      </x:c>
      <x:c r="M8" s="1214" t="n">
        <x:v>15</x:v>
      </x:c>
      <x:c r="N8" s="1214" t="n">
        <x:v>15</x:v>
      </x:c>
      <x:c r="O8" s="1214" t="n">
        <x:v>15</x:v>
      </x:c>
      <x:c r="P8" s="1214" t="n">
        <x:v>15</x:v>
      </x:c>
      <x:c r="Q8" s="1214" t="n">
        <x:v>15</x:v>
      </x:c>
      <x:c r="R8" s="1214" t="n">
        <x:v>15</x:v>
      </x:c>
      <x:c r="S8" s="1214" t="n">
        <x:v>15</x:v>
      </x:c>
      <x:c r="T8" s="1214" t="n">
        <x:v>15</x:v>
      </x:c>
      <x:c r="U8" s="1214" t="n">
        <x:v>15</x:v>
      </x:c>
      <x:c r="V8" s="1214" t="n">
        <x:v>15</x:v>
      </x:c>
      <x:c r="W8" s="1214" t="n">
        <x:v>15</x:v>
      </x:c>
      <x:c r="X8" s="1214" t="n">
        <x:v>15</x:v>
      </x:c>
      <x:c r="Y8" s="1214" t="n">
        <x:v>15</x:v>
      </x:c>
      <x:c r="Z8" s="1214" t="n">
        <x:v>15</x:v>
      </x:c>
      <x:c r="AA8" s="1214" t="n">
        <x:v>15</x:v>
      </x:c>
      <x:c r="AB8" s="1214" t="n">
        <x:v>15</x:v>
      </x:c>
      <x:c r="AC8" s="1214" t="n">
        <x:v>15</x:v>
      </x:c>
      <x:c r="AD8" s="1214" t="n">
        <x:v>15</x:v>
      </x:c>
      <x:c r="AE8" s="1214" t="n">
        <x:v>15</x:v>
      </x:c>
      <x:c r="AF8" s="1214" t="n">
        <x:v>15</x:v>
      </x:c>
      <x:c r="AG8" s="1214" t="n">
        <x:v>15</x:v>
      </x:c>
      <x:c r="AH8" s="1214" t="n">
        <x:v>15</x:v>
      </x:c>
      <x:c r="AI8" s="1214" t="n">
        <x:v>15</x:v>
      </x:c>
      <x:c r="AJ8" s="1214" t="n">
        <x:v>15</x:v>
      </x:c>
      <x:c r="AK8" s="1214" t="n">
        <x:v>15</x:v>
      </x:c>
      <x:c r="AL8" s="1214" t="n">
        <x:v>15</x:v>
      </x:c>
      <x:c r="AM8" s="1215" t="n">
        <x:v>15</x:v>
      </x:c>
    </x:row>
    <x:row r="9">
      <x:c r="A9" s="145" t="str">
        <x:v>AMSA closing MW</x:v>
      </x:c>
      <x:c r="B9" s="124" t="str">
        <x:v>MW</x:v>
      </x:c>
      <x:c r="C9" s="146" t="str">
        <x:v>Editable</x:v>
      </x:c>
      <x:c r="D9" s="1213" t="n">
        <x:v>0</x:v>
      </x:c>
      <x:c r="E9" s="1214" t="n">
        <x:v>0</x:v>
      </x:c>
      <x:c r="F9" s="1214" t="n">
        <x:v>0</x:v>
      </x:c>
      <x:c r="G9" s="1214" t="n">
        <x:v>0</x:v>
      </x:c>
      <x:c r="H9" s="1214" t="n">
        <x:v>0</x:v>
      </x:c>
      <x:c r="I9" s="1214" t="n">
        <x:v>5</x:v>
      </x:c>
      <x:c r="J9" s="1214" t="n">
        <x:v>5</x:v>
      </x:c>
      <x:c r="K9" s="1214" t="n">
        <x:v>5</x:v>
      </x:c>
      <x:c r="L9" s="1214" t="n">
        <x:v>5</x:v>
      </x:c>
      <x:c r="M9" s="1214" t="n">
        <x:v>5</x:v>
      </x:c>
      <x:c r="N9" s="1214" t="n">
        <x:v>5</x:v>
      </x:c>
      <x:c r="O9" s="1214" t="n">
        <x:v>5</x:v>
      </x:c>
      <x:c r="P9" s="1214" t="n">
        <x:v>5</x:v>
      </x:c>
      <x:c r="Q9" s="1214" t="n">
        <x:v>5</x:v>
      </x:c>
      <x:c r="R9" s="1214" t="n">
        <x:v>5</x:v>
      </x:c>
      <x:c r="S9" s="1214" t="n">
        <x:v>5</x:v>
      </x:c>
      <x:c r="T9" s="1214" t="n">
        <x:v>5</x:v>
      </x:c>
      <x:c r="U9" s="1214" t="n">
        <x:v>5</x:v>
      </x:c>
      <x:c r="V9" s="1214" t="n">
        <x:v>5</x:v>
      </x:c>
      <x:c r="W9" s="1214" t="n">
        <x:v>5</x:v>
      </x:c>
      <x:c r="X9" s="1214" t="n">
        <x:v>5</x:v>
      </x:c>
      <x:c r="Y9" s="1214" t="n">
        <x:v>5</x:v>
      </x:c>
      <x:c r="Z9" s="1214" t="n">
        <x:v>5</x:v>
      </x:c>
      <x:c r="AA9" s="1214" t="n">
        <x:v>5</x:v>
      </x:c>
      <x:c r="AB9" s="1214" t="n">
        <x:v>5</x:v>
      </x:c>
      <x:c r="AC9" s="1214" t="n">
        <x:v>5</x:v>
      </x:c>
      <x:c r="AD9" s="1214" t="n">
        <x:v>5</x:v>
      </x:c>
      <x:c r="AE9" s="1214" t="n">
        <x:v>5</x:v>
      </x:c>
      <x:c r="AF9" s="1214" t="n">
        <x:v>5</x:v>
      </x:c>
      <x:c r="AG9" s="1214" t="n">
        <x:v>5</x:v>
      </x:c>
      <x:c r="AH9" s="1214" t="n">
        <x:v>5</x:v>
      </x:c>
      <x:c r="AI9" s="1214" t="n">
        <x:v>5</x:v>
      </x:c>
      <x:c r="AJ9" s="1214" t="n">
        <x:v>5</x:v>
      </x:c>
      <x:c r="AK9" s="1214" t="n">
        <x:v>5</x:v>
      </x:c>
      <x:c r="AL9" s="1214" t="n">
        <x:v>5</x:v>
      </x:c>
      <x:c r="AM9" s="1215" t="n">
        <x:v>5</x:v>
      </x:c>
    </x:row>
    <x:row r="10">
      <x:c r="A10" s="145" t="str">
        <x:v>AMSA solar closing MW</x:v>
      </x:c>
      <x:c r="B10" s="124" t="str">
        <x:v>MW</x:v>
      </x:c>
      <x:c r="C10" s="146" t="str">
        <x:v>Editable</x:v>
      </x:c>
      <x:c r="D10" s="1213" t="n">
        <x:v>0</x:v>
      </x:c>
      <x:c r="E10" s="1214" t="n">
        <x:v>0</x:v>
      </x:c>
      <x:c r="F10" s="1214" t="n">
        <x:v>0</x:v>
      </x:c>
      <x:c r="G10" s="1214" t="n">
        <x:v>0</x:v>
      </x:c>
      <x:c r="H10" s="1214" t="n">
        <x:v>10</x:v>
      </x:c>
      <x:c r="I10" s="1214" t="n">
        <x:v>10</x:v>
      </x:c>
      <x:c r="J10" s="1214" t="n">
        <x:v>10</x:v>
      </x:c>
      <x:c r="K10" s="1214" t="n">
        <x:v>10</x:v>
      </x:c>
      <x:c r="L10" s="1214" t="n">
        <x:v>10</x:v>
      </x:c>
      <x:c r="M10" s="1214" t="n">
        <x:v>10</x:v>
      </x:c>
      <x:c r="N10" s="1214" t="n">
        <x:v>10</x:v>
      </x:c>
      <x:c r="O10" s="1214" t="n">
        <x:v>10</x:v>
      </x:c>
      <x:c r="P10" s="1214" t="n">
        <x:v>10</x:v>
      </x:c>
      <x:c r="Q10" s="1214" t="n">
        <x:v>10</x:v>
      </x:c>
      <x:c r="R10" s="1214" t="n">
        <x:v>10</x:v>
      </x:c>
      <x:c r="S10" s="1214" t="n">
        <x:v>10</x:v>
      </x:c>
      <x:c r="T10" s="1214" t="n">
        <x:v>10</x:v>
      </x:c>
      <x:c r="U10" s="1214" t="n">
        <x:v>10</x:v>
      </x:c>
      <x:c r="V10" s="1214" t="n">
        <x:v>10</x:v>
      </x:c>
      <x:c r="W10" s="1214" t="n">
        <x:v>10</x:v>
      </x:c>
      <x:c r="X10" s="1214" t="n">
        <x:v>10</x:v>
      </x:c>
      <x:c r="Y10" s="1214" t="n">
        <x:v>10</x:v>
      </x:c>
      <x:c r="Z10" s="1214" t="n">
        <x:v>10</x:v>
      </x:c>
      <x:c r="AA10" s="1214" t="n">
        <x:v>10</x:v>
      </x:c>
      <x:c r="AB10" s="1214" t="n">
        <x:v>10</x:v>
      </x:c>
      <x:c r="AC10" s="1214" t="n">
        <x:v>10</x:v>
      </x:c>
      <x:c r="AD10" s="1214" t="n">
        <x:v>10</x:v>
      </x:c>
      <x:c r="AE10" s="1214" t="n">
        <x:v>10</x:v>
      </x:c>
      <x:c r="AF10" s="1214" t="n">
        <x:v>10</x:v>
      </x:c>
      <x:c r="AG10" s="1214" t="n">
        <x:v>10</x:v>
      </x:c>
      <x:c r="AH10" s="1214" t="n">
        <x:v>10</x:v>
      </x:c>
      <x:c r="AI10" s="1214" t="n">
        <x:v>10</x:v>
      </x:c>
      <x:c r="AJ10" s="1214" t="n">
        <x:v>10</x:v>
      </x:c>
      <x:c r="AK10" s="1214" t="n">
        <x:v>10</x:v>
      </x:c>
      <x:c r="AL10" s="1214" t="n">
        <x:v>10</x:v>
      </x:c>
      <x:c r="AM10" s="1215" t="n">
        <x:v>10</x:v>
      </x:c>
    </x:row>
    <x:row r="11">
      <x:c r="A11" s="145"/>
      <x:c r="B11" s="124"/>
      <x:c r="C11" s="146"/>
      <x:c r="D11" s="1210"/>
      <x:c r="E11" s="1211"/>
      <x:c r="F11" s="1211"/>
      <x:c r="G11" s="1211"/>
      <x:c r="H11" s="1211"/>
      <x:c r="I11" s="1211"/>
      <x:c r="J11" s="1211"/>
      <x:c r="K11" s="1211"/>
      <x:c r="L11" s="1211"/>
      <x:c r="M11" s="1211"/>
      <x:c r="N11" s="1211"/>
      <x:c r="O11" s="1211"/>
      <x:c r="P11" s="1211"/>
      <x:c r="Q11" s="1211"/>
      <x:c r="R11" s="1211"/>
      <x:c r="S11" s="1211"/>
      <x:c r="T11" s="1211"/>
      <x:c r="U11" s="1211"/>
      <x:c r="V11" s="1211"/>
      <x:c r="W11" s="1211"/>
      <x:c r="X11" s="1211"/>
      <x:c r="Y11" s="1211"/>
      <x:c r="Z11" s="1211"/>
      <x:c r="AA11" s="1211"/>
      <x:c r="AB11" s="1211"/>
      <x:c r="AC11" s="1211"/>
      <x:c r="AD11" s="1211"/>
      <x:c r="AE11" s="1211"/>
      <x:c r="AF11" s="1211"/>
      <x:c r="AG11" s="1211"/>
      <x:c r="AH11" s="1211"/>
      <x:c r="AI11" s="1211"/>
      <x:c r="AJ11" s="1211"/>
      <x:c r="AK11" s="1211"/>
      <x:c r="AL11" s="1211"/>
      <x:c r="AM11" s="1212"/>
    </x:row>
    <x:row r="12">
      <x:c r="A12" s="145"/>
      <x:c r="B12" s="124"/>
      <x:c r="C12" s="146"/>
      <x:c r="D12" s="1210"/>
      <x:c r="E12" s="1211"/>
      <x:c r="F12" s="1211"/>
      <x:c r="G12" s="1211"/>
      <x:c r="H12" s="1211"/>
      <x:c r="I12" s="1211"/>
      <x:c r="J12" s="1211"/>
      <x:c r="K12" s="1211"/>
      <x:c r="L12" s="1211"/>
      <x:c r="M12" s="1211"/>
      <x:c r="N12" s="1211"/>
      <x:c r="O12" s="1211"/>
      <x:c r="P12" s="1211"/>
      <x:c r="Q12" s="1211"/>
      <x:c r="R12" s="1211"/>
      <x:c r="S12" s="1211"/>
      <x:c r="T12" s="1211"/>
      <x:c r="U12" s="1211"/>
      <x:c r="V12" s="1211"/>
      <x:c r="W12" s="1211"/>
      <x:c r="X12" s="1211"/>
      <x:c r="Y12" s="1211"/>
      <x:c r="Z12" s="1211"/>
      <x:c r="AA12" s="1211"/>
      <x:c r="AB12" s="1211"/>
      <x:c r="AC12" s="1211"/>
      <x:c r="AD12" s="1211"/>
      <x:c r="AE12" s="1211"/>
      <x:c r="AF12" s="1211"/>
      <x:c r="AG12" s="1211"/>
      <x:c r="AH12" s="1211"/>
      <x:c r="AI12" s="1211"/>
      <x:c r="AJ12" s="1211"/>
      <x:c r="AK12" s="1211"/>
      <x:c r="AL12" s="1211"/>
      <x:c r="AM12" s="1212"/>
    </x:row>
    <x:row r="13">
      <x:c r="A13" s="189" t="str">
        <x:v>Grootvlei opening MW</x:v>
      </x:c>
      <x:c r="B13" s="190" t="str">
        <x:v>MW</x:v>
      </x:c>
      <x:c r="C13" s="191" t="str">
        <x:v>Formula</x:v>
      </x:c>
      <x:c r="D13" s="1216" t="n">
        <x:f>0</x:f>
        <x:v>0</x:v>
      </x:c>
      <x:c r="E13" s="1217" t="n">
        <x:f>D8</x:f>
        <x:v>0</x:v>
      </x:c>
      <x:c r="F13" s="1217" t="n">
        <x:f>E8</x:f>
        <x:v>0</x:v>
      </x:c>
      <x:c r="G13" s="1217" t="n">
        <x:f>F8</x:f>
        <x:v>5</x:v>
      </x:c>
      <x:c r="H13" s="1217" t="n">
        <x:f>G8</x:f>
        <x:v>10</x:v>
      </x:c>
      <x:c r="I13" s="1217" t="n">
        <x:f>H8</x:f>
        <x:v>15</x:v>
      </x:c>
      <x:c r="J13" s="1217" t="n">
        <x:f>I8</x:f>
        <x:v>15</x:v>
      </x:c>
      <x:c r="K13" s="1217" t="n">
        <x:f>J8</x:f>
        <x:v>15</x:v>
      </x:c>
      <x:c r="L13" s="1217" t="n">
        <x:f>K8</x:f>
        <x:v>15</x:v>
      </x:c>
      <x:c r="M13" s="1217" t="n">
        <x:f>L8</x:f>
        <x:v>15</x:v>
      </x:c>
      <x:c r="N13" s="1217" t="n">
        <x:f>M8</x:f>
        <x:v>15</x:v>
      </x:c>
      <x:c r="O13" s="1217" t="n">
        <x:f>N8</x:f>
        <x:v>15</x:v>
      </x:c>
      <x:c r="P13" s="1217" t="n">
        <x:f>O8</x:f>
        <x:v>15</x:v>
      </x:c>
      <x:c r="Q13" s="1217" t="n">
        <x:f>P8</x:f>
        <x:v>15</x:v>
      </x:c>
      <x:c r="R13" s="1217" t="n">
        <x:f>Q8</x:f>
        <x:v>15</x:v>
      </x:c>
      <x:c r="S13" s="1217" t="n">
        <x:f>R8</x:f>
        <x:v>15</x:v>
      </x:c>
      <x:c r="T13" s="1217" t="n">
        <x:f>S8</x:f>
        <x:v>15</x:v>
      </x:c>
      <x:c r="U13" s="1217" t="n">
        <x:f>T8</x:f>
        <x:v>15</x:v>
      </x:c>
      <x:c r="V13" s="1217" t="n">
        <x:f>U8</x:f>
        <x:v>15</x:v>
      </x:c>
      <x:c r="W13" s="1217" t="n">
        <x:f>V8</x:f>
        <x:v>15</x:v>
      </x:c>
      <x:c r="X13" s="1217" t="n">
        <x:f>W8</x:f>
        <x:v>15</x:v>
      </x:c>
      <x:c r="Y13" s="1217" t="n">
        <x:f>X8</x:f>
        <x:v>15</x:v>
      </x:c>
      <x:c r="Z13" s="1217" t="n">
        <x:f>Y8</x:f>
        <x:v>15</x:v>
      </x:c>
      <x:c r="AA13" s="1217" t="n">
        <x:f>Z8</x:f>
        <x:v>15</x:v>
      </x:c>
      <x:c r="AB13" s="1217" t="n">
        <x:f>AA8</x:f>
        <x:v>15</x:v>
      </x:c>
      <x:c r="AC13" s="1217" t="n">
        <x:f>AB8</x:f>
        <x:v>15</x:v>
      </x:c>
      <x:c r="AD13" s="1217" t="n">
        <x:f>AC8</x:f>
        <x:v>15</x:v>
      </x:c>
      <x:c r="AE13" s="1217" t="n">
        <x:f>AD8</x:f>
        <x:v>15</x:v>
      </x:c>
      <x:c r="AF13" s="1217" t="n">
        <x:f>AE8</x:f>
        <x:v>15</x:v>
      </x:c>
      <x:c r="AG13" s="1217" t="n">
        <x:f>AF8</x:f>
        <x:v>15</x:v>
      </x:c>
      <x:c r="AH13" s="1217" t="n">
        <x:f>AG8</x:f>
        <x:v>15</x:v>
      </x:c>
      <x:c r="AI13" s="1217" t="n">
        <x:f>AH8</x:f>
        <x:v>15</x:v>
      </x:c>
      <x:c r="AJ13" s="1217" t="n">
        <x:f>AI8</x:f>
        <x:v>15</x:v>
      </x:c>
      <x:c r="AK13" s="1217" t="n">
        <x:f>AJ8</x:f>
        <x:v>15</x:v>
      </x:c>
      <x:c r="AL13" s="1217" t="n">
        <x:f>AK8</x:f>
        <x:v>15</x:v>
      </x:c>
      <x:c r="AM13" s="1218" t="n">
        <x:f>AL8</x:f>
        <x:v>15</x:v>
      </x:c>
    </x:row>
    <x:row r="14">
      <x:c r="A14" s="145" t="str">
        <x:v>AMSA opening MW</x:v>
      </x:c>
      <x:c r="B14" s="124" t="str">
        <x:v>MW</x:v>
      </x:c>
      <x:c r="C14" s="146" t="str">
        <x:v>Formula</x:v>
      </x:c>
      <x:c r="D14" s="1210" t="n">
        <x:f>0</x:f>
        <x:v>0</x:v>
      </x:c>
      <x:c r="E14" s="1211" t="n">
        <x:f>D9</x:f>
        <x:v>0</x:v>
      </x:c>
      <x:c r="F14" s="1211" t="n">
        <x:f>E9</x:f>
        <x:v>0</x:v>
      </x:c>
      <x:c r="G14" s="1211" t="n">
        <x:f>F9</x:f>
        <x:v>0</x:v>
      </x:c>
      <x:c r="H14" s="1211" t="n">
        <x:f>G9</x:f>
        <x:v>0</x:v>
      </x:c>
      <x:c r="I14" s="1211" t="n">
        <x:f>H9</x:f>
        <x:v>0</x:v>
      </x:c>
      <x:c r="J14" s="1211" t="n">
        <x:f>I9</x:f>
        <x:v>5</x:v>
      </x:c>
      <x:c r="K14" s="1211" t="n">
        <x:f>J9</x:f>
        <x:v>5</x:v>
      </x:c>
      <x:c r="L14" s="1211" t="n">
        <x:f>K9</x:f>
        <x:v>5</x:v>
      </x:c>
      <x:c r="M14" s="1211" t="n">
        <x:f>L9</x:f>
        <x:v>5</x:v>
      </x:c>
      <x:c r="N14" s="1211" t="n">
        <x:f>M9</x:f>
        <x:v>5</x:v>
      </x:c>
      <x:c r="O14" s="1211" t="n">
        <x:f>N9</x:f>
        <x:v>5</x:v>
      </x:c>
      <x:c r="P14" s="1211" t="n">
        <x:f>O9</x:f>
        <x:v>5</x:v>
      </x:c>
      <x:c r="Q14" s="1211" t="n">
        <x:f>P9</x:f>
        <x:v>5</x:v>
      </x:c>
      <x:c r="R14" s="1211" t="n">
        <x:f>Q9</x:f>
        <x:v>5</x:v>
      </x:c>
      <x:c r="S14" s="1211" t="n">
        <x:f>R9</x:f>
        <x:v>5</x:v>
      </x:c>
      <x:c r="T14" s="1211" t="n">
        <x:f>S9</x:f>
        <x:v>5</x:v>
      </x:c>
      <x:c r="U14" s="1211" t="n">
        <x:f>T9</x:f>
        <x:v>5</x:v>
      </x:c>
      <x:c r="V14" s="1211" t="n">
        <x:f>U9</x:f>
        <x:v>5</x:v>
      </x:c>
      <x:c r="W14" s="1211" t="n">
        <x:f>V9</x:f>
        <x:v>5</x:v>
      </x:c>
      <x:c r="X14" s="1211" t="n">
        <x:f>W9</x:f>
        <x:v>5</x:v>
      </x:c>
      <x:c r="Y14" s="1211" t="n">
        <x:f>X9</x:f>
        <x:v>5</x:v>
      </x:c>
      <x:c r="Z14" s="1211" t="n">
        <x:f>Y9</x:f>
        <x:v>5</x:v>
      </x:c>
      <x:c r="AA14" s="1211" t="n">
        <x:f>Z9</x:f>
        <x:v>5</x:v>
      </x:c>
      <x:c r="AB14" s="1211" t="n">
        <x:f>AA9</x:f>
        <x:v>5</x:v>
      </x:c>
      <x:c r="AC14" s="1211" t="n">
        <x:f>AB9</x:f>
        <x:v>5</x:v>
      </x:c>
      <x:c r="AD14" s="1211" t="n">
        <x:f>AC9</x:f>
        <x:v>5</x:v>
      </x:c>
      <x:c r="AE14" s="1211" t="n">
        <x:f>AD9</x:f>
        <x:v>5</x:v>
      </x:c>
      <x:c r="AF14" s="1211" t="n">
        <x:f>AE9</x:f>
        <x:v>5</x:v>
      </x:c>
      <x:c r="AG14" s="1211" t="n">
        <x:f>AF9</x:f>
        <x:v>5</x:v>
      </x:c>
      <x:c r="AH14" s="1211" t="n">
        <x:f>AG9</x:f>
        <x:v>5</x:v>
      </x:c>
      <x:c r="AI14" s="1211" t="n">
        <x:f>AH9</x:f>
        <x:v>5</x:v>
      </x:c>
      <x:c r="AJ14" s="1211" t="n">
        <x:f>AI9</x:f>
        <x:v>5</x:v>
      </x:c>
      <x:c r="AK14" s="1211" t="n">
        <x:f>AJ9</x:f>
        <x:v>5</x:v>
      </x:c>
      <x:c r="AL14" s="1211" t="n">
        <x:f>AK9</x:f>
        <x:v>5</x:v>
      </x:c>
      <x:c r="AM14" s="1212" t="n">
        <x:f>AL9</x:f>
        <x:v>5</x:v>
      </x:c>
    </x:row>
    <x:row r="15">
      <x:c r="A15" s="145" t="str">
        <x:v>AMSA solar opening MW</x:v>
      </x:c>
      <x:c r="B15" s="124" t="str">
        <x:v>MW</x:v>
      </x:c>
      <x:c r="C15" s="146" t="str">
        <x:v>Formula</x:v>
      </x:c>
      <x:c r="D15" s="1210" t="n">
        <x:f>0</x:f>
        <x:v>0</x:v>
      </x:c>
      <x:c r="E15" s="1211" t="n">
        <x:f>D10</x:f>
        <x:v>0</x:v>
      </x:c>
      <x:c r="F15" s="1211" t="n">
        <x:f>E10</x:f>
        <x:v>0</x:v>
      </x:c>
      <x:c r="G15" s="1211" t="n">
        <x:f>F10</x:f>
        <x:v>0</x:v>
      </x:c>
      <x:c r="H15" s="1211" t="n">
        <x:f>G10</x:f>
        <x:v>0</x:v>
      </x:c>
      <x:c r="I15" s="1211" t="n">
        <x:f>H10</x:f>
        <x:v>10</x:v>
      </x:c>
      <x:c r="J15" s="1211" t="n">
        <x:f>I10</x:f>
        <x:v>10</x:v>
      </x:c>
      <x:c r="K15" s="1211" t="n">
        <x:f>J10</x:f>
        <x:v>10</x:v>
      </x:c>
      <x:c r="L15" s="1211" t="n">
        <x:f>K10</x:f>
        <x:v>10</x:v>
      </x:c>
      <x:c r="M15" s="1211" t="n">
        <x:f>L10</x:f>
        <x:v>10</x:v>
      </x:c>
      <x:c r="N15" s="1211" t="n">
        <x:f>M10</x:f>
        <x:v>10</x:v>
      </x:c>
      <x:c r="O15" s="1211" t="n">
        <x:f>N10</x:f>
        <x:v>10</x:v>
      </x:c>
      <x:c r="P15" s="1211" t="n">
        <x:f>O10</x:f>
        <x:v>10</x:v>
      </x:c>
      <x:c r="Q15" s="1211" t="n">
        <x:f>P10</x:f>
        <x:v>10</x:v>
      </x:c>
      <x:c r="R15" s="1211" t="n">
        <x:f>Q10</x:f>
        <x:v>10</x:v>
      </x:c>
      <x:c r="S15" s="1211" t="n">
        <x:f>R10</x:f>
        <x:v>10</x:v>
      </x:c>
      <x:c r="T15" s="1211" t="n">
        <x:f>S10</x:f>
        <x:v>10</x:v>
      </x:c>
      <x:c r="U15" s="1211" t="n">
        <x:f>T10</x:f>
        <x:v>10</x:v>
      </x:c>
      <x:c r="V15" s="1211" t="n">
        <x:f>U10</x:f>
        <x:v>10</x:v>
      </x:c>
      <x:c r="W15" s="1211" t="n">
        <x:f>V10</x:f>
        <x:v>10</x:v>
      </x:c>
      <x:c r="X15" s="1211" t="n">
        <x:f>W10</x:f>
        <x:v>10</x:v>
      </x:c>
      <x:c r="Y15" s="1211" t="n">
        <x:f>X10</x:f>
        <x:v>10</x:v>
      </x:c>
      <x:c r="Z15" s="1211" t="n">
        <x:f>Y10</x:f>
        <x:v>10</x:v>
      </x:c>
      <x:c r="AA15" s="1211" t="n">
        <x:f>Z10</x:f>
        <x:v>10</x:v>
      </x:c>
      <x:c r="AB15" s="1211" t="n">
        <x:f>AA10</x:f>
        <x:v>10</x:v>
      </x:c>
      <x:c r="AC15" s="1211" t="n">
        <x:f>AB10</x:f>
        <x:v>10</x:v>
      </x:c>
      <x:c r="AD15" s="1211" t="n">
        <x:f>AC10</x:f>
        <x:v>10</x:v>
      </x:c>
      <x:c r="AE15" s="1211" t="n">
        <x:f>AD10</x:f>
        <x:v>10</x:v>
      </x:c>
      <x:c r="AF15" s="1211" t="n">
        <x:f>AE10</x:f>
        <x:v>10</x:v>
      </x:c>
      <x:c r="AG15" s="1211" t="n">
        <x:f>AF10</x:f>
        <x:v>10</x:v>
      </x:c>
      <x:c r="AH15" s="1211" t="n">
        <x:f>AG10</x:f>
        <x:v>10</x:v>
      </x:c>
      <x:c r="AI15" s="1211" t="n">
        <x:f>AH10</x:f>
        <x:v>10</x:v>
      </x:c>
      <x:c r="AJ15" s="1211" t="n">
        <x:f>AI10</x:f>
        <x:v>10</x:v>
      </x:c>
      <x:c r="AK15" s="1211" t="n">
        <x:f>AJ10</x:f>
        <x:v>10</x:v>
      </x:c>
      <x:c r="AL15" s="1211" t="n">
        <x:f>AK10</x:f>
        <x:v>10</x:v>
      </x:c>
      <x:c r="AM15" s="1212" t="n">
        <x:f>AL10</x:f>
        <x:v>10</x:v>
      </x:c>
    </x:row>
    <x:row r="16">
      <x:c r="A16" s="145"/>
      <x:c r="B16" s="124"/>
      <x:c r="C16" s="146"/>
      <x:c r="D16" s="1210"/>
      <x:c r="E16" s="1211"/>
      <x:c r="F16" s="1211"/>
      <x:c r="G16" s="1211"/>
      <x:c r="H16" s="1211"/>
      <x:c r="I16" s="1211"/>
      <x:c r="J16" s="1211"/>
      <x:c r="K16" s="1211"/>
      <x:c r="L16" s="1211"/>
      <x:c r="M16" s="1211"/>
      <x:c r="N16" s="1211"/>
      <x:c r="O16" s="1211"/>
      <x:c r="P16" s="1211"/>
      <x:c r="Q16" s="1211"/>
      <x:c r="R16" s="1211"/>
      <x:c r="S16" s="1211"/>
      <x:c r="T16" s="1211"/>
      <x:c r="U16" s="1211"/>
      <x:c r="V16" s="1211"/>
      <x:c r="W16" s="1211"/>
      <x:c r="X16" s="1211"/>
      <x:c r="Y16" s="1211"/>
      <x:c r="Z16" s="1211"/>
      <x:c r="AA16" s="1211"/>
      <x:c r="AB16" s="1211"/>
      <x:c r="AC16" s="1211"/>
      <x:c r="AD16" s="1211"/>
      <x:c r="AE16" s="1211"/>
      <x:c r="AF16" s="1211"/>
      <x:c r="AG16" s="1211"/>
      <x:c r="AH16" s="1211"/>
      <x:c r="AI16" s="1211"/>
      <x:c r="AJ16" s="1211"/>
      <x:c r="AK16" s="1211"/>
      <x:c r="AL16" s="1211"/>
      <x:c r="AM16" s="1212"/>
    </x:row>
    <x:row r="17">
      <x:c r="A17" s="145"/>
      <x:c r="B17" s="124"/>
      <x:c r="C17" s="146"/>
      <x:c r="D17" s="1210"/>
      <x:c r="E17" s="1211"/>
      <x:c r="F17" s="1211"/>
      <x:c r="G17" s="1211"/>
      <x:c r="H17" s="1211"/>
      <x:c r="I17" s="1211"/>
      <x:c r="J17" s="1211"/>
      <x:c r="K17" s="1211"/>
      <x:c r="L17" s="1211"/>
      <x:c r="M17" s="1211"/>
      <x:c r="N17" s="1211"/>
      <x:c r="O17" s="1211"/>
      <x:c r="P17" s="1211"/>
      <x:c r="Q17" s="1211"/>
      <x:c r="R17" s="1211"/>
      <x:c r="S17" s="1211"/>
      <x:c r="T17" s="1211"/>
      <x:c r="U17" s="1211"/>
      <x:c r="V17" s="1211"/>
      <x:c r="W17" s="1211"/>
      <x:c r="X17" s="1211"/>
      <x:c r="Y17" s="1211"/>
      <x:c r="Z17" s="1211"/>
      <x:c r="AA17" s="1211"/>
      <x:c r="AB17" s="1211"/>
      <x:c r="AC17" s="1211"/>
      <x:c r="AD17" s="1211"/>
      <x:c r="AE17" s="1211"/>
      <x:c r="AF17" s="1211"/>
      <x:c r="AG17" s="1211"/>
      <x:c r="AH17" s="1211"/>
      <x:c r="AI17" s="1211"/>
      <x:c r="AJ17" s="1211"/>
      <x:c r="AK17" s="1211"/>
      <x:c r="AL17" s="1211"/>
      <x:c r="AM17" s="1212"/>
    </x:row>
    <x:row r="18">
      <x:c r="A18" s="189" t="str">
        <x:v>Grootvlei average MW</x:v>
      </x:c>
      <x:c r="B18" s="190" t="str">
        <x:v>MW</x:v>
      </x:c>
      <x:c r="C18" s="191" t="str">
        <x:v>Formula</x:v>
      </x:c>
      <x:c r="D18" s="1216" t="n">
        <x:f>(D13+D8)/2</x:f>
        <x:v>0</x:v>
      </x:c>
      <x:c r="E18" s="1217" t="n">
        <x:f>(E13+E8)/2</x:f>
        <x:v>0</x:v>
      </x:c>
      <x:c r="F18" s="1217" t="n">
        <x:f>(F13+F8)/2</x:f>
        <x:v>2.5</x:v>
      </x:c>
      <x:c r="G18" s="1217" t="n">
        <x:f>(G13+G8)/2</x:f>
        <x:v>7.5</x:v>
      </x:c>
      <x:c r="H18" s="1217" t="n">
        <x:f>(H13+H8)/2</x:f>
        <x:v>12.5</x:v>
      </x:c>
      <x:c r="I18" s="1217" t="n">
        <x:f>(I13+I8)/2</x:f>
        <x:v>15</x:v>
      </x:c>
      <x:c r="J18" s="1217" t="n">
        <x:f>(J13+J8)/2</x:f>
        <x:v>15</x:v>
      </x:c>
      <x:c r="K18" s="1217" t="n">
        <x:f>(K13+K8)/2</x:f>
        <x:v>15</x:v>
      </x:c>
      <x:c r="L18" s="1217" t="n">
        <x:f>(L13+L8)/2</x:f>
        <x:v>15</x:v>
      </x:c>
      <x:c r="M18" s="1217" t="n">
        <x:f>(M13+M8)/2</x:f>
        <x:v>15</x:v>
      </x:c>
      <x:c r="N18" s="1217" t="n">
        <x:f>(N13+N8)/2</x:f>
        <x:v>15</x:v>
      </x:c>
      <x:c r="O18" s="1217" t="n">
        <x:f>(O13+O8)/2</x:f>
        <x:v>15</x:v>
      </x:c>
      <x:c r="P18" s="1217" t="n">
        <x:f>(P13+P8)/2</x:f>
        <x:v>15</x:v>
      </x:c>
      <x:c r="Q18" s="1217" t="n">
        <x:f>(Q13+Q8)/2</x:f>
        <x:v>15</x:v>
      </x:c>
      <x:c r="R18" s="1217" t="n">
        <x:f>(R13+R8)/2</x:f>
        <x:v>15</x:v>
      </x:c>
      <x:c r="S18" s="1217" t="n">
        <x:f>(S13+S8)/2</x:f>
        <x:v>15</x:v>
      </x:c>
      <x:c r="T18" s="1217" t="n">
        <x:f>(T13+T8)/2</x:f>
        <x:v>15</x:v>
      </x:c>
      <x:c r="U18" s="1217" t="n">
        <x:f>(U13+U8)/2</x:f>
        <x:v>15</x:v>
      </x:c>
      <x:c r="V18" s="1217" t="n">
        <x:f>(V13+V8)/2</x:f>
        <x:v>15</x:v>
      </x:c>
      <x:c r="W18" s="1217" t="n">
        <x:f>(W13+W8)/2</x:f>
        <x:v>15</x:v>
      </x:c>
      <x:c r="X18" s="1217" t="n">
        <x:f>(X13+X8)/2</x:f>
        <x:v>15</x:v>
      </x:c>
      <x:c r="Y18" s="1217" t="n">
        <x:f>(Y13+Y8)/2</x:f>
        <x:v>15</x:v>
      </x:c>
      <x:c r="Z18" s="1217" t="n">
        <x:f>(Z13+Z8)/2</x:f>
        <x:v>15</x:v>
      </x:c>
      <x:c r="AA18" s="1217" t="n">
        <x:f>(AA13+AA8)/2</x:f>
        <x:v>15</x:v>
      </x:c>
      <x:c r="AB18" s="1217" t="n">
        <x:f>(AB13+AB8)/2</x:f>
        <x:v>15</x:v>
      </x:c>
      <x:c r="AC18" s="1217" t="n">
        <x:f>(AC13+AC8)/2</x:f>
        <x:v>15</x:v>
      </x:c>
      <x:c r="AD18" s="1217" t="n">
        <x:f>(AD13+AD8)/2</x:f>
        <x:v>15</x:v>
      </x:c>
      <x:c r="AE18" s="1217" t="n">
        <x:f>(AE13+AE8)/2</x:f>
        <x:v>15</x:v>
      </x:c>
      <x:c r="AF18" s="1217" t="n">
        <x:f>(AF13+AF8)/2</x:f>
        <x:v>15</x:v>
      </x:c>
      <x:c r="AG18" s="1217" t="n">
        <x:f>(AG13+AG8)/2</x:f>
        <x:v>15</x:v>
      </x:c>
      <x:c r="AH18" s="1217" t="n">
        <x:f>(AH13+AH8)/2</x:f>
        <x:v>15</x:v>
      </x:c>
      <x:c r="AI18" s="1217" t="n">
        <x:f>(AI13+AI8)/2</x:f>
        <x:v>15</x:v>
      </x:c>
      <x:c r="AJ18" s="1217" t="n">
        <x:f>(AJ13+AJ8)/2</x:f>
        <x:v>15</x:v>
      </x:c>
      <x:c r="AK18" s="1217" t="n">
        <x:f>(AK13+AK8)/2</x:f>
        <x:v>15</x:v>
      </x:c>
      <x:c r="AL18" s="1217" t="n">
        <x:f>(AL13+AL8)/2</x:f>
        <x:v>15</x:v>
      </x:c>
      <x:c r="AM18" s="1218" t="n">
        <x:f>(AM13+AM8)/2</x:f>
        <x:v>15</x:v>
      </x:c>
    </x:row>
    <x:row r="19">
      <x:c r="A19" s="145" t="str">
        <x:v>AMSA average MW</x:v>
      </x:c>
      <x:c r="B19" s="124" t="str">
        <x:v>MW</x:v>
      </x:c>
      <x:c r="C19" s="146" t="str">
        <x:v>Formula</x:v>
      </x:c>
      <x:c r="D19" s="1210" t="n">
        <x:f>(D14+D9)/2</x:f>
        <x:v>0</x:v>
      </x:c>
      <x:c r="E19" s="1211" t="n">
        <x:f>(E14+E9)/2</x:f>
        <x:v>0</x:v>
      </x:c>
      <x:c r="F19" s="1211" t="n">
        <x:f>(F14+F9)/2</x:f>
        <x:v>0</x:v>
      </x:c>
      <x:c r="G19" s="1211" t="n">
        <x:f>(G14+G9)/2</x:f>
        <x:v>0</x:v>
      </x:c>
      <x:c r="H19" s="1211" t="n">
        <x:f>(H14+H9)/2</x:f>
        <x:v>0</x:v>
      </x:c>
      <x:c r="I19" s="1211" t="n">
        <x:f>(I14+I9)/2</x:f>
        <x:v>2.5</x:v>
      </x:c>
      <x:c r="J19" s="1211" t="n">
        <x:f>(J14+J9)/2</x:f>
        <x:v>5</x:v>
      </x:c>
      <x:c r="K19" s="1211" t="n">
        <x:f>(K14+K9)/2</x:f>
        <x:v>5</x:v>
      </x:c>
      <x:c r="L19" s="1211" t="n">
        <x:f>(L14+L9)/2</x:f>
        <x:v>5</x:v>
      </x:c>
      <x:c r="M19" s="1211" t="n">
        <x:f>(M14+M9)/2</x:f>
        <x:v>5</x:v>
      </x:c>
      <x:c r="N19" s="1211" t="n">
        <x:f>(N14+N9)/2</x:f>
        <x:v>5</x:v>
      </x:c>
      <x:c r="O19" s="1211" t="n">
        <x:f>(O14+O9)/2</x:f>
        <x:v>5</x:v>
      </x:c>
      <x:c r="P19" s="1211" t="n">
        <x:f>(P14+P9)/2</x:f>
        <x:v>5</x:v>
      </x:c>
      <x:c r="Q19" s="1211" t="n">
        <x:f>(Q14+Q9)/2</x:f>
        <x:v>5</x:v>
      </x:c>
      <x:c r="R19" s="1211" t="n">
        <x:f>(R14+R9)/2</x:f>
        <x:v>5</x:v>
      </x:c>
      <x:c r="S19" s="1211" t="n">
        <x:f>(S14+S9)/2</x:f>
        <x:v>5</x:v>
      </x:c>
      <x:c r="T19" s="1211" t="n">
        <x:f>(T14+T9)/2</x:f>
        <x:v>5</x:v>
      </x:c>
      <x:c r="U19" s="1211" t="n">
        <x:f>(U14+U9)/2</x:f>
        <x:v>5</x:v>
      </x:c>
      <x:c r="V19" s="1211" t="n">
        <x:f>(V14+V9)/2</x:f>
        <x:v>5</x:v>
      </x:c>
      <x:c r="W19" s="1211" t="n">
        <x:f>(W14+W9)/2</x:f>
        <x:v>5</x:v>
      </x:c>
      <x:c r="X19" s="1211" t="n">
        <x:f>(X14+X9)/2</x:f>
        <x:v>5</x:v>
      </x:c>
      <x:c r="Y19" s="1211" t="n">
        <x:f>(Y14+Y9)/2</x:f>
        <x:v>5</x:v>
      </x:c>
      <x:c r="Z19" s="1211" t="n">
        <x:f>(Z14+Z9)/2</x:f>
        <x:v>5</x:v>
      </x:c>
      <x:c r="AA19" s="1211" t="n">
        <x:f>(AA14+AA9)/2</x:f>
        <x:v>5</x:v>
      </x:c>
      <x:c r="AB19" s="1211" t="n">
        <x:f>(AB14+AB9)/2</x:f>
        <x:v>5</x:v>
      </x:c>
      <x:c r="AC19" s="1211" t="n">
        <x:f>(AC14+AC9)/2</x:f>
        <x:v>5</x:v>
      </x:c>
      <x:c r="AD19" s="1211" t="n">
        <x:f>(AD14+AD9)/2</x:f>
        <x:v>5</x:v>
      </x:c>
      <x:c r="AE19" s="1211" t="n">
        <x:f>(AE14+AE9)/2</x:f>
        <x:v>5</x:v>
      </x:c>
      <x:c r="AF19" s="1211" t="n">
        <x:f>(AF14+AF9)/2</x:f>
        <x:v>5</x:v>
      </x:c>
      <x:c r="AG19" s="1211" t="n">
        <x:f>(AG14+AG9)/2</x:f>
        <x:v>5</x:v>
      </x:c>
      <x:c r="AH19" s="1211" t="n">
        <x:f>(AH14+AH9)/2</x:f>
        <x:v>5</x:v>
      </x:c>
      <x:c r="AI19" s="1211" t="n">
        <x:f>(AI14+AI9)/2</x:f>
        <x:v>5</x:v>
      </x:c>
      <x:c r="AJ19" s="1211" t="n">
        <x:f>(AJ14+AJ9)/2</x:f>
        <x:v>5</x:v>
      </x:c>
      <x:c r="AK19" s="1211" t="n">
        <x:f>(AK14+AK9)/2</x:f>
        <x:v>5</x:v>
      </x:c>
      <x:c r="AL19" s="1211" t="n">
        <x:f>(AL14+AL9)/2</x:f>
        <x:v>5</x:v>
      </x:c>
      <x:c r="AM19" s="1212" t="n">
        <x:f>(AM14+AM9)/2</x:f>
        <x:v>5</x:v>
      </x:c>
    </x:row>
    <x:row r="20">
      <x:c r="A20" s="145" t="str">
        <x:v>AMSA average solar MW</x:v>
      </x:c>
      <x:c r="B20" s="124" t="str">
        <x:v>MW</x:v>
      </x:c>
      <x:c r="C20" s="146" t="str">
        <x:v>Formula</x:v>
      </x:c>
      <x:c r="D20" s="1210" t="n">
        <x:f>(D15+D10)/2</x:f>
        <x:v>0</x:v>
      </x:c>
      <x:c r="E20" s="1211" t="n">
        <x:f>(E15+E10)/2</x:f>
        <x:v>0</x:v>
      </x:c>
      <x:c r="F20" s="1211" t="n">
        <x:f>(F15+F10)/2</x:f>
        <x:v>0</x:v>
      </x:c>
      <x:c r="G20" s="1211" t="n">
        <x:f>(G15+G10)/2</x:f>
        <x:v>0</x:v>
      </x:c>
      <x:c r="H20" s="1211" t="n">
        <x:f>(H15+H10)/2</x:f>
        <x:v>5</x:v>
      </x:c>
      <x:c r="I20" s="1211" t="n">
        <x:f>(I15+I10)/2</x:f>
        <x:v>10</x:v>
      </x:c>
      <x:c r="J20" s="1211" t="n">
        <x:f>(J15+J10)/2</x:f>
        <x:v>10</x:v>
      </x:c>
      <x:c r="K20" s="1211" t="n">
        <x:f>(K15+K10)/2</x:f>
        <x:v>10</x:v>
      </x:c>
      <x:c r="L20" s="1211" t="n">
        <x:f>(L15+L10)/2</x:f>
        <x:v>10</x:v>
      </x:c>
      <x:c r="M20" s="1211" t="n">
        <x:f>(M15+M10)/2</x:f>
        <x:v>10</x:v>
      </x:c>
      <x:c r="N20" s="1211" t="n">
        <x:f>(N15+N10)/2</x:f>
        <x:v>10</x:v>
      </x:c>
      <x:c r="O20" s="1211" t="n">
        <x:f>(O15+O10)/2</x:f>
        <x:v>10</x:v>
      </x:c>
      <x:c r="P20" s="1211" t="n">
        <x:f>(P15+P10)/2</x:f>
        <x:v>10</x:v>
      </x:c>
      <x:c r="Q20" s="1211" t="n">
        <x:f>(Q15+Q10)/2</x:f>
        <x:v>10</x:v>
      </x:c>
      <x:c r="R20" s="1211" t="n">
        <x:f>(R15+R10)/2</x:f>
        <x:v>10</x:v>
      </x:c>
      <x:c r="S20" s="1211" t="n">
        <x:f>(S15+S10)/2</x:f>
        <x:v>10</x:v>
      </x:c>
      <x:c r="T20" s="1211" t="n">
        <x:f>(T15+T10)/2</x:f>
        <x:v>10</x:v>
      </x:c>
      <x:c r="U20" s="1211" t="n">
        <x:f>(U15+U10)/2</x:f>
        <x:v>10</x:v>
      </x:c>
      <x:c r="V20" s="1211" t="n">
        <x:f>(V15+V10)/2</x:f>
        <x:v>10</x:v>
      </x:c>
      <x:c r="W20" s="1211" t="n">
        <x:f>(W15+W10)/2</x:f>
        <x:v>10</x:v>
      </x:c>
      <x:c r="X20" s="1211" t="n">
        <x:f>(X15+X10)/2</x:f>
        <x:v>10</x:v>
      </x:c>
      <x:c r="Y20" s="1211" t="n">
        <x:f>(Y15+Y10)/2</x:f>
        <x:v>10</x:v>
      </x:c>
      <x:c r="Z20" s="1211" t="n">
        <x:f>(Z15+Z10)/2</x:f>
        <x:v>10</x:v>
      </x:c>
      <x:c r="AA20" s="1211" t="n">
        <x:f>(AA15+AA10)/2</x:f>
        <x:v>10</x:v>
      </x:c>
      <x:c r="AB20" s="1211" t="n">
        <x:f>(AB15+AB10)/2</x:f>
        <x:v>10</x:v>
      </x:c>
      <x:c r="AC20" s="1211" t="n">
        <x:f>(AC15+AC10)/2</x:f>
        <x:v>10</x:v>
      </x:c>
      <x:c r="AD20" s="1211" t="n">
        <x:f>(AD15+AD10)/2</x:f>
        <x:v>10</x:v>
      </x:c>
      <x:c r="AE20" s="1211" t="n">
        <x:f>(AE15+AE10)/2</x:f>
        <x:v>10</x:v>
      </x:c>
      <x:c r="AF20" s="1211" t="n">
        <x:f>(AF15+AF10)/2</x:f>
        <x:v>10</x:v>
      </x:c>
      <x:c r="AG20" s="1211" t="n">
        <x:f>(AG15+AG10)/2</x:f>
        <x:v>10</x:v>
      </x:c>
      <x:c r="AH20" s="1211" t="n">
        <x:f>(AH15+AH10)/2</x:f>
        <x:v>10</x:v>
      </x:c>
      <x:c r="AI20" s="1211" t="n">
        <x:f>(AI15+AI10)/2</x:f>
        <x:v>10</x:v>
      </x:c>
      <x:c r="AJ20" s="1211" t="n">
        <x:f>(AJ15+AJ10)/2</x:f>
        <x:v>10</x:v>
      </x:c>
      <x:c r="AK20" s="1211" t="n">
        <x:f>(AK15+AK10)/2</x:f>
        <x:v>10</x:v>
      </x:c>
      <x:c r="AL20" s="1211" t="n">
        <x:f>(AL15+AL10)/2</x:f>
        <x:v>10</x:v>
      </x:c>
      <x:c r="AM20" s="1212" t="n">
        <x:f>(AM15+AM10)/2</x:f>
        <x:v>10</x:v>
      </x:c>
    </x:row>
    <x:row r="21">
      <x:c r="A21" s="145" t="str">
        <x:v>Total average MW</x:v>
      </x:c>
      <x:c r="B21" s="124" t="str">
        <x:v>MW</x:v>
      </x:c>
      <x:c r="C21" s="146" t="str">
        <x:v>Formula</x:v>
      </x:c>
      <x:c r="D21" s="1210" t="n">
        <x:f>D18+D19</x:f>
        <x:v>0</x:v>
      </x:c>
      <x:c r="E21" s="1211" t="n">
        <x:f>E18+E19</x:f>
        <x:v>0</x:v>
      </x:c>
      <x:c r="F21" s="1211" t="n">
        <x:f>F18+F19</x:f>
        <x:v>2.5</x:v>
      </x:c>
      <x:c r="G21" s="1211" t="n">
        <x:f>G18+G19</x:f>
        <x:v>7.5</x:v>
      </x:c>
      <x:c r="H21" s="1211" t="n">
        <x:f>H18+H19</x:f>
        <x:v>12.5</x:v>
      </x:c>
      <x:c r="I21" s="1211" t="n">
        <x:f>I18+I19</x:f>
        <x:v>17.5</x:v>
      </x:c>
      <x:c r="J21" s="1211" t="n">
        <x:f>J18+J19</x:f>
        <x:v>20</x:v>
      </x:c>
      <x:c r="K21" s="1211" t="n">
        <x:f>K18+K19</x:f>
        <x:v>20</x:v>
      </x:c>
      <x:c r="L21" s="1211" t="n">
        <x:f>L18+L19</x:f>
        <x:v>20</x:v>
      </x:c>
      <x:c r="M21" s="1211" t="n">
        <x:f>M18+M19</x:f>
        <x:v>20</x:v>
      </x:c>
      <x:c r="N21" s="1211" t="n">
        <x:f>N18+N19</x:f>
        <x:v>20</x:v>
      </x:c>
      <x:c r="O21" s="1211" t="n">
        <x:f>O18+O19</x:f>
        <x:v>20</x:v>
      </x:c>
      <x:c r="P21" s="1211" t="n">
        <x:f>P18+P19</x:f>
        <x:v>20</x:v>
      </x:c>
      <x:c r="Q21" s="1211" t="n">
        <x:f>Q18+Q19</x:f>
        <x:v>20</x:v>
      </x:c>
      <x:c r="R21" s="1211" t="n">
        <x:f>R18+R19</x:f>
        <x:v>20</x:v>
      </x:c>
      <x:c r="S21" s="1211" t="n">
        <x:f>S18+S19</x:f>
        <x:v>20</x:v>
      </x:c>
      <x:c r="T21" s="1211" t="n">
        <x:f>T18+T19</x:f>
        <x:v>20</x:v>
      </x:c>
      <x:c r="U21" s="1211" t="n">
        <x:f>U18+U19</x:f>
        <x:v>20</x:v>
      </x:c>
      <x:c r="V21" s="1211" t="n">
        <x:f>V18+V19</x:f>
        <x:v>20</x:v>
      </x:c>
      <x:c r="W21" s="1211" t="n">
        <x:f>W18+W19</x:f>
        <x:v>20</x:v>
      </x:c>
      <x:c r="X21" s="1211" t="n">
        <x:f>X18+X19</x:f>
        <x:v>20</x:v>
      </x:c>
      <x:c r="Y21" s="1211" t="n">
        <x:f>Y18+Y19</x:f>
        <x:v>20</x:v>
      </x:c>
      <x:c r="Z21" s="1211" t="n">
        <x:f>Z18+Z19</x:f>
        <x:v>20</x:v>
      </x:c>
      <x:c r="AA21" s="1211" t="n">
        <x:f>AA18+AA19</x:f>
        <x:v>20</x:v>
      </x:c>
      <x:c r="AB21" s="1211" t="n">
        <x:f>AB18+AB19</x:f>
        <x:v>20</x:v>
      </x:c>
      <x:c r="AC21" s="1211" t="n">
        <x:f>AC18+AC19</x:f>
        <x:v>20</x:v>
      </x:c>
      <x:c r="AD21" s="1211" t="n">
        <x:f>AD18+AD19</x:f>
        <x:v>20</x:v>
      </x:c>
      <x:c r="AE21" s="1211" t="n">
        <x:f>AE18+AE19</x:f>
        <x:v>20</x:v>
      </x:c>
      <x:c r="AF21" s="1211" t="n">
        <x:f>AF18+AF19</x:f>
        <x:v>20</x:v>
      </x:c>
      <x:c r="AG21" s="1211" t="n">
        <x:f>AG18+AG19</x:f>
        <x:v>20</x:v>
      </x:c>
      <x:c r="AH21" s="1211" t="n">
        <x:f>AH18+AH19</x:f>
        <x:v>20</x:v>
      </x:c>
      <x:c r="AI21" s="1211" t="n">
        <x:f>AI18+AI19</x:f>
        <x:v>20</x:v>
      </x:c>
      <x:c r="AJ21" s="1211" t="n">
        <x:f>AJ18+AJ19</x:f>
        <x:v>20</x:v>
      </x:c>
      <x:c r="AK21" s="1211" t="n">
        <x:f>AK18+AK19</x:f>
        <x:v>20</x:v>
      </x:c>
      <x:c r="AL21" s="1211" t="n">
        <x:f>AL18+AL19</x:f>
        <x:v>20</x:v>
      </x:c>
      <x:c r="AM21" s="1212" t="n">
        <x:f>AM18+AM19</x:f>
        <x:v>20</x:v>
      </x:c>
    </x:row>
    <x:row r="22">
      <x:c r="A22" s="145"/>
      <x:c r="B22" s="124"/>
      <x:c r="C22" s="146"/>
      <x:c r="D22" s="1210"/>
      <x:c r="E22" s="1211"/>
      <x:c r="F22" s="1211"/>
      <x:c r="G22" s="1211"/>
      <x:c r="H22" s="1211"/>
      <x:c r="I22" s="1211"/>
      <x:c r="J22" s="1211"/>
      <x:c r="K22" s="1211"/>
      <x:c r="L22" s="1211"/>
      <x:c r="M22" s="1211"/>
      <x:c r="N22" s="1211"/>
      <x:c r="O22" s="1211"/>
      <x:c r="P22" s="1211"/>
      <x:c r="Q22" s="1211"/>
      <x:c r="R22" s="1211"/>
      <x:c r="S22" s="1211"/>
      <x:c r="T22" s="1211"/>
      <x:c r="U22" s="1211"/>
      <x:c r="V22" s="1211"/>
      <x:c r="W22" s="1211"/>
      <x:c r="X22" s="1211"/>
      <x:c r="Y22" s="1211"/>
      <x:c r="Z22" s="1211"/>
      <x:c r="AA22" s="1211"/>
      <x:c r="AB22" s="1211"/>
      <x:c r="AC22" s="1211"/>
      <x:c r="AD22" s="1211"/>
      <x:c r="AE22" s="1211"/>
      <x:c r="AF22" s="1211"/>
      <x:c r="AG22" s="1211"/>
      <x:c r="AH22" s="1211"/>
      <x:c r="AI22" s="1211"/>
      <x:c r="AJ22" s="1211"/>
      <x:c r="AK22" s="1211"/>
      <x:c r="AL22" s="1211"/>
      <x:c r="AM22" s="1212"/>
    </x:row>
    <x:row r="23">
      <x:c r="A23" s="145"/>
      <x:c r="B23" s="124"/>
      <x:c r="C23" s="146"/>
      <x:c r="D23" s="1210"/>
      <x:c r="E23" s="1211"/>
      <x:c r="F23" s="1211"/>
      <x:c r="G23" s="1211"/>
      <x:c r="H23" s="1211"/>
      <x:c r="I23" s="1211"/>
      <x:c r="J23" s="1211"/>
      <x:c r="K23" s="1211"/>
      <x:c r="L23" s="1211"/>
      <x:c r="M23" s="1211"/>
      <x:c r="N23" s="1211"/>
      <x:c r="O23" s="1211"/>
      <x:c r="P23" s="1211"/>
      <x:c r="Q23" s="1211"/>
      <x:c r="R23" s="1211"/>
      <x:c r="S23" s="1211"/>
      <x:c r="T23" s="1211"/>
      <x:c r="U23" s="1211"/>
      <x:c r="V23" s="1211"/>
      <x:c r="W23" s="1211"/>
      <x:c r="X23" s="1211"/>
      <x:c r="Y23" s="1211"/>
      <x:c r="Z23" s="1211"/>
      <x:c r="AA23" s="1211"/>
      <x:c r="AB23" s="1211"/>
      <x:c r="AC23" s="1211"/>
      <x:c r="AD23" s="1211"/>
      <x:c r="AE23" s="1211"/>
      <x:c r="AF23" s="1211"/>
      <x:c r="AG23" s="1211"/>
      <x:c r="AH23" s="1211"/>
      <x:c r="AI23" s="1211"/>
      <x:c r="AJ23" s="1211"/>
      <x:c r="AK23" s="1211"/>
      <x:c r="AL23" s="1211"/>
      <x:c r="AM23" s="1212"/>
    </x:row>
    <x:row r="24">
      <x:c r="A24" s="189" t="str">
        <x:v>Grootvlei new MW</x:v>
      </x:c>
      <x:c r="B24" s="190" t="str">
        <x:v>MW</x:v>
      </x:c>
      <x:c r="C24" s="191" t="str">
        <x:v>Formula</x:v>
      </x:c>
      <x:c r="D24" s="1216" t="n">
        <x:f>MAX(0,D8-D13)</x:f>
        <x:v>0</x:v>
      </x:c>
      <x:c r="E24" s="1217" t="n">
        <x:f>MAX(0,E8-E13)</x:f>
        <x:v>0</x:v>
      </x:c>
      <x:c r="F24" s="1217" t="n">
        <x:f>MAX(0,F8-F13)</x:f>
        <x:v>5</x:v>
      </x:c>
      <x:c r="G24" s="1217" t="n">
        <x:f>MAX(0,G8-G13)</x:f>
        <x:v>5</x:v>
      </x:c>
      <x:c r="H24" s="1217" t="n">
        <x:f>MAX(0,H8-H13)</x:f>
        <x:v>5</x:v>
      </x:c>
      <x:c r="I24" s="1217" t="n">
        <x:f>MAX(0,I8-I13)</x:f>
        <x:v>0</x:v>
      </x:c>
      <x:c r="J24" s="1217" t="n">
        <x:f>MAX(0,J8-J13)</x:f>
        <x:v>0</x:v>
      </x:c>
      <x:c r="K24" s="1217" t="n">
        <x:f>MAX(0,K8-K13)</x:f>
        <x:v>0</x:v>
      </x:c>
      <x:c r="L24" s="1217" t="n">
        <x:f>MAX(0,L8-L13)</x:f>
        <x:v>0</x:v>
      </x:c>
      <x:c r="M24" s="1217" t="n">
        <x:f>MAX(0,M8-M13)</x:f>
        <x:v>0</x:v>
      </x:c>
      <x:c r="N24" s="1217" t="n">
        <x:f>MAX(0,N8-N13)</x:f>
        <x:v>0</x:v>
      </x:c>
      <x:c r="O24" s="1217" t="n">
        <x:f>MAX(0,O8-O13)</x:f>
        <x:v>0</x:v>
      </x:c>
      <x:c r="P24" s="1217" t="n">
        <x:f>MAX(0,P8-P13)</x:f>
        <x:v>0</x:v>
      </x:c>
      <x:c r="Q24" s="1217" t="n">
        <x:f>MAX(0,Q8-Q13)</x:f>
        <x:v>0</x:v>
      </x:c>
      <x:c r="R24" s="1217" t="n">
        <x:f>MAX(0,R8-R13)</x:f>
        <x:v>0</x:v>
      </x:c>
      <x:c r="S24" s="1217" t="n">
        <x:f>MAX(0,S8-S13)</x:f>
        <x:v>0</x:v>
      </x:c>
      <x:c r="T24" s="1217" t="n">
        <x:f>MAX(0,T8-T13)</x:f>
        <x:v>0</x:v>
      </x:c>
      <x:c r="U24" s="1217" t="n">
        <x:f>MAX(0,U8-U13)</x:f>
        <x:v>0</x:v>
      </x:c>
      <x:c r="V24" s="1217" t="n">
        <x:f>MAX(0,V8-V13)</x:f>
        <x:v>0</x:v>
      </x:c>
      <x:c r="W24" s="1217" t="n">
        <x:f>MAX(0,W8-W13)</x:f>
        <x:v>0</x:v>
      </x:c>
      <x:c r="X24" s="1217" t="n">
        <x:f>MAX(0,X8-X13)</x:f>
        <x:v>0</x:v>
      </x:c>
      <x:c r="Y24" s="1217" t="n">
        <x:f>MAX(0,Y8-Y13)</x:f>
        <x:v>0</x:v>
      </x:c>
      <x:c r="Z24" s="1217" t="n">
        <x:f>MAX(0,Z8-Z13)</x:f>
        <x:v>0</x:v>
      </x:c>
      <x:c r="AA24" s="1217" t="n">
        <x:f>MAX(0,AA8-AA13)</x:f>
        <x:v>0</x:v>
      </x:c>
      <x:c r="AB24" s="1217" t="n">
        <x:f>MAX(0,AB8-AB13)</x:f>
        <x:v>0</x:v>
      </x:c>
      <x:c r="AC24" s="1217" t="n">
        <x:f>MAX(0,AC8-AC13)</x:f>
        <x:v>0</x:v>
      </x:c>
      <x:c r="AD24" s="1217" t="n">
        <x:f>MAX(0,AD8-AD13)</x:f>
        <x:v>0</x:v>
      </x:c>
      <x:c r="AE24" s="1217" t="n">
        <x:f>MAX(0,AE8-AE13)</x:f>
        <x:v>0</x:v>
      </x:c>
      <x:c r="AF24" s="1217" t="n">
        <x:f>MAX(0,AF8-AF13)</x:f>
        <x:v>0</x:v>
      </x:c>
      <x:c r="AG24" s="1217" t="n">
        <x:f>MAX(0,AG8-AG13)</x:f>
        <x:v>0</x:v>
      </x:c>
      <x:c r="AH24" s="1217" t="n">
        <x:f>MAX(0,AH8-AH13)</x:f>
        <x:v>0</x:v>
      </x:c>
      <x:c r="AI24" s="1217" t="n">
        <x:f>MAX(0,AI8-AI13)</x:f>
        <x:v>0</x:v>
      </x:c>
      <x:c r="AJ24" s="1217" t="n">
        <x:f>MAX(0,AJ8-AJ13)</x:f>
        <x:v>0</x:v>
      </x:c>
      <x:c r="AK24" s="1217" t="n">
        <x:f>MAX(0,AK8-AK13)</x:f>
        <x:v>0</x:v>
      </x:c>
      <x:c r="AL24" s="1217" t="n">
        <x:f>MAX(0,AL8-AL13)</x:f>
        <x:v>0</x:v>
      </x:c>
      <x:c r="AM24" s="1218" t="n">
        <x:f>MAX(0,AM8-AM13)</x:f>
        <x:v>0</x:v>
      </x:c>
    </x:row>
    <x:row r="25">
      <x:c r="A25" s="145" t="str">
        <x:v>AMSA new MW</x:v>
      </x:c>
      <x:c r="B25" s="124" t="str">
        <x:v>MW</x:v>
      </x:c>
      <x:c r="C25" s="146" t="str">
        <x:v>Formula</x:v>
      </x:c>
      <x:c r="D25" s="1210" t="n">
        <x:f>MAX(0,D9-D14)</x:f>
        <x:v>0</x:v>
      </x:c>
      <x:c r="E25" s="1211" t="n">
        <x:f>MAX(0,E9-E14)</x:f>
        <x:v>0</x:v>
      </x:c>
      <x:c r="F25" s="1211" t="n">
        <x:f>MAX(0,F9-F14)</x:f>
        <x:v>0</x:v>
      </x:c>
      <x:c r="G25" s="1211" t="n">
        <x:f>MAX(0,G9-G14)</x:f>
        <x:v>0</x:v>
      </x:c>
      <x:c r="H25" s="1211" t="n">
        <x:f>MAX(0,H9-H14)</x:f>
        <x:v>0</x:v>
      </x:c>
      <x:c r="I25" s="1211" t="n">
        <x:f>MAX(0,I9-I14)</x:f>
        <x:v>5</x:v>
      </x:c>
      <x:c r="J25" s="1211" t="n">
        <x:f>MAX(0,J9-J14)</x:f>
        <x:v>0</x:v>
      </x:c>
      <x:c r="K25" s="1211" t="n">
        <x:f>MAX(0,K9-K14)</x:f>
        <x:v>0</x:v>
      </x:c>
      <x:c r="L25" s="1211" t="n">
        <x:f>MAX(0,L9-L14)</x:f>
        <x:v>0</x:v>
      </x:c>
      <x:c r="M25" s="1211" t="n">
        <x:f>MAX(0,M9-M14)</x:f>
        <x:v>0</x:v>
      </x:c>
      <x:c r="N25" s="1211" t="n">
        <x:f>MAX(0,N9-N14)</x:f>
        <x:v>0</x:v>
      </x:c>
      <x:c r="O25" s="1211" t="n">
        <x:f>MAX(0,O9-O14)</x:f>
        <x:v>0</x:v>
      </x:c>
      <x:c r="P25" s="1211" t="n">
        <x:f>MAX(0,P9-P14)</x:f>
        <x:v>0</x:v>
      </x:c>
      <x:c r="Q25" s="1211" t="n">
        <x:f>MAX(0,Q9-Q14)</x:f>
        <x:v>0</x:v>
      </x:c>
      <x:c r="R25" s="1211" t="n">
        <x:f>MAX(0,R9-R14)</x:f>
        <x:v>0</x:v>
      </x:c>
      <x:c r="S25" s="1211" t="n">
        <x:f>MAX(0,S9-S14)</x:f>
        <x:v>0</x:v>
      </x:c>
      <x:c r="T25" s="1211" t="n">
        <x:f>MAX(0,T9-T14)</x:f>
        <x:v>0</x:v>
      </x:c>
      <x:c r="U25" s="1211" t="n">
        <x:f>MAX(0,U9-U14)</x:f>
        <x:v>0</x:v>
      </x:c>
      <x:c r="V25" s="1211" t="n">
        <x:f>MAX(0,V9-V14)</x:f>
        <x:v>0</x:v>
      </x:c>
      <x:c r="W25" s="1211" t="n">
        <x:f>MAX(0,W9-W14)</x:f>
        <x:v>0</x:v>
      </x:c>
      <x:c r="X25" s="1211" t="n">
        <x:f>MAX(0,X9-X14)</x:f>
        <x:v>0</x:v>
      </x:c>
      <x:c r="Y25" s="1211" t="n">
        <x:f>MAX(0,Y9-Y14)</x:f>
        <x:v>0</x:v>
      </x:c>
      <x:c r="Z25" s="1211" t="n">
        <x:f>MAX(0,Z9-Z14)</x:f>
        <x:v>0</x:v>
      </x:c>
      <x:c r="AA25" s="1211" t="n">
        <x:f>MAX(0,AA9-AA14)</x:f>
        <x:v>0</x:v>
      </x:c>
      <x:c r="AB25" s="1211" t="n">
        <x:f>MAX(0,AB9-AB14)</x:f>
        <x:v>0</x:v>
      </x:c>
      <x:c r="AC25" s="1211" t="n">
        <x:f>MAX(0,AC9-AC14)</x:f>
        <x:v>0</x:v>
      </x:c>
      <x:c r="AD25" s="1211" t="n">
        <x:f>MAX(0,AD9-AD14)</x:f>
        <x:v>0</x:v>
      </x:c>
      <x:c r="AE25" s="1211" t="n">
        <x:f>MAX(0,AE9-AE14)</x:f>
        <x:v>0</x:v>
      </x:c>
      <x:c r="AF25" s="1211" t="n">
        <x:f>MAX(0,AF9-AF14)</x:f>
        <x:v>0</x:v>
      </x:c>
      <x:c r="AG25" s="1211" t="n">
        <x:f>MAX(0,AG9-AG14)</x:f>
        <x:v>0</x:v>
      </x:c>
      <x:c r="AH25" s="1211" t="n">
        <x:f>MAX(0,AH9-AH14)</x:f>
        <x:v>0</x:v>
      </x:c>
      <x:c r="AI25" s="1211" t="n">
        <x:f>MAX(0,AI9-AI14)</x:f>
        <x:v>0</x:v>
      </x:c>
      <x:c r="AJ25" s="1211" t="n">
        <x:f>MAX(0,AJ9-AJ14)</x:f>
        <x:v>0</x:v>
      </x:c>
      <x:c r="AK25" s="1211" t="n">
        <x:f>MAX(0,AK9-AK14)</x:f>
        <x:v>0</x:v>
      </x:c>
      <x:c r="AL25" s="1211" t="n">
        <x:f>MAX(0,AL9-AL14)</x:f>
        <x:v>0</x:v>
      </x:c>
      <x:c r="AM25" s="1212" t="n">
        <x:f>MAX(0,AM9-AM14)</x:f>
        <x:v>0</x:v>
      </x:c>
    </x:row>
    <x:row r="26">
      <x:c r="A26" s="145" t="str">
        <x:v>AMSA solar new MW</x:v>
      </x:c>
      <x:c r="B26" s="124" t="str">
        <x:v>MW</x:v>
      </x:c>
      <x:c r="C26" s="146" t="str">
        <x:v>Formula</x:v>
      </x:c>
      <x:c r="D26" s="1210" t="n">
        <x:f>MAX(0,D10-D15)</x:f>
        <x:v>0</x:v>
      </x:c>
      <x:c r="E26" s="1211" t="n">
        <x:f>MAX(0,E10-E15)</x:f>
        <x:v>0</x:v>
      </x:c>
      <x:c r="F26" s="1211" t="n">
        <x:f>MAX(0,F10-F15)</x:f>
        <x:v>0</x:v>
      </x:c>
      <x:c r="G26" s="1211" t="n">
        <x:f>MAX(0,G10-G15)</x:f>
        <x:v>0</x:v>
      </x:c>
      <x:c r="H26" s="1211" t="n">
        <x:f>MAX(0,H10-H15)</x:f>
        <x:v>10</x:v>
      </x:c>
      <x:c r="I26" s="1211" t="n">
        <x:f>MAX(0,I10-I15)</x:f>
        <x:v>0</x:v>
      </x:c>
      <x:c r="J26" s="1211" t="n">
        <x:f>MAX(0,J10-J15)</x:f>
        <x:v>0</x:v>
      </x:c>
      <x:c r="K26" s="1211" t="n">
        <x:f>MAX(0,K10-K15)</x:f>
        <x:v>0</x:v>
      </x:c>
      <x:c r="L26" s="1211" t="n">
        <x:f>MAX(0,L10-L15)</x:f>
        <x:v>0</x:v>
      </x:c>
      <x:c r="M26" s="1211" t="n">
        <x:f>MAX(0,M10-M15)</x:f>
        <x:v>0</x:v>
      </x:c>
      <x:c r="N26" s="1211" t="n">
        <x:f>MAX(0,N10-N15)</x:f>
        <x:v>0</x:v>
      </x:c>
      <x:c r="O26" s="1211" t="n">
        <x:f>MAX(0,O10-O15)</x:f>
        <x:v>0</x:v>
      </x:c>
      <x:c r="P26" s="1211" t="n">
        <x:f>MAX(0,P10-P15)</x:f>
        <x:v>0</x:v>
      </x:c>
      <x:c r="Q26" s="1211" t="n">
        <x:f>MAX(0,Q10-Q15)</x:f>
        <x:v>0</x:v>
      </x:c>
      <x:c r="R26" s="1211" t="n">
        <x:f>MAX(0,R10-R15)</x:f>
        <x:v>0</x:v>
      </x:c>
      <x:c r="S26" s="1211" t="n">
        <x:f>MAX(0,S10-S15)</x:f>
        <x:v>0</x:v>
      </x:c>
      <x:c r="T26" s="1211" t="n">
        <x:f>MAX(0,T10-T15)</x:f>
        <x:v>0</x:v>
      </x:c>
      <x:c r="U26" s="1211" t="n">
        <x:f>MAX(0,U10-U15)</x:f>
        <x:v>0</x:v>
      </x:c>
      <x:c r="V26" s="1211" t="n">
        <x:f>MAX(0,V10-V15)</x:f>
        <x:v>0</x:v>
      </x:c>
      <x:c r="W26" s="1211" t="n">
        <x:f>MAX(0,W10-W15)</x:f>
        <x:v>0</x:v>
      </x:c>
      <x:c r="X26" s="1211" t="n">
        <x:f>MAX(0,X10-X15)</x:f>
        <x:v>0</x:v>
      </x:c>
      <x:c r="Y26" s="1211" t="n">
        <x:f>MAX(0,Y10-Y15)</x:f>
        <x:v>0</x:v>
      </x:c>
      <x:c r="Z26" s="1211" t="n">
        <x:f>MAX(0,Z10-Z15)</x:f>
        <x:v>0</x:v>
      </x:c>
      <x:c r="AA26" s="1211" t="n">
        <x:f>MAX(0,AA10-AA15)</x:f>
        <x:v>0</x:v>
      </x:c>
      <x:c r="AB26" s="1211" t="n">
        <x:f>MAX(0,AB10-AB15)</x:f>
        <x:v>0</x:v>
      </x:c>
      <x:c r="AC26" s="1211" t="n">
        <x:f>MAX(0,AC10-AC15)</x:f>
        <x:v>0</x:v>
      </x:c>
      <x:c r="AD26" s="1211" t="n">
        <x:f>MAX(0,AD10-AD15)</x:f>
        <x:v>0</x:v>
      </x:c>
      <x:c r="AE26" s="1211" t="n">
        <x:f>MAX(0,AE10-AE15)</x:f>
        <x:v>0</x:v>
      </x:c>
      <x:c r="AF26" s="1211" t="n">
        <x:f>MAX(0,AF10-AF15)</x:f>
        <x:v>0</x:v>
      </x:c>
      <x:c r="AG26" s="1211" t="n">
        <x:f>MAX(0,AG10-AG15)</x:f>
        <x:v>0</x:v>
      </x:c>
      <x:c r="AH26" s="1211" t="n">
        <x:f>MAX(0,AH10-AH15)</x:f>
        <x:v>0</x:v>
      </x:c>
      <x:c r="AI26" s="1211" t="n">
        <x:f>MAX(0,AI10-AI15)</x:f>
        <x:v>0</x:v>
      </x:c>
      <x:c r="AJ26" s="1211" t="n">
        <x:f>MAX(0,AJ10-AJ15)</x:f>
        <x:v>0</x:v>
      </x:c>
      <x:c r="AK26" s="1211" t="n">
        <x:f>MAX(0,AK10-AK15)</x:f>
        <x:v>0</x:v>
      </x:c>
      <x:c r="AL26" s="1211" t="n">
        <x:f>MAX(0,AL10-AL15)</x:f>
        <x:v>0</x:v>
      </x:c>
      <x:c r="AM26" s="1212" t="n">
        <x:f>MAX(0,AM10-AM15)</x:f>
        <x:v>0</x:v>
      </x:c>
    </x:row>
    <x:row r="27">
      <x:c r="A27" s="145" t="str">
        <x:v>Total new MW</x:v>
      </x:c>
      <x:c r="B27" s="124" t="str">
        <x:v>MW</x:v>
      </x:c>
      <x:c r="C27" s="146" t="str">
        <x:v>Formula</x:v>
      </x:c>
      <x:c r="D27" s="1210" t="n">
        <x:f>D24+D25</x:f>
        <x:v>0</x:v>
      </x:c>
      <x:c r="E27" s="1211" t="n">
        <x:f>E24+E25</x:f>
        <x:v>0</x:v>
      </x:c>
      <x:c r="F27" s="1211" t="n">
        <x:f>F24+F25</x:f>
        <x:v>5</x:v>
      </x:c>
      <x:c r="G27" s="1211" t="n">
        <x:f>G24+G25</x:f>
        <x:v>5</x:v>
      </x:c>
      <x:c r="H27" s="1211" t="n">
        <x:f>H24+H25</x:f>
        <x:v>5</x:v>
      </x:c>
      <x:c r="I27" s="1211" t="n">
        <x:f>I24+I25</x:f>
        <x:v>5</x:v>
      </x:c>
      <x:c r="J27" s="1211" t="n">
        <x:f>J24+J25</x:f>
        <x:v>0</x:v>
      </x:c>
      <x:c r="K27" s="1211" t="n">
        <x:f>K24+K25</x:f>
        <x:v>0</x:v>
      </x:c>
      <x:c r="L27" s="1211" t="n">
        <x:f>L24+L25</x:f>
        <x:v>0</x:v>
      </x:c>
      <x:c r="M27" s="1211" t="n">
        <x:f>M24+M25</x:f>
        <x:v>0</x:v>
      </x:c>
      <x:c r="N27" s="1211" t="n">
        <x:f>N24+N25</x:f>
        <x:v>0</x:v>
      </x:c>
      <x:c r="O27" s="1211" t="n">
        <x:f>O24+O25</x:f>
        <x:v>0</x:v>
      </x:c>
      <x:c r="P27" s="1211" t="n">
        <x:f>P24+P25</x:f>
        <x:v>0</x:v>
      </x:c>
      <x:c r="Q27" s="1211" t="n">
        <x:f>Q24+Q25</x:f>
        <x:v>0</x:v>
      </x:c>
      <x:c r="R27" s="1211" t="n">
        <x:f>R24+R25</x:f>
        <x:v>0</x:v>
      </x:c>
      <x:c r="S27" s="1211" t="n">
        <x:f>S24+S25</x:f>
        <x:v>0</x:v>
      </x:c>
      <x:c r="T27" s="1211" t="n">
        <x:f>T24+T25</x:f>
        <x:v>0</x:v>
      </x:c>
      <x:c r="U27" s="1211" t="n">
        <x:f>U24+U25</x:f>
        <x:v>0</x:v>
      </x:c>
      <x:c r="V27" s="1211" t="n">
        <x:f>V24+V25</x:f>
        <x:v>0</x:v>
      </x:c>
      <x:c r="W27" s="1211" t="n">
        <x:f>W24+W25</x:f>
        <x:v>0</x:v>
      </x:c>
      <x:c r="X27" s="1211" t="n">
        <x:f>X24+X25</x:f>
        <x:v>0</x:v>
      </x:c>
      <x:c r="Y27" s="1211" t="n">
        <x:f>Y24+Y25</x:f>
        <x:v>0</x:v>
      </x:c>
      <x:c r="Z27" s="1211" t="n">
        <x:f>Z24+Z25</x:f>
        <x:v>0</x:v>
      </x:c>
      <x:c r="AA27" s="1211" t="n">
        <x:f>AA24+AA25</x:f>
        <x:v>0</x:v>
      </x:c>
      <x:c r="AB27" s="1211" t="n">
        <x:f>AB24+AB25</x:f>
        <x:v>0</x:v>
      </x:c>
      <x:c r="AC27" s="1211" t="n">
        <x:f>AC24+AC25</x:f>
        <x:v>0</x:v>
      </x:c>
      <x:c r="AD27" s="1211" t="n">
        <x:f>AD24+AD25</x:f>
        <x:v>0</x:v>
      </x:c>
      <x:c r="AE27" s="1211" t="n">
        <x:f>AE24+AE25</x:f>
        <x:v>0</x:v>
      </x:c>
      <x:c r="AF27" s="1211" t="n">
        <x:f>AF24+AF25</x:f>
        <x:v>0</x:v>
      </x:c>
      <x:c r="AG27" s="1211" t="n">
        <x:f>AG24+AG25</x:f>
        <x:v>0</x:v>
      </x:c>
      <x:c r="AH27" s="1211" t="n">
        <x:f>AH24+AH25</x:f>
        <x:v>0</x:v>
      </x:c>
      <x:c r="AI27" s="1211" t="n">
        <x:f>AI24+AI25</x:f>
        <x:v>0</x:v>
      </x:c>
      <x:c r="AJ27" s="1211" t="n">
        <x:f>AJ24+AJ25</x:f>
        <x:v>0</x:v>
      </x:c>
      <x:c r="AK27" s="1211" t="n">
        <x:f>AK24+AK25</x:f>
        <x:v>0</x:v>
      </x:c>
      <x:c r="AL27" s="1211" t="n">
        <x:f>AL24+AL25</x:f>
        <x:v>0</x:v>
      </x:c>
      <x:c r="AM27" s="1212" t="n">
        <x:f>AM24+AM25</x:f>
        <x:v>0</x:v>
      </x:c>
    </x:row>
    <x:row r="28">
      <x:c r="A28" s="145"/>
      <x:c r="B28" s="124"/>
      <x:c r="C28" s="146"/>
      <x:c r="D28" s="1210"/>
      <x:c r="E28" s="1211"/>
      <x:c r="F28" s="1211"/>
      <x:c r="G28" s="1211"/>
      <x:c r="H28" s="1211"/>
      <x:c r="I28" s="1211"/>
      <x:c r="J28" s="1211"/>
      <x:c r="K28" s="1211"/>
      <x:c r="L28" s="1211"/>
      <x:c r="M28" s="1211"/>
      <x:c r="N28" s="1211"/>
      <x:c r="O28" s="1211"/>
      <x:c r="P28" s="1211"/>
      <x:c r="Q28" s="1211"/>
      <x:c r="R28" s="1211"/>
      <x:c r="S28" s="1211"/>
      <x:c r="T28" s="1211"/>
      <x:c r="U28" s="1211"/>
      <x:c r="V28" s="1211"/>
      <x:c r="W28" s="1211"/>
      <x:c r="X28" s="1211"/>
      <x:c r="Y28" s="1211"/>
      <x:c r="Z28" s="1211"/>
      <x:c r="AA28" s="1211"/>
      <x:c r="AB28" s="1211"/>
      <x:c r="AC28" s="1211"/>
      <x:c r="AD28" s="1211"/>
      <x:c r="AE28" s="1211"/>
      <x:c r="AF28" s="1211"/>
      <x:c r="AG28" s="1211"/>
      <x:c r="AH28" s="1211"/>
      <x:c r="AI28" s="1211"/>
      <x:c r="AJ28" s="1211"/>
      <x:c r="AK28" s="1211"/>
      <x:c r="AL28" s="1211"/>
      <x:c r="AM28" s="1212"/>
    </x:row>
    <x:row r="29">
      <x:c r="A29" s="145"/>
      <x:c r="B29" s="124"/>
      <x:c r="C29" s="146"/>
      <x:c r="D29" s="1210"/>
      <x:c r="E29" s="1211"/>
      <x:c r="F29" s="1211"/>
      <x:c r="G29" s="1211"/>
      <x:c r="H29" s="1211"/>
      <x:c r="I29" s="1211"/>
      <x:c r="J29" s="1211"/>
      <x:c r="K29" s="1211"/>
      <x:c r="L29" s="1211"/>
      <x:c r="M29" s="1211"/>
      <x:c r="N29" s="1211"/>
      <x:c r="O29" s="1211"/>
      <x:c r="P29" s="1211"/>
      <x:c r="Q29" s="1211"/>
      <x:c r="R29" s="1211"/>
      <x:c r="S29" s="1211"/>
      <x:c r="T29" s="1211"/>
      <x:c r="U29" s="1211"/>
      <x:c r="V29" s="1211"/>
      <x:c r="W29" s="1211"/>
      <x:c r="X29" s="1211"/>
      <x:c r="Y29" s="1211"/>
      <x:c r="Z29" s="1211"/>
      <x:c r="AA29" s="1211"/>
      <x:c r="AB29" s="1211"/>
      <x:c r="AC29" s="1211"/>
      <x:c r="AD29" s="1211"/>
      <x:c r="AE29" s="1211"/>
      <x:c r="AF29" s="1211"/>
      <x:c r="AG29" s="1211"/>
      <x:c r="AH29" s="1211"/>
      <x:c r="AI29" s="1211"/>
      <x:c r="AJ29" s="1211"/>
      <x:c r="AK29" s="1211"/>
      <x:c r="AL29" s="1211"/>
      <x:c r="AM29" s="1212"/>
    </x:row>
    <x:row r="30">
      <x:c r="A30" s="189" t="str">
        <x:v>Grootvlei active site</x:v>
      </x:c>
      <x:c r="B30" s="190" t="str">
        <x:v>flag</x:v>
      </x:c>
      <x:c r="C30" s="191" t="str">
        <x:v>Formula</x:v>
      </x:c>
      <x:c r="D30" s="1237" t="n">
        <x:f>IF(D8&gt;0,1,0)</x:f>
        <x:v>0</x:v>
      </x:c>
      <x:c r="E30" s="1238" t="n">
        <x:f>IF(E8&gt;0,1,0)</x:f>
        <x:v>0</x:v>
      </x:c>
      <x:c r="F30" s="1238" t="n">
        <x:f>IF(F8&gt;0,1,0)</x:f>
        <x:v>1</x:v>
      </x:c>
      <x:c r="G30" s="1238" t="n">
        <x:f>IF(G8&gt;0,1,0)</x:f>
        <x:v>1</x:v>
      </x:c>
      <x:c r="H30" s="1238" t="n">
        <x:f>IF(H8&gt;0,1,0)</x:f>
        <x:v>1</x:v>
      </x:c>
      <x:c r="I30" s="1238" t="n">
        <x:f>IF(I8&gt;0,1,0)</x:f>
        <x:v>1</x:v>
      </x:c>
      <x:c r="J30" s="1238" t="n">
        <x:f>IF(J8&gt;0,1,0)</x:f>
        <x:v>1</x:v>
      </x:c>
      <x:c r="K30" s="1238" t="n">
        <x:f>IF(K8&gt;0,1,0)</x:f>
        <x:v>1</x:v>
      </x:c>
      <x:c r="L30" s="1238" t="n">
        <x:f>IF(L8&gt;0,1,0)</x:f>
        <x:v>1</x:v>
      </x:c>
      <x:c r="M30" s="1238" t="n">
        <x:f>IF(M8&gt;0,1,0)</x:f>
        <x:v>1</x:v>
      </x:c>
      <x:c r="N30" s="1238" t="n">
        <x:f>IF(N8&gt;0,1,0)</x:f>
        <x:v>1</x:v>
      </x:c>
      <x:c r="O30" s="1238" t="n">
        <x:f>IF(O8&gt;0,1,0)</x:f>
        <x:v>1</x:v>
      </x:c>
      <x:c r="P30" s="1238" t="n">
        <x:f>IF(P8&gt;0,1,0)</x:f>
        <x:v>1</x:v>
      </x:c>
      <x:c r="Q30" s="1238" t="n">
        <x:f>IF(Q8&gt;0,1,0)</x:f>
        <x:v>1</x:v>
      </x:c>
      <x:c r="R30" s="1238" t="n">
        <x:f>IF(R8&gt;0,1,0)</x:f>
        <x:v>1</x:v>
      </x:c>
      <x:c r="S30" s="1238" t="n">
        <x:f>IF(S8&gt;0,1,0)</x:f>
        <x:v>1</x:v>
      </x:c>
      <x:c r="T30" s="1238" t="n">
        <x:f>IF(T8&gt;0,1,0)</x:f>
        <x:v>1</x:v>
      </x:c>
      <x:c r="U30" s="1238" t="n">
        <x:f>IF(U8&gt;0,1,0)</x:f>
        <x:v>1</x:v>
      </x:c>
      <x:c r="V30" s="1238" t="n">
        <x:f>IF(V8&gt;0,1,0)</x:f>
        <x:v>1</x:v>
      </x:c>
      <x:c r="W30" s="1238" t="n">
        <x:f>IF(W8&gt;0,1,0)</x:f>
        <x:v>1</x:v>
      </x:c>
      <x:c r="X30" s="1238" t="n">
        <x:f>IF(X8&gt;0,1,0)</x:f>
        <x:v>1</x:v>
      </x:c>
      <x:c r="Y30" s="1238" t="n">
        <x:f>IF(Y8&gt;0,1,0)</x:f>
        <x:v>1</x:v>
      </x:c>
      <x:c r="Z30" s="1238" t="n">
        <x:f>IF(Z8&gt;0,1,0)</x:f>
        <x:v>1</x:v>
      </x:c>
      <x:c r="AA30" s="1238" t="n">
        <x:f>IF(AA8&gt;0,1,0)</x:f>
        <x:v>1</x:v>
      </x:c>
      <x:c r="AB30" s="1238" t="n">
        <x:f>IF(AB8&gt;0,1,0)</x:f>
        <x:v>1</x:v>
      </x:c>
      <x:c r="AC30" s="1238" t="n">
        <x:f>IF(AC8&gt;0,1,0)</x:f>
        <x:v>1</x:v>
      </x:c>
      <x:c r="AD30" s="1238" t="n">
        <x:f>IF(AD8&gt;0,1,0)</x:f>
        <x:v>1</x:v>
      </x:c>
      <x:c r="AE30" s="1238" t="n">
        <x:f>IF(AE8&gt;0,1,0)</x:f>
        <x:v>1</x:v>
      </x:c>
      <x:c r="AF30" s="1238" t="n">
        <x:f>IF(AF8&gt;0,1,0)</x:f>
        <x:v>1</x:v>
      </x:c>
      <x:c r="AG30" s="1238" t="n">
        <x:f>IF(AG8&gt;0,1,0)</x:f>
        <x:v>1</x:v>
      </x:c>
      <x:c r="AH30" s="1238" t="n">
        <x:f>IF(AH8&gt;0,1,0)</x:f>
        <x:v>1</x:v>
      </x:c>
      <x:c r="AI30" s="1238" t="n">
        <x:f>IF(AI8&gt;0,1,0)</x:f>
        <x:v>1</x:v>
      </x:c>
      <x:c r="AJ30" s="1238" t="n">
        <x:f>IF(AJ8&gt;0,1,0)</x:f>
        <x:v>1</x:v>
      </x:c>
      <x:c r="AK30" s="1238" t="n">
        <x:f>IF(AK8&gt;0,1,0)</x:f>
        <x:v>1</x:v>
      </x:c>
      <x:c r="AL30" s="1238" t="n">
        <x:f>IF(AL8&gt;0,1,0)</x:f>
        <x:v>1</x:v>
      </x:c>
      <x:c r="AM30" s="1239" t="n">
        <x:f>IF(AM8&gt;0,1,0)</x:f>
        <x:v>1</x:v>
      </x:c>
    </x:row>
    <x:row r="31">
      <x:c r="A31" s="145" t="str">
        <x:v>AMSA active site</x:v>
      </x:c>
      <x:c r="B31" s="124" t="str">
        <x:v>flag</x:v>
      </x:c>
      <x:c r="C31" s="146" t="str">
        <x:v>Formula</x:v>
      </x:c>
      <x:c r="D31" s="1243" t="n">
        <x:f>IF(D9&gt;0,1,0)</x:f>
        <x:v>0</x:v>
      </x:c>
      <x:c r="E31" s="1244" t="n">
        <x:f>IF(E9&gt;0,1,0)</x:f>
        <x:v>0</x:v>
      </x:c>
      <x:c r="F31" s="1244" t="n">
        <x:f>IF(F9&gt;0,1,0)</x:f>
        <x:v>0</x:v>
      </x:c>
      <x:c r="G31" s="1244" t="n">
        <x:f>IF(G9&gt;0,1,0)</x:f>
        <x:v>0</x:v>
      </x:c>
      <x:c r="H31" s="1244" t="n">
        <x:f>IF(H9&gt;0,1,0)</x:f>
        <x:v>0</x:v>
      </x:c>
      <x:c r="I31" s="1244" t="n">
        <x:f>IF(I9&gt;0,1,0)</x:f>
        <x:v>1</x:v>
      </x:c>
      <x:c r="J31" s="1244" t="n">
        <x:f>IF(J9&gt;0,1,0)</x:f>
        <x:v>1</x:v>
      </x:c>
      <x:c r="K31" s="1244" t="n">
        <x:f>IF(K9&gt;0,1,0)</x:f>
        <x:v>1</x:v>
      </x:c>
      <x:c r="L31" s="1244" t="n">
        <x:f>IF(L9&gt;0,1,0)</x:f>
        <x:v>1</x:v>
      </x:c>
      <x:c r="M31" s="1244" t="n">
        <x:f>IF(M9&gt;0,1,0)</x:f>
        <x:v>1</x:v>
      </x:c>
      <x:c r="N31" s="1244" t="n">
        <x:f>IF(N9&gt;0,1,0)</x:f>
        <x:v>1</x:v>
      </x:c>
      <x:c r="O31" s="1244" t="n">
        <x:f>IF(O9&gt;0,1,0)</x:f>
        <x:v>1</x:v>
      </x:c>
      <x:c r="P31" s="1244" t="n">
        <x:f>IF(P9&gt;0,1,0)</x:f>
        <x:v>1</x:v>
      </x:c>
      <x:c r="Q31" s="1244" t="n">
        <x:f>IF(Q9&gt;0,1,0)</x:f>
        <x:v>1</x:v>
      </x:c>
      <x:c r="R31" s="1244" t="n">
        <x:f>IF(R9&gt;0,1,0)</x:f>
        <x:v>1</x:v>
      </x:c>
      <x:c r="S31" s="1244" t="n">
        <x:f>IF(S9&gt;0,1,0)</x:f>
        <x:v>1</x:v>
      </x:c>
      <x:c r="T31" s="1244" t="n">
        <x:f>IF(T9&gt;0,1,0)</x:f>
        <x:v>1</x:v>
      </x:c>
      <x:c r="U31" s="1244" t="n">
        <x:f>IF(U9&gt;0,1,0)</x:f>
        <x:v>1</x:v>
      </x:c>
      <x:c r="V31" s="1244" t="n">
        <x:f>IF(V9&gt;0,1,0)</x:f>
        <x:v>1</x:v>
      </x:c>
      <x:c r="W31" s="1244" t="n">
        <x:f>IF(W9&gt;0,1,0)</x:f>
        <x:v>1</x:v>
      </x:c>
      <x:c r="X31" s="1244" t="n">
        <x:f>IF(X9&gt;0,1,0)</x:f>
        <x:v>1</x:v>
      </x:c>
      <x:c r="Y31" s="1244" t="n">
        <x:f>IF(Y9&gt;0,1,0)</x:f>
        <x:v>1</x:v>
      </x:c>
      <x:c r="Z31" s="1244" t="n">
        <x:f>IF(Z9&gt;0,1,0)</x:f>
        <x:v>1</x:v>
      </x:c>
      <x:c r="AA31" s="1244" t="n">
        <x:f>IF(AA9&gt;0,1,0)</x:f>
        <x:v>1</x:v>
      </x:c>
      <x:c r="AB31" s="1244" t="n">
        <x:f>IF(AB9&gt;0,1,0)</x:f>
        <x:v>1</x:v>
      </x:c>
      <x:c r="AC31" s="1244" t="n">
        <x:f>IF(AC9&gt;0,1,0)</x:f>
        <x:v>1</x:v>
      </x:c>
      <x:c r="AD31" s="1244" t="n">
        <x:f>IF(AD9&gt;0,1,0)</x:f>
        <x:v>1</x:v>
      </x:c>
      <x:c r="AE31" s="1244" t="n">
        <x:f>IF(AE9&gt;0,1,0)</x:f>
        <x:v>1</x:v>
      </x:c>
      <x:c r="AF31" s="1244" t="n">
        <x:f>IF(AF9&gt;0,1,0)</x:f>
        <x:v>1</x:v>
      </x:c>
      <x:c r="AG31" s="1244" t="n">
        <x:f>IF(AG9&gt;0,1,0)</x:f>
        <x:v>1</x:v>
      </x:c>
      <x:c r="AH31" s="1244" t="n">
        <x:f>IF(AH9&gt;0,1,0)</x:f>
        <x:v>1</x:v>
      </x:c>
      <x:c r="AI31" s="1244" t="n">
        <x:f>IF(AI9&gt;0,1,0)</x:f>
        <x:v>1</x:v>
      </x:c>
      <x:c r="AJ31" s="1244" t="n">
        <x:f>IF(AJ9&gt;0,1,0)</x:f>
        <x:v>1</x:v>
      </x:c>
      <x:c r="AK31" s="1244" t="n">
        <x:f>IF(AK9&gt;0,1,0)</x:f>
        <x:v>1</x:v>
      </x:c>
      <x:c r="AL31" s="1244" t="n">
        <x:f>IF(AL9&gt;0,1,0)</x:f>
        <x:v>1</x:v>
      </x:c>
      <x:c r="AM31" s="1245" t="n">
        <x:f>IF(AM9&gt;0,1,0)</x:f>
        <x:v>1</x:v>
      </x:c>
    </x:row>
    <x:row r="32">
      <x:c r="A32" s="145" t="str">
        <x:v>Total active sites</x:v>
      </x:c>
      <x:c r="B32" s="124" t="str">
        <x:v>count</x:v>
      </x:c>
      <x:c r="C32" s="146" t="str">
        <x:v>Formula</x:v>
      </x:c>
      <x:c r="D32" s="1243" t="n">
        <x:f>D30+D31</x:f>
        <x:v>0</x:v>
      </x:c>
      <x:c r="E32" s="1244" t="n">
        <x:f>E30+E31</x:f>
        <x:v>0</x:v>
      </x:c>
      <x:c r="F32" s="1244" t="n">
        <x:f>F30+F31</x:f>
        <x:v>1</x:v>
      </x:c>
      <x:c r="G32" s="1244" t="n">
        <x:f>G30+G31</x:f>
        <x:v>1</x:v>
      </x:c>
      <x:c r="H32" s="1244" t="n">
        <x:f>H30+H31</x:f>
        <x:v>1</x:v>
      </x:c>
      <x:c r="I32" s="1244" t="n">
        <x:f>I30+I31</x:f>
        <x:v>2</x:v>
      </x:c>
      <x:c r="J32" s="1244" t="n">
        <x:f>J30+J31</x:f>
        <x:v>2</x:v>
      </x:c>
      <x:c r="K32" s="1244" t="n">
        <x:f>K30+K31</x:f>
        <x:v>2</x:v>
      </x:c>
      <x:c r="L32" s="1244" t="n">
        <x:f>L30+L31</x:f>
        <x:v>2</x:v>
      </x:c>
      <x:c r="M32" s="1244" t="n">
        <x:f>M30+M31</x:f>
        <x:v>2</x:v>
      </x:c>
      <x:c r="N32" s="1244" t="n">
        <x:f>N30+N31</x:f>
        <x:v>2</x:v>
      </x:c>
      <x:c r="O32" s="1244" t="n">
        <x:f>O30+O31</x:f>
        <x:v>2</x:v>
      </x:c>
      <x:c r="P32" s="1244" t="n">
        <x:f>P30+P31</x:f>
        <x:v>2</x:v>
      </x:c>
      <x:c r="Q32" s="1244" t="n">
        <x:f>Q30+Q31</x:f>
        <x:v>2</x:v>
      </x:c>
      <x:c r="R32" s="1244" t="n">
        <x:f>R30+R31</x:f>
        <x:v>2</x:v>
      </x:c>
      <x:c r="S32" s="1244" t="n">
        <x:f>S30+S31</x:f>
        <x:v>2</x:v>
      </x:c>
      <x:c r="T32" s="1244" t="n">
        <x:f>T30+T31</x:f>
        <x:v>2</x:v>
      </x:c>
      <x:c r="U32" s="1244" t="n">
        <x:f>U30+U31</x:f>
        <x:v>2</x:v>
      </x:c>
      <x:c r="V32" s="1244" t="n">
        <x:f>V30+V31</x:f>
        <x:v>2</x:v>
      </x:c>
      <x:c r="W32" s="1244" t="n">
        <x:f>W30+W31</x:f>
        <x:v>2</x:v>
      </x:c>
      <x:c r="X32" s="1244" t="n">
        <x:f>X30+X31</x:f>
        <x:v>2</x:v>
      </x:c>
      <x:c r="Y32" s="1244" t="n">
        <x:f>Y30+Y31</x:f>
        <x:v>2</x:v>
      </x:c>
      <x:c r="Z32" s="1244" t="n">
        <x:f>Z30+Z31</x:f>
        <x:v>2</x:v>
      </x:c>
      <x:c r="AA32" s="1244" t="n">
        <x:f>AA30+AA31</x:f>
        <x:v>2</x:v>
      </x:c>
      <x:c r="AB32" s="1244" t="n">
        <x:f>AB30+AB31</x:f>
        <x:v>2</x:v>
      </x:c>
      <x:c r="AC32" s="1244" t="n">
        <x:f>AC30+AC31</x:f>
        <x:v>2</x:v>
      </x:c>
      <x:c r="AD32" s="1244" t="n">
        <x:f>AD30+AD31</x:f>
        <x:v>2</x:v>
      </x:c>
      <x:c r="AE32" s="1244" t="n">
        <x:f>AE30+AE31</x:f>
        <x:v>2</x:v>
      </x:c>
      <x:c r="AF32" s="1244" t="n">
        <x:f>AF30+AF31</x:f>
        <x:v>2</x:v>
      </x:c>
      <x:c r="AG32" s="1244" t="n">
        <x:f>AG30+AG31</x:f>
        <x:v>2</x:v>
      </x:c>
      <x:c r="AH32" s="1244" t="n">
        <x:f>AH30+AH31</x:f>
        <x:v>2</x:v>
      </x:c>
      <x:c r="AI32" s="1244" t="n">
        <x:f>AI30+AI31</x:f>
        <x:v>2</x:v>
      </x:c>
      <x:c r="AJ32" s="1244" t="n">
        <x:f>AJ30+AJ31</x:f>
        <x:v>2</x:v>
      </x:c>
      <x:c r="AK32" s="1244" t="n">
        <x:f>AK30+AK31</x:f>
        <x:v>2</x:v>
      </x:c>
      <x:c r="AL32" s="1244" t="n">
        <x:f>AL30+AL31</x:f>
        <x:v>2</x:v>
      </x:c>
      <x:c r="AM32" s="1245" t="n">
        <x:f>AM30+AM31</x:f>
        <x:v>2</x:v>
      </x:c>
    </x:row>
    <x:row r="33">
      <x:c r="A33" s="145"/>
      <x:c r="B33" s="124"/>
      <x:c r="C33" s="146"/>
      <x:c r="D33" s="1210"/>
      <x:c r="E33" s="1211"/>
      <x:c r="F33" s="1211"/>
      <x:c r="G33" s="1211"/>
      <x:c r="H33" s="1211"/>
      <x:c r="I33" s="1211"/>
      <x:c r="J33" s="1211"/>
      <x:c r="K33" s="1211"/>
      <x:c r="L33" s="1211"/>
      <x:c r="M33" s="1211"/>
      <x:c r="N33" s="1211"/>
      <x:c r="O33" s="1211"/>
      <x:c r="P33" s="1211"/>
      <x:c r="Q33" s="1211"/>
      <x:c r="R33" s="1211"/>
      <x:c r="S33" s="1211"/>
      <x:c r="T33" s="1211"/>
      <x:c r="U33" s="1211"/>
      <x:c r="V33" s="1211"/>
      <x:c r="W33" s="1211"/>
      <x:c r="X33" s="1211"/>
      <x:c r="Y33" s="1211"/>
      <x:c r="Z33" s="1211"/>
      <x:c r="AA33" s="1211"/>
      <x:c r="AB33" s="1211"/>
      <x:c r="AC33" s="1211"/>
      <x:c r="AD33" s="1211"/>
      <x:c r="AE33" s="1211"/>
      <x:c r="AF33" s="1211"/>
      <x:c r="AG33" s="1211"/>
      <x:c r="AH33" s="1211"/>
      <x:c r="AI33" s="1211"/>
      <x:c r="AJ33" s="1211"/>
      <x:c r="AK33" s="1211"/>
      <x:c r="AL33" s="1211"/>
      <x:c r="AM33" s="1212"/>
    </x:row>
    <x:row r="34">
      <x:c r="A34" s="145"/>
      <x:c r="B34" s="124"/>
      <x:c r="C34" s="146"/>
      <x:c r="D34" s="1210"/>
      <x:c r="E34" s="1211"/>
      <x:c r="F34" s="1211"/>
      <x:c r="G34" s="1211"/>
      <x:c r="H34" s="1211"/>
      <x:c r="I34" s="1211"/>
      <x:c r="J34" s="1211"/>
      <x:c r="K34" s="1211"/>
      <x:c r="L34" s="1211"/>
      <x:c r="M34" s="1211"/>
      <x:c r="N34" s="1211"/>
      <x:c r="O34" s="1211"/>
      <x:c r="P34" s="1211"/>
      <x:c r="Q34" s="1211"/>
      <x:c r="R34" s="1211"/>
      <x:c r="S34" s="1211"/>
      <x:c r="T34" s="1211"/>
      <x:c r="U34" s="1211"/>
      <x:c r="V34" s="1211"/>
      <x:c r="W34" s="1211"/>
      <x:c r="X34" s="1211"/>
      <x:c r="Y34" s="1211"/>
      <x:c r="Z34" s="1211"/>
      <x:c r="AA34" s="1211"/>
      <x:c r="AB34" s="1211"/>
      <x:c r="AC34" s="1211"/>
      <x:c r="AD34" s="1211"/>
      <x:c r="AE34" s="1211"/>
      <x:c r="AF34" s="1211"/>
      <x:c r="AG34" s="1211"/>
      <x:c r="AH34" s="1211"/>
      <x:c r="AI34" s="1211"/>
      <x:c r="AJ34" s="1211"/>
      <x:c r="AK34" s="1211"/>
      <x:c r="AL34" s="1211"/>
      <x:c r="AM34" s="1212"/>
    </x:row>
    <x:row r="35">
      <x:c r="A35" s="189" t="str">
        <x:v>Grootvlei site start</x:v>
      </x:c>
      <x:c r="B35" s="190" t="str">
        <x:v>flag</x:v>
      </x:c>
      <x:c r="C35" s="191" t="str">
        <x:v>Formula</x:v>
      </x:c>
      <x:c r="D35" s="1237" t="n">
        <x:f>IF(AND(D8&gt;0,D13=0),1,0)</x:f>
        <x:v>0</x:v>
      </x:c>
      <x:c r="E35" s="1238" t="n">
        <x:f>IF(AND(E8&gt;0,E13=0),1,0)</x:f>
        <x:v>0</x:v>
      </x:c>
      <x:c r="F35" s="1238" t="n">
        <x:f>IF(AND(F8&gt;0,F13=0),1,0)</x:f>
        <x:v>1</x:v>
      </x:c>
      <x:c r="G35" s="1238" t="n">
        <x:f>IF(AND(G8&gt;0,G13=0),1,0)</x:f>
        <x:v>0</x:v>
      </x:c>
      <x:c r="H35" s="1238" t="n">
        <x:f>IF(AND(H8&gt;0,H13=0),1,0)</x:f>
        <x:v>0</x:v>
      </x:c>
      <x:c r="I35" s="1238" t="n">
        <x:f>IF(AND(I8&gt;0,I13=0),1,0)</x:f>
        <x:v>0</x:v>
      </x:c>
      <x:c r="J35" s="1238" t="n">
        <x:f>IF(AND(J8&gt;0,J13=0),1,0)</x:f>
        <x:v>0</x:v>
      </x:c>
      <x:c r="K35" s="1238" t="n">
        <x:f>IF(AND(K8&gt;0,K13=0),1,0)</x:f>
        <x:v>0</x:v>
      </x:c>
      <x:c r="L35" s="1238" t="n">
        <x:f>IF(AND(L8&gt;0,L13=0),1,0)</x:f>
        <x:v>0</x:v>
      </x:c>
      <x:c r="M35" s="1238" t="n">
        <x:f>IF(AND(M8&gt;0,M13=0),1,0)</x:f>
        <x:v>0</x:v>
      </x:c>
      <x:c r="N35" s="1238" t="n">
        <x:f>IF(AND(N8&gt;0,N13=0),1,0)</x:f>
        <x:v>0</x:v>
      </x:c>
      <x:c r="O35" s="1238" t="n">
        <x:f>IF(AND(O8&gt;0,O13=0),1,0)</x:f>
        <x:v>0</x:v>
      </x:c>
      <x:c r="P35" s="1238" t="n">
        <x:f>IF(AND(P8&gt;0,P13=0),1,0)</x:f>
        <x:v>0</x:v>
      </x:c>
      <x:c r="Q35" s="1238" t="n">
        <x:f>IF(AND(Q8&gt;0,Q13=0),1,0)</x:f>
        <x:v>0</x:v>
      </x:c>
      <x:c r="R35" s="1238" t="n">
        <x:f>IF(AND(R8&gt;0,R13=0),1,0)</x:f>
        <x:v>0</x:v>
      </x:c>
      <x:c r="S35" s="1238" t="n">
        <x:f>IF(AND(S8&gt;0,S13=0),1,0)</x:f>
        <x:v>0</x:v>
      </x:c>
      <x:c r="T35" s="1238" t="n">
        <x:f>IF(AND(T8&gt;0,T13=0),1,0)</x:f>
        <x:v>0</x:v>
      </x:c>
      <x:c r="U35" s="1238" t="n">
        <x:f>IF(AND(U8&gt;0,U13=0),1,0)</x:f>
        <x:v>0</x:v>
      </x:c>
      <x:c r="V35" s="1238" t="n">
        <x:f>IF(AND(V8&gt;0,V13=0),1,0)</x:f>
        <x:v>0</x:v>
      </x:c>
      <x:c r="W35" s="1238" t="n">
        <x:f>IF(AND(W8&gt;0,W13=0),1,0)</x:f>
        <x:v>0</x:v>
      </x:c>
      <x:c r="X35" s="1238" t="n">
        <x:f>IF(AND(X8&gt;0,X13=0),1,0)</x:f>
        <x:v>0</x:v>
      </x:c>
      <x:c r="Y35" s="1238" t="n">
        <x:f>IF(AND(Y8&gt;0,Y13=0),1,0)</x:f>
        <x:v>0</x:v>
      </x:c>
      <x:c r="Z35" s="1238" t="n">
        <x:f>IF(AND(Z8&gt;0,Z13=0),1,0)</x:f>
        <x:v>0</x:v>
      </x:c>
      <x:c r="AA35" s="1238" t="n">
        <x:f>IF(AND(AA8&gt;0,AA13=0),1,0)</x:f>
        <x:v>0</x:v>
      </x:c>
      <x:c r="AB35" s="1238" t="n">
        <x:f>IF(AND(AB8&gt;0,AB13=0),1,0)</x:f>
        <x:v>0</x:v>
      </x:c>
      <x:c r="AC35" s="1238" t="n">
        <x:f>IF(AND(AC8&gt;0,AC13=0),1,0)</x:f>
        <x:v>0</x:v>
      </x:c>
      <x:c r="AD35" s="1238" t="n">
        <x:f>IF(AND(AD8&gt;0,AD13=0),1,0)</x:f>
        <x:v>0</x:v>
      </x:c>
      <x:c r="AE35" s="1238" t="n">
        <x:f>IF(AND(AE8&gt;0,AE13=0),1,0)</x:f>
        <x:v>0</x:v>
      </x:c>
      <x:c r="AF35" s="1238" t="n">
        <x:f>IF(AND(AF8&gt;0,AF13=0),1,0)</x:f>
        <x:v>0</x:v>
      </x:c>
      <x:c r="AG35" s="1238" t="n">
        <x:f>IF(AND(AG8&gt;0,AG13=0),1,0)</x:f>
        <x:v>0</x:v>
      </x:c>
      <x:c r="AH35" s="1238" t="n">
        <x:f>IF(AND(AH8&gt;0,AH13=0),1,0)</x:f>
        <x:v>0</x:v>
      </x:c>
      <x:c r="AI35" s="1238" t="n">
        <x:f>IF(AND(AI8&gt;0,AI13=0),1,0)</x:f>
        <x:v>0</x:v>
      </x:c>
      <x:c r="AJ35" s="1238" t="n">
        <x:f>IF(AND(AJ8&gt;0,AJ13=0),1,0)</x:f>
        <x:v>0</x:v>
      </x:c>
      <x:c r="AK35" s="1238" t="n">
        <x:f>IF(AND(AK8&gt;0,AK13=0),1,0)</x:f>
        <x:v>0</x:v>
      </x:c>
      <x:c r="AL35" s="1238" t="n">
        <x:f>IF(AND(AL8&gt;0,AL13=0),1,0)</x:f>
        <x:v>0</x:v>
      </x:c>
      <x:c r="AM35" s="1239" t="n">
        <x:f>IF(AND(AM8&gt;0,AM13=0),1,0)</x:f>
        <x:v>0</x:v>
      </x:c>
    </x:row>
    <x:row r="36">
      <x:c r="A36" s="145" t="str">
        <x:v>AMSA site start</x:v>
      </x:c>
      <x:c r="B36" s="124" t="str">
        <x:v>flag</x:v>
      </x:c>
      <x:c r="C36" s="146" t="str">
        <x:v>Formula</x:v>
      </x:c>
      <x:c r="D36" s="1243" t="n">
        <x:f>IF(AND(D9&gt;0,D14=0),1,0)</x:f>
        <x:v>0</x:v>
      </x:c>
      <x:c r="E36" s="1244" t="n">
        <x:f>IF(AND(E9&gt;0,E14=0),1,0)</x:f>
        <x:v>0</x:v>
      </x:c>
      <x:c r="F36" s="1244" t="n">
        <x:f>IF(AND(F9&gt;0,F14=0),1,0)</x:f>
        <x:v>0</x:v>
      </x:c>
      <x:c r="G36" s="1244" t="n">
        <x:f>IF(AND(G9&gt;0,G14=0),1,0)</x:f>
        <x:v>0</x:v>
      </x:c>
      <x:c r="H36" s="1244" t="n">
        <x:f>IF(AND(H9&gt;0,H14=0),1,0)</x:f>
        <x:v>0</x:v>
      </x:c>
      <x:c r="I36" s="1244" t="n">
        <x:f>IF(AND(I9&gt;0,I14=0),1,0)</x:f>
        <x:v>1</x:v>
      </x:c>
      <x:c r="J36" s="1244" t="n">
        <x:f>IF(AND(J9&gt;0,J14=0),1,0)</x:f>
        <x:v>0</x:v>
      </x:c>
      <x:c r="K36" s="1244" t="n">
        <x:f>IF(AND(K9&gt;0,K14=0),1,0)</x:f>
        <x:v>0</x:v>
      </x:c>
      <x:c r="L36" s="1244" t="n">
        <x:f>IF(AND(L9&gt;0,L14=0),1,0)</x:f>
        <x:v>0</x:v>
      </x:c>
      <x:c r="M36" s="1244" t="n">
        <x:f>IF(AND(M9&gt;0,M14=0),1,0)</x:f>
        <x:v>0</x:v>
      </x:c>
      <x:c r="N36" s="1244" t="n">
        <x:f>IF(AND(N9&gt;0,N14=0),1,0)</x:f>
        <x:v>0</x:v>
      </x:c>
      <x:c r="O36" s="1244" t="n">
        <x:f>IF(AND(O9&gt;0,O14=0),1,0)</x:f>
        <x:v>0</x:v>
      </x:c>
      <x:c r="P36" s="1244" t="n">
        <x:f>IF(AND(P9&gt;0,P14=0),1,0)</x:f>
        <x:v>0</x:v>
      </x:c>
      <x:c r="Q36" s="1244" t="n">
        <x:f>IF(AND(Q9&gt;0,Q14=0),1,0)</x:f>
        <x:v>0</x:v>
      </x:c>
      <x:c r="R36" s="1244" t="n">
        <x:f>IF(AND(R9&gt;0,R14=0),1,0)</x:f>
        <x:v>0</x:v>
      </x:c>
      <x:c r="S36" s="1244" t="n">
        <x:f>IF(AND(S9&gt;0,S14=0),1,0)</x:f>
        <x:v>0</x:v>
      </x:c>
      <x:c r="T36" s="1244" t="n">
        <x:f>IF(AND(T9&gt;0,T14=0),1,0)</x:f>
        <x:v>0</x:v>
      </x:c>
      <x:c r="U36" s="1244" t="n">
        <x:f>IF(AND(U9&gt;0,U14=0),1,0)</x:f>
        <x:v>0</x:v>
      </x:c>
      <x:c r="V36" s="1244" t="n">
        <x:f>IF(AND(V9&gt;0,V14=0),1,0)</x:f>
        <x:v>0</x:v>
      </x:c>
      <x:c r="W36" s="1244" t="n">
        <x:f>IF(AND(W9&gt;0,W14=0),1,0)</x:f>
        <x:v>0</x:v>
      </x:c>
      <x:c r="X36" s="1244" t="n">
        <x:f>IF(AND(X9&gt;0,X14=0),1,0)</x:f>
        <x:v>0</x:v>
      </x:c>
      <x:c r="Y36" s="1244" t="n">
        <x:f>IF(AND(Y9&gt;0,Y14=0),1,0)</x:f>
        <x:v>0</x:v>
      </x:c>
      <x:c r="Z36" s="1244" t="n">
        <x:f>IF(AND(Z9&gt;0,Z14=0),1,0)</x:f>
        <x:v>0</x:v>
      </x:c>
      <x:c r="AA36" s="1244" t="n">
        <x:f>IF(AND(AA9&gt;0,AA14=0),1,0)</x:f>
        <x:v>0</x:v>
      </x:c>
      <x:c r="AB36" s="1244" t="n">
        <x:f>IF(AND(AB9&gt;0,AB14=0),1,0)</x:f>
        <x:v>0</x:v>
      </x:c>
      <x:c r="AC36" s="1244" t="n">
        <x:f>IF(AND(AC9&gt;0,AC14=0),1,0)</x:f>
        <x:v>0</x:v>
      </x:c>
      <x:c r="AD36" s="1244" t="n">
        <x:f>IF(AND(AD9&gt;0,AD14=0),1,0)</x:f>
        <x:v>0</x:v>
      </x:c>
      <x:c r="AE36" s="1244" t="n">
        <x:f>IF(AND(AE9&gt;0,AE14=0),1,0)</x:f>
        <x:v>0</x:v>
      </x:c>
      <x:c r="AF36" s="1244" t="n">
        <x:f>IF(AND(AF9&gt;0,AF14=0),1,0)</x:f>
        <x:v>0</x:v>
      </x:c>
      <x:c r="AG36" s="1244" t="n">
        <x:f>IF(AND(AG9&gt;0,AG14=0),1,0)</x:f>
        <x:v>0</x:v>
      </x:c>
      <x:c r="AH36" s="1244" t="n">
        <x:f>IF(AND(AH9&gt;0,AH14=0),1,0)</x:f>
        <x:v>0</x:v>
      </x:c>
      <x:c r="AI36" s="1244" t="n">
        <x:f>IF(AND(AI9&gt;0,AI14=0),1,0)</x:f>
        <x:v>0</x:v>
      </x:c>
      <x:c r="AJ36" s="1244" t="n">
        <x:f>IF(AND(AJ9&gt;0,AJ14=0),1,0)</x:f>
        <x:v>0</x:v>
      </x:c>
      <x:c r="AK36" s="1244" t="n">
        <x:f>IF(AND(AK9&gt;0,AK14=0),1,0)</x:f>
        <x:v>0</x:v>
      </x:c>
      <x:c r="AL36" s="1244" t="n">
        <x:f>IF(AND(AL9&gt;0,AL14=0),1,0)</x:f>
        <x:v>0</x:v>
      </x:c>
      <x:c r="AM36" s="1245" t="n">
        <x:f>IF(AND(AM9&gt;0,AM14=0),1,0)</x:f>
        <x:v>0</x:v>
      </x:c>
    </x:row>
    <x:row r="37">
      <x:c r="A37" s="145" t="str">
        <x:v>Total site starts</x:v>
      </x:c>
      <x:c r="B37" s="124" t="str">
        <x:v>count</x:v>
      </x:c>
      <x:c r="C37" s="146" t="str">
        <x:v>Formula</x:v>
      </x:c>
      <x:c r="D37" s="1243" t="n">
        <x:f>D35+D36</x:f>
        <x:v>0</x:v>
      </x:c>
      <x:c r="E37" s="1244" t="n">
        <x:f>E35+E36</x:f>
        <x:v>0</x:v>
      </x:c>
      <x:c r="F37" s="1244" t="n">
        <x:f>F35+F36</x:f>
        <x:v>1</x:v>
      </x:c>
      <x:c r="G37" s="1244" t="n">
        <x:f>G35+G36</x:f>
        <x:v>0</x:v>
      </x:c>
      <x:c r="H37" s="1244" t="n">
        <x:f>H35+H36</x:f>
        <x:v>0</x:v>
      </x:c>
      <x:c r="I37" s="1244" t="n">
        <x:f>I35+I36</x:f>
        <x:v>1</x:v>
      </x:c>
      <x:c r="J37" s="1244" t="n">
        <x:f>J35+J36</x:f>
        <x:v>0</x:v>
      </x:c>
      <x:c r="K37" s="1244" t="n">
        <x:f>K35+K36</x:f>
        <x:v>0</x:v>
      </x:c>
      <x:c r="L37" s="1244" t="n">
        <x:f>L35+L36</x:f>
        <x:v>0</x:v>
      </x:c>
      <x:c r="M37" s="1244" t="n">
        <x:f>M35+M36</x:f>
        <x:v>0</x:v>
      </x:c>
      <x:c r="N37" s="1244" t="n">
        <x:f>N35+N36</x:f>
        <x:v>0</x:v>
      </x:c>
      <x:c r="O37" s="1244" t="n">
        <x:f>O35+O36</x:f>
        <x:v>0</x:v>
      </x:c>
      <x:c r="P37" s="1244" t="n">
        <x:f>P35+P36</x:f>
        <x:v>0</x:v>
      </x:c>
      <x:c r="Q37" s="1244" t="n">
        <x:f>Q35+Q36</x:f>
        <x:v>0</x:v>
      </x:c>
      <x:c r="R37" s="1244" t="n">
        <x:f>R35+R36</x:f>
        <x:v>0</x:v>
      </x:c>
      <x:c r="S37" s="1244" t="n">
        <x:f>S35+S36</x:f>
        <x:v>0</x:v>
      </x:c>
      <x:c r="T37" s="1244" t="n">
        <x:f>T35+T36</x:f>
        <x:v>0</x:v>
      </x:c>
      <x:c r="U37" s="1244" t="n">
        <x:f>U35+U36</x:f>
        <x:v>0</x:v>
      </x:c>
      <x:c r="V37" s="1244" t="n">
        <x:f>V35+V36</x:f>
        <x:v>0</x:v>
      </x:c>
      <x:c r="W37" s="1244" t="n">
        <x:f>W35+W36</x:f>
        <x:v>0</x:v>
      </x:c>
      <x:c r="X37" s="1244" t="n">
        <x:f>X35+X36</x:f>
        <x:v>0</x:v>
      </x:c>
      <x:c r="Y37" s="1244" t="n">
        <x:f>Y35+Y36</x:f>
        <x:v>0</x:v>
      </x:c>
      <x:c r="Z37" s="1244" t="n">
        <x:f>Z35+Z36</x:f>
        <x:v>0</x:v>
      </x:c>
      <x:c r="AA37" s="1244" t="n">
        <x:f>AA35+AA36</x:f>
        <x:v>0</x:v>
      </x:c>
      <x:c r="AB37" s="1244" t="n">
        <x:f>AB35+AB36</x:f>
        <x:v>0</x:v>
      </x:c>
      <x:c r="AC37" s="1244" t="n">
        <x:f>AC35+AC36</x:f>
        <x:v>0</x:v>
      </x:c>
      <x:c r="AD37" s="1244" t="n">
        <x:f>AD35+AD36</x:f>
        <x:v>0</x:v>
      </x:c>
      <x:c r="AE37" s="1244" t="n">
        <x:f>AE35+AE36</x:f>
        <x:v>0</x:v>
      </x:c>
      <x:c r="AF37" s="1244" t="n">
        <x:f>AF35+AF36</x:f>
        <x:v>0</x:v>
      </x:c>
      <x:c r="AG37" s="1244" t="n">
        <x:f>AG35+AG36</x:f>
        <x:v>0</x:v>
      </x:c>
      <x:c r="AH37" s="1244" t="n">
        <x:f>AH35+AH36</x:f>
        <x:v>0</x:v>
      </x:c>
      <x:c r="AI37" s="1244" t="n">
        <x:f>AI35+AI36</x:f>
        <x:v>0</x:v>
      </x:c>
      <x:c r="AJ37" s="1244" t="n">
        <x:f>AJ35+AJ36</x:f>
        <x:v>0</x:v>
      </x:c>
      <x:c r="AK37" s="1244" t="n">
        <x:f>AK35+AK36</x:f>
        <x:v>0</x:v>
      </x:c>
      <x:c r="AL37" s="1244" t="n">
        <x:f>AL35+AL36</x:f>
        <x:v>0</x:v>
      </x:c>
      <x:c r="AM37" s="1245" t="n">
        <x:f>AM35+AM36</x:f>
        <x:v>0</x:v>
      </x:c>
    </x:row>
    <x:row r="38">
      <x:c r="A38" s="145"/>
      <x:c r="B38" s="124"/>
      <x:c r="C38" s="146"/>
      <x:c r="D38" s="1210"/>
      <x:c r="E38" s="1211"/>
      <x:c r="F38" s="1211"/>
      <x:c r="G38" s="1211"/>
      <x:c r="H38" s="1211"/>
      <x:c r="I38" s="1211"/>
      <x:c r="J38" s="1211"/>
      <x:c r="K38" s="1211"/>
      <x:c r="L38" s="1211"/>
      <x:c r="M38" s="1211"/>
      <x:c r="N38" s="1211"/>
      <x:c r="O38" s="1211"/>
      <x:c r="P38" s="1211"/>
      <x:c r="Q38" s="1211"/>
      <x:c r="R38" s="1211"/>
      <x:c r="S38" s="1211"/>
      <x:c r="T38" s="1211"/>
      <x:c r="U38" s="1211"/>
      <x:c r="V38" s="1211"/>
      <x:c r="W38" s="1211"/>
      <x:c r="X38" s="1211"/>
      <x:c r="Y38" s="1211"/>
      <x:c r="Z38" s="1211"/>
      <x:c r="AA38" s="1211"/>
      <x:c r="AB38" s="1211"/>
      <x:c r="AC38" s="1211"/>
      <x:c r="AD38" s="1211"/>
      <x:c r="AE38" s="1211"/>
      <x:c r="AF38" s="1211"/>
      <x:c r="AG38" s="1211"/>
      <x:c r="AH38" s="1211"/>
      <x:c r="AI38" s="1211"/>
      <x:c r="AJ38" s="1211"/>
      <x:c r="AK38" s="1211"/>
      <x:c r="AL38" s="1211"/>
      <x:c r="AM38" s="1212"/>
    </x:row>
    <x:row r="39">
      <x:c r="A39" s="145"/>
      <x:c r="B39" s="124"/>
      <x:c r="C39" s="146"/>
      <x:c r="D39" s="1210"/>
      <x:c r="E39" s="1211"/>
      <x:c r="F39" s="1211"/>
      <x:c r="G39" s="1211"/>
      <x:c r="H39" s="1211"/>
      <x:c r="I39" s="1211"/>
      <x:c r="J39" s="1211"/>
      <x:c r="K39" s="1211"/>
      <x:c r="L39" s="1211"/>
      <x:c r="M39" s="1211"/>
      <x:c r="N39" s="1211"/>
      <x:c r="O39" s="1211"/>
      <x:c r="P39" s="1211"/>
      <x:c r="Q39" s="1211"/>
      <x:c r="R39" s="1211"/>
      <x:c r="S39" s="1211"/>
      <x:c r="T39" s="1211"/>
      <x:c r="U39" s="1211"/>
      <x:c r="V39" s="1211"/>
      <x:c r="W39" s="1211"/>
      <x:c r="X39" s="1211"/>
      <x:c r="Y39" s="1211"/>
      <x:c r="Z39" s="1211"/>
      <x:c r="AA39" s="1211"/>
      <x:c r="AB39" s="1211"/>
      <x:c r="AC39" s="1211"/>
      <x:c r="AD39" s="1211"/>
      <x:c r="AE39" s="1211"/>
      <x:c r="AF39" s="1211"/>
      <x:c r="AG39" s="1211"/>
      <x:c r="AH39" s="1211"/>
      <x:c r="AI39" s="1211"/>
      <x:c r="AJ39" s="1211"/>
      <x:c r="AK39" s="1211"/>
      <x:c r="AL39" s="1211"/>
      <x:c r="AM39" s="1212"/>
    </x:row>
    <x:row r="40">
      <x:c r="A40" s="189" t="str">
        <x:v>Grootvlei closing containers</x:v>
      </x:c>
      <x:c r="B40" s="190" t="str">
        <x:v>containers</x:v>
      </x:c>
      <x:c r="C40" s="191" t="str">
        <x:v>Formula</x:v>
      </x:c>
      <x:c r="D40" s="1237" t="n">
        <x:f>ROUNDUP(D8/Inputs!C45,0)</x:f>
        <x:v>0</x:v>
      </x:c>
      <x:c r="E40" s="1238" t="n">
        <x:f>ROUNDUP(E8/Inputs!C45,0)</x:f>
        <x:v>0</x:v>
      </x:c>
      <x:c r="F40" s="1238" t="n">
        <x:f>ROUNDUP(F8/Inputs!C45,0)</x:f>
        <x:v>3</x:v>
      </x:c>
      <x:c r="G40" s="1238" t="n">
        <x:f>ROUNDUP(G8/Inputs!C45,0)</x:f>
        <x:v>5</x:v>
      </x:c>
      <x:c r="H40" s="1238" t="n">
        <x:f>ROUNDUP(H8/Inputs!C45,0)</x:f>
        <x:v>7</x:v>
      </x:c>
      <x:c r="I40" s="1238" t="n">
        <x:f>ROUNDUP(I8/Inputs!C45,0)</x:f>
        <x:v>7</x:v>
      </x:c>
      <x:c r="J40" s="1238" t="n">
        <x:f>ROUNDUP(J8/Inputs!C45,0)</x:f>
        <x:v>7</x:v>
      </x:c>
      <x:c r="K40" s="1238" t="n">
        <x:f>ROUNDUP(K8/Inputs!C45,0)</x:f>
        <x:v>7</x:v>
      </x:c>
      <x:c r="L40" s="1238" t="n">
        <x:f>ROUNDUP(L8/Inputs!C45,0)</x:f>
        <x:v>7</x:v>
      </x:c>
      <x:c r="M40" s="1238" t="n">
        <x:f>ROUNDUP(M8/Inputs!C45,0)</x:f>
        <x:v>7</x:v>
      </x:c>
      <x:c r="N40" s="1238" t="n">
        <x:f>ROUNDUP(N8/Inputs!C45,0)</x:f>
        <x:v>7</x:v>
      </x:c>
      <x:c r="O40" s="1238" t="n">
        <x:f>ROUNDUP(O8/Inputs!C45,0)</x:f>
        <x:v>7</x:v>
      </x:c>
      <x:c r="P40" s="1238" t="n">
        <x:f>ROUNDUP(P8/Inputs!C45,0)</x:f>
        <x:v>7</x:v>
      </x:c>
      <x:c r="Q40" s="1238" t="n">
        <x:f>ROUNDUP(Q8/Inputs!C45,0)</x:f>
        <x:v>7</x:v>
      </x:c>
      <x:c r="R40" s="1238" t="n">
        <x:f>ROUNDUP(R8/Inputs!C45,0)</x:f>
        <x:v>7</x:v>
      </x:c>
      <x:c r="S40" s="1238" t="n">
        <x:f>ROUNDUP(S8/Inputs!C45,0)</x:f>
        <x:v>7</x:v>
      </x:c>
      <x:c r="T40" s="1238" t="n">
        <x:f>ROUNDUP(T8/Inputs!C45,0)</x:f>
        <x:v>7</x:v>
      </x:c>
      <x:c r="U40" s="1238" t="n">
        <x:f>ROUNDUP(U8/Inputs!C45,0)</x:f>
        <x:v>7</x:v>
      </x:c>
      <x:c r="V40" s="1238" t="n">
        <x:f>ROUNDUP(V8/Inputs!C45,0)</x:f>
        <x:v>7</x:v>
      </x:c>
      <x:c r="W40" s="1238" t="n">
        <x:f>ROUNDUP(W8/Inputs!C45,0)</x:f>
        <x:v>7</x:v>
      </x:c>
      <x:c r="X40" s="1238" t="n">
        <x:f>ROUNDUP(X8/Inputs!C45,0)</x:f>
        <x:v>7</x:v>
      </x:c>
      <x:c r="Y40" s="1238" t="n">
        <x:f>ROUNDUP(Y8/Inputs!C45,0)</x:f>
        <x:v>7</x:v>
      </x:c>
      <x:c r="Z40" s="1238" t="n">
        <x:f>ROUNDUP(Z8/Inputs!C45,0)</x:f>
        <x:v>7</x:v>
      </x:c>
      <x:c r="AA40" s="1238" t="n">
        <x:f>ROUNDUP(AA8/Inputs!C45,0)</x:f>
        <x:v>7</x:v>
      </x:c>
      <x:c r="AB40" s="1238" t="n">
        <x:f>ROUNDUP(AB8/Inputs!C45,0)</x:f>
        <x:v>7</x:v>
      </x:c>
      <x:c r="AC40" s="1238" t="n">
        <x:f>ROUNDUP(AC8/Inputs!C45,0)</x:f>
        <x:v>7</x:v>
      </x:c>
      <x:c r="AD40" s="1238" t="n">
        <x:f>ROUNDUP(AD8/Inputs!C45,0)</x:f>
        <x:v>7</x:v>
      </x:c>
      <x:c r="AE40" s="1238" t="n">
        <x:f>ROUNDUP(AE8/Inputs!C45,0)</x:f>
        <x:v>7</x:v>
      </x:c>
      <x:c r="AF40" s="1238" t="n">
        <x:f>ROUNDUP(AF8/Inputs!C45,0)</x:f>
        <x:v>7</x:v>
      </x:c>
      <x:c r="AG40" s="1238" t="n">
        <x:f>ROUNDUP(AG8/Inputs!C45,0)</x:f>
        <x:v>7</x:v>
      </x:c>
      <x:c r="AH40" s="1238" t="n">
        <x:f>ROUNDUP(AH8/Inputs!C45,0)</x:f>
        <x:v>7</x:v>
      </x:c>
      <x:c r="AI40" s="1238" t="n">
        <x:f>ROUNDUP(AI8/Inputs!C45,0)</x:f>
        <x:v>7</x:v>
      </x:c>
      <x:c r="AJ40" s="1238" t="n">
        <x:f>ROUNDUP(AJ8/Inputs!C45,0)</x:f>
        <x:v>7</x:v>
      </x:c>
      <x:c r="AK40" s="1238" t="n">
        <x:f>ROUNDUP(AK8/Inputs!C45,0)</x:f>
        <x:v>7</x:v>
      </x:c>
      <x:c r="AL40" s="1238" t="n">
        <x:f>ROUNDUP(AL8/Inputs!C45,0)</x:f>
        <x:v>7</x:v>
      </x:c>
      <x:c r="AM40" s="1239" t="n">
        <x:f>ROUNDUP(AM8/Inputs!C45,0)</x:f>
        <x:v>7</x:v>
      </x:c>
    </x:row>
    <x:row r="41">
      <x:c r="A41" s="145" t="str">
        <x:v>AMSA closing containers</x:v>
      </x:c>
      <x:c r="B41" s="124" t="str">
        <x:v>containers</x:v>
      </x:c>
      <x:c r="C41" s="146" t="str">
        <x:v>Formula</x:v>
      </x:c>
      <x:c r="D41" s="1243" t="n">
        <x:f>ROUNDUP(D9/Inputs!C45,0)</x:f>
        <x:v>0</x:v>
      </x:c>
      <x:c r="E41" s="1244" t="n">
        <x:f>ROUNDUP(E9/Inputs!C45,0)</x:f>
        <x:v>0</x:v>
      </x:c>
      <x:c r="F41" s="1244" t="n">
        <x:f>ROUNDUP(F9/Inputs!C45,0)</x:f>
        <x:v>0</x:v>
      </x:c>
      <x:c r="G41" s="1244" t="n">
        <x:f>ROUNDUP(G9/Inputs!C45,0)</x:f>
        <x:v>0</x:v>
      </x:c>
      <x:c r="H41" s="1244" t="n">
        <x:f>ROUNDUP(H9/Inputs!C45,0)</x:f>
        <x:v>0</x:v>
      </x:c>
      <x:c r="I41" s="1244" t="n">
        <x:f>ROUNDUP(I9/Inputs!C45,0)</x:f>
        <x:v>3</x:v>
      </x:c>
      <x:c r="J41" s="1244" t="n">
        <x:f>ROUNDUP(J9/Inputs!C45,0)</x:f>
        <x:v>3</x:v>
      </x:c>
      <x:c r="K41" s="1244" t="n">
        <x:f>ROUNDUP(K9/Inputs!C45,0)</x:f>
        <x:v>3</x:v>
      </x:c>
      <x:c r="L41" s="1244" t="n">
        <x:f>ROUNDUP(L9/Inputs!C45,0)</x:f>
        <x:v>3</x:v>
      </x:c>
      <x:c r="M41" s="1244" t="n">
        <x:f>ROUNDUP(M9/Inputs!C45,0)</x:f>
        <x:v>3</x:v>
      </x:c>
      <x:c r="N41" s="1244" t="n">
        <x:f>ROUNDUP(N9/Inputs!C45,0)</x:f>
        <x:v>3</x:v>
      </x:c>
      <x:c r="O41" s="1244" t="n">
        <x:f>ROUNDUP(O9/Inputs!C45,0)</x:f>
        <x:v>3</x:v>
      </x:c>
      <x:c r="P41" s="1244" t="n">
        <x:f>ROUNDUP(P9/Inputs!C45,0)</x:f>
        <x:v>3</x:v>
      </x:c>
      <x:c r="Q41" s="1244" t="n">
        <x:f>ROUNDUP(Q9/Inputs!C45,0)</x:f>
        <x:v>3</x:v>
      </x:c>
      <x:c r="R41" s="1244" t="n">
        <x:f>ROUNDUP(R9/Inputs!C45,0)</x:f>
        <x:v>3</x:v>
      </x:c>
      <x:c r="S41" s="1244" t="n">
        <x:f>ROUNDUP(S9/Inputs!C45,0)</x:f>
        <x:v>3</x:v>
      </x:c>
      <x:c r="T41" s="1244" t="n">
        <x:f>ROUNDUP(T9/Inputs!C45,0)</x:f>
        <x:v>3</x:v>
      </x:c>
      <x:c r="U41" s="1244" t="n">
        <x:f>ROUNDUP(U9/Inputs!C45,0)</x:f>
        <x:v>3</x:v>
      </x:c>
      <x:c r="V41" s="1244" t="n">
        <x:f>ROUNDUP(V9/Inputs!C45,0)</x:f>
        <x:v>3</x:v>
      </x:c>
      <x:c r="W41" s="1244" t="n">
        <x:f>ROUNDUP(W9/Inputs!C45,0)</x:f>
        <x:v>3</x:v>
      </x:c>
      <x:c r="X41" s="1244" t="n">
        <x:f>ROUNDUP(X9/Inputs!C45,0)</x:f>
        <x:v>3</x:v>
      </x:c>
      <x:c r="Y41" s="1244" t="n">
        <x:f>ROUNDUP(Y9/Inputs!C45,0)</x:f>
        <x:v>3</x:v>
      </x:c>
      <x:c r="Z41" s="1244" t="n">
        <x:f>ROUNDUP(Z9/Inputs!C45,0)</x:f>
        <x:v>3</x:v>
      </x:c>
      <x:c r="AA41" s="1244" t="n">
        <x:f>ROUNDUP(AA9/Inputs!C45,0)</x:f>
        <x:v>3</x:v>
      </x:c>
      <x:c r="AB41" s="1244" t="n">
        <x:f>ROUNDUP(AB9/Inputs!C45,0)</x:f>
        <x:v>3</x:v>
      </x:c>
      <x:c r="AC41" s="1244" t="n">
        <x:f>ROUNDUP(AC9/Inputs!C45,0)</x:f>
        <x:v>3</x:v>
      </x:c>
      <x:c r="AD41" s="1244" t="n">
        <x:f>ROUNDUP(AD9/Inputs!C45,0)</x:f>
        <x:v>3</x:v>
      </x:c>
      <x:c r="AE41" s="1244" t="n">
        <x:f>ROUNDUP(AE9/Inputs!C45,0)</x:f>
        <x:v>3</x:v>
      </x:c>
      <x:c r="AF41" s="1244" t="n">
        <x:f>ROUNDUP(AF9/Inputs!C45,0)</x:f>
        <x:v>3</x:v>
      </x:c>
      <x:c r="AG41" s="1244" t="n">
        <x:f>ROUNDUP(AG9/Inputs!C45,0)</x:f>
        <x:v>3</x:v>
      </x:c>
      <x:c r="AH41" s="1244" t="n">
        <x:f>ROUNDUP(AH9/Inputs!C45,0)</x:f>
        <x:v>3</x:v>
      </x:c>
      <x:c r="AI41" s="1244" t="n">
        <x:f>ROUNDUP(AI9/Inputs!C45,0)</x:f>
        <x:v>3</x:v>
      </x:c>
      <x:c r="AJ41" s="1244" t="n">
        <x:f>ROUNDUP(AJ9/Inputs!C45,0)</x:f>
        <x:v>3</x:v>
      </x:c>
      <x:c r="AK41" s="1244" t="n">
        <x:f>ROUNDUP(AK9/Inputs!C45,0)</x:f>
        <x:v>3</x:v>
      </x:c>
      <x:c r="AL41" s="1244" t="n">
        <x:f>ROUNDUP(AL9/Inputs!C45,0)</x:f>
        <x:v>3</x:v>
      </x:c>
      <x:c r="AM41" s="1245" t="n">
        <x:f>ROUNDUP(AM9/Inputs!C45,0)</x:f>
        <x:v>3</x:v>
      </x:c>
    </x:row>
    <x:row r="42">
      <x:c r="A42" s="145" t="str">
        <x:v>Total closing containers</x:v>
      </x:c>
      <x:c r="B42" s="124" t="str">
        <x:v>containers</x:v>
      </x:c>
      <x:c r="C42" s="146" t="str">
        <x:v>Formula</x:v>
      </x:c>
      <x:c r="D42" s="1243" t="n">
        <x:f>D40+D41</x:f>
        <x:v>0</x:v>
      </x:c>
      <x:c r="E42" s="1244" t="n">
        <x:f>E40+E41</x:f>
        <x:v>0</x:v>
      </x:c>
      <x:c r="F42" s="1244" t="n">
        <x:f>F40+F41</x:f>
        <x:v>3</x:v>
      </x:c>
      <x:c r="G42" s="1244" t="n">
        <x:f>G40+G41</x:f>
        <x:v>5</x:v>
      </x:c>
      <x:c r="H42" s="1244" t="n">
        <x:f>H40+H41</x:f>
        <x:v>7</x:v>
      </x:c>
      <x:c r="I42" s="1244" t="n">
        <x:f>I40+I41</x:f>
        <x:v>10</x:v>
      </x:c>
      <x:c r="J42" s="1244" t="n">
        <x:f>J40+J41</x:f>
        <x:v>10</x:v>
      </x:c>
      <x:c r="K42" s="1244" t="n">
        <x:f>K40+K41</x:f>
        <x:v>10</x:v>
      </x:c>
      <x:c r="L42" s="1244" t="n">
        <x:f>L40+L41</x:f>
        <x:v>10</x:v>
      </x:c>
      <x:c r="M42" s="1244" t="n">
        <x:f>M40+M41</x:f>
        <x:v>10</x:v>
      </x:c>
      <x:c r="N42" s="1244" t="n">
        <x:f>N40+N41</x:f>
        <x:v>10</x:v>
      </x:c>
      <x:c r="O42" s="1244" t="n">
        <x:f>O40+O41</x:f>
        <x:v>10</x:v>
      </x:c>
      <x:c r="P42" s="1244" t="n">
        <x:f>P40+P41</x:f>
        <x:v>10</x:v>
      </x:c>
      <x:c r="Q42" s="1244" t="n">
        <x:f>Q40+Q41</x:f>
        <x:v>10</x:v>
      </x:c>
      <x:c r="R42" s="1244" t="n">
        <x:f>R40+R41</x:f>
        <x:v>10</x:v>
      </x:c>
      <x:c r="S42" s="1244" t="n">
        <x:f>S40+S41</x:f>
        <x:v>10</x:v>
      </x:c>
      <x:c r="T42" s="1244" t="n">
        <x:f>T40+T41</x:f>
        <x:v>10</x:v>
      </x:c>
      <x:c r="U42" s="1244" t="n">
        <x:f>U40+U41</x:f>
        <x:v>10</x:v>
      </x:c>
      <x:c r="V42" s="1244" t="n">
        <x:f>V40+V41</x:f>
        <x:v>10</x:v>
      </x:c>
      <x:c r="W42" s="1244" t="n">
        <x:f>W40+W41</x:f>
        <x:v>10</x:v>
      </x:c>
      <x:c r="X42" s="1244" t="n">
        <x:f>X40+X41</x:f>
        <x:v>10</x:v>
      </x:c>
      <x:c r="Y42" s="1244" t="n">
        <x:f>Y40+Y41</x:f>
        <x:v>10</x:v>
      </x:c>
      <x:c r="Z42" s="1244" t="n">
        <x:f>Z40+Z41</x:f>
        <x:v>10</x:v>
      </x:c>
      <x:c r="AA42" s="1244" t="n">
        <x:f>AA40+AA41</x:f>
        <x:v>10</x:v>
      </x:c>
      <x:c r="AB42" s="1244" t="n">
        <x:f>AB40+AB41</x:f>
        <x:v>10</x:v>
      </x:c>
      <x:c r="AC42" s="1244" t="n">
        <x:f>AC40+AC41</x:f>
        <x:v>10</x:v>
      </x:c>
      <x:c r="AD42" s="1244" t="n">
        <x:f>AD40+AD41</x:f>
        <x:v>10</x:v>
      </x:c>
      <x:c r="AE42" s="1244" t="n">
        <x:f>AE40+AE41</x:f>
        <x:v>10</x:v>
      </x:c>
      <x:c r="AF42" s="1244" t="n">
        <x:f>AF40+AF41</x:f>
        <x:v>10</x:v>
      </x:c>
      <x:c r="AG42" s="1244" t="n">
        <x:f>AG40+AG41</x:f>
        <x:v>10</x:v>
      </x:c>
      <x:c r="AH42" s="1244" t="n">
        <x:f>AH40+AH41</x:f>
        <x:v>10</x:v>
      </x:c>
      <x:c r="AI42" s="1244" t="n">
        <x:f>AI40+AI41</x:f>
        <x:v>10</x:v>
      </x:c>
      <x:c r="AJ42" s="1244" t="n">
        <x:f>AJ40+AJ41</x:f>
        <x:v>10</x:v>
      </x:c>
      <x:c r="AK42" s="1244" t="n">
        <x:f>AK40+AK41</x:f>
        <x:v>10</x:v>
      </x:c>
      <x:c r="AL42" s="1244" t="n">
        <x:f>AL40+AL41</x:f>
        <x:v>10</x:v>
      </x:c>
      <x:c r="AM42" s="1245" t="n">
        <x:f>AM40+AM41</x:f>
        <x:v>10</x:v>
      </x:c>
    </x:row>
    <x:row r="43">
      <x:c r="A43" s="145"/>
      <x:c r="B43" s="124"/>
      <x:c r="C43" s="146"/>
      <x:c r="D43" s="1210"/>
      <x:c r="E43" s="1211"/>
      <x:c r="F43" s="1211"/>
      <x:c r="G43" s="1211"/>
      <x:c r="H43" s="1211"/>
      <x:c r="I43" s="1211"/>
      <x:c r="J43" s="1211"/>
      <x:c r="K43" s="1211"/>
      <x:c r="L43" s="1211"/>
      <x:c r="M43" s="1211"/>
      <x:c r="N43" s="1211"/>
      <x:c r="O43" s="1211"/>
      <x:c r="P43" s="1211"/>
      <x:c r="Q43" s="1211"/>
      <x:c r="R43" s="1211"/>
      <x:c r="S43" s="1211"/>
      <x:c r="T43" s="1211"/>
      <x:c r="U43" s="1211"/>
      <x:c r="V43" s="1211"/>
      <x:c r="W43" s="1211"/>
      <x:c r="X43" s="1211"/>
      <x:c r="Y43" s="1211"/>
      <x:c r="Z43" s="1211"/>
      <x:c r="AA43" s="1211"/>
      <x:c r="AB43" s="1211"/>
      <x:c r="AC43" s="1211"/>
      <x:c r="AD43" s="1211"/>
      <x:c r="AE43" s="1211"/>
      <x:c r="AF43" s="1211"/>
      <x:c r="AG43" s="1211"/>
      <x:c r="AH43" s="1211"/>
      <x:c r="AI43" s="1211"/>
      <x:c r="AJ43" s="1211"/>
      <x:c r="AK43" s="1211"/>
      <x:c r="AL43" s="1211"/>
      <x:c r="AM43" s="1212"/>
    </x:row>
    <x:row r="44">
      <x:c r="A44" s="145"/>
      <x:c r="B44" s="124"/>
      <x:c r="C44" s="146"/>
      <x:c r="D44" s="1210"/>
      <x:c r="E44" s="1211"/>
      <x:c r="F44" s="1211"/>
      <x:c r="G44" s="1211"/>
      <x:c r="H44" s="1211"/>
      <x:c r="I44" s="1211"/>
      <x:c r="J44" s="1211"/>
      <x:c r="K44" s="1211"/>
      <x:c r="L44" s="1211"/>
      <x:c r="M44" s="1211"/>
      <x:c r="N44" s="1211"/>
      <x:c r="O44" s="1211"/>
      <x:c r="P44" s="1211"/>
      <x:c r="Q44" s="1211"/>
      <x:c r="R44" s="1211"/>
      <x:c r="S44" s="1211"/>
      <x:c r="T44" s="1211"/>
      <x:c r="U44" s="1211"/>
      <x:c r="V44" s="1211"/>
      <x:c r="W44" s="1211"/>
      <x:c r="X44" s="1211"/>
      <x:c r="Y44" s="1211"/>
      <x:c r="Z44" s="1211"/>
      <x:c r="AA44" s="1211"/>
      <x:c r="AB44" s="1211"/>
      <x:c r="AC44" s="1211"/>
      <x:c r="AD44" s="1211"/>
      <x:c r="AE44" s="1211"/>
      <x:c r="AF44" s="1211"/>
      <x:c r="AG44" s="1211"/>
      <x:c r="AH44" s="1211"/>
      <x:c r="AI44" s="1211"/>
      <x:c r="AJ44" s="1211"/>
      <x:c r="AK44" s="1211"/>
      <x:c r="AL44" s="1211"/>
      <x:c r="AM44" s="1212"/>
    </x:row>
    <x:row r="45">
      <x:c r="A45" s="189" t="str">
        <x:v>Grootvlei opening containers</x:v>
      </x:c>
      <x:c r="B45" s="190" t="str">
        <x:v>containers</x:v>
      </x:c>
      <x:c r="C45" s="191" t="str">
        <x:v>Formula</x:v>
      </x:c>
      <x:c r="D45" s="1237" t="n">
        <x:f>0</x:f>
        <x:v>0</x:v>
      </x:c>
      <x:c r="E45" s="1238" t="n">
        <x:f>D40</x:f>
        <x:v>0</x:v>
      </x:c>
      <x:c r="F45" s="1238" t="n">
        <x:f>E40</x:f>
        <x:v>0</x:v>
      </x:c>
      <x:c r="G45" s="1238" t="n">
        <x:f>F40</x:f>
        <x:v>3</x:v>
      </x:c>
      <x:c r="H45" s="1238" t="n">
        <x:f>G40</x:f>
        <x:v>5</x:v>
      </x:c>
      <x:c r="I45" s="1238" t="n">
        <x:f>H40</x:f>
        <x:v>7</x:v>
      </x:c>
      <x:c r="J45" s="1238" t="n">
        <x:f>I40</x:f>
        <x:v>7</x:v>
      </x:c>
      <x:c r="K45" s="1238" t="n">
        <x:f>J40</x:f>
        <x:v>7</x:v>
      </x:c>
      <x:c r="L45" s="1238" t="n">
        <x:f>K40</x:f>
        <x:v>7</x:v>
      </x:c>
      <x:c r="M45" s="1238" t="n">
        <x:f>L40</x:f>
        <x:v>7</x:v>
      </x:c>
      <x:c r="N45" s="1238" t="n">
        <x:f>M40</x:f>
        <x:v>7</x:v>
      </x:c>
      <x:c r="O45" s="1238" t="n">
        <x:f>N40</x:f>
        <x:v>7</x:v>
      </x:c>
      <x:c r="P45" s="1238" t="n">
        <x:f>O40</x:f>
        <x:v>7</x:v>
      </x:c>
      <x:c r="Q45" s="1238" t="n">
        <x:f>P40</x:f>
        <x:v>7</x:v>
      </x:c>
      <x:c r="R45" s="1238" t="n">
        <x:f>Q40</x:f>
        <x:v>7</x:v>
      </x:c>
      <x:c r="S45" s="1238" t="n">
        <x:f>R40</x:f>
        <x:v>7</x:v>
      </x:c>
      <x:c r="T45" s="1238" t="n">
        <x:f>S40</x:f>
        <x:v>7</x:v>
      </x:c>
      <x:c r="U45" s="1238" t="n">
        <x:f>T40</x:f>
        <x:v>7</x:v>
      </x:c>
      <x:c r="V45" s="1238" t="n">
        <x:f>U40</x:f>
        <x:v>7</x:v>
      </x:c>
      <x:c r="W45" s="1238" t="n">
        <x:f>V40</x:f>
        <x:v>7</x:v>
      </x:c>
      <x:c r="X45" s="1238" t="n">
        <x:f>W40</x:f>
        <x:v>7</x:v>
      </x:c>
      <x:c r="Y45" s="1238" t="n">
        <x:f>X40</x:f>
        <x:v>7</x:v>
      </x:c>
      <x:c r="Z45" s="1238" t="n">
        <x:f>Y40</x:f>
        <x:v>7</x:v>
      </x:c>
      <x:c r="AA45" s="1238" t="n">
        <x:f>Z40</x:f>
        <x:v>7</x:v>
      </x:c>
      <x:c r="AB45" s="1238" t="n">
        <x:f>AA40</x:f>
        <x:v>7</x:v>
      </x:c>
      <x:c r="AC45" s="1238" t="n">
        <x:f>AB40</x:f>
        <x:v>7</x:v>
      </x:c>
      <x:c r="AD45" s="1238" t="n">
        <x:f>AC40</x:f>
        <x:v>7</x:v>
      </x:c>
      <x:c r="AE45" s="1238" t="n">
        <x:f>AD40</x:f>
        <x:v>7</x:v>
      </x:c>
      <x:c r="AF45" s="1238" t="n">
        <x:f>AE40</x:f>
        <x:v>7</x:v>
      </x:c>
      <x:c r="AG45" s="1238" t="n">
        <x:f>AF40</x:f>
        <x:v>7</x:v>
      </x:c>
      <x:c r="AH45" s="1238" t="n">
        <x:f>AG40</x:f>
        <x:v>7</x:v>
      </x:c>
      <x:c r="AI45" s="1238" t="n">
        <x:f>AH40</x:f>
        <x:v>7</x:v>
      </x:c>
      <x:c r="AJ45" s="1238" t="n">
        <x:f>AI40</x:f>
        <x:v>7</x:v>
      </x:c>
      <x:c r="AK45" s="1238" t="n">
        <x:f>AJ40</x:f>
        <x:v>7</x:v>
      </x:c>
      <x:c r="AL45" s="1238" t="n">
        <x:f>AK40</x:f>
        <x:v>7</x:v>
      </x:c>
      <x:c r="AM45" s="1239" t="n">
        <x:f>AL40</x:f>
        <x:v>7</x:v>
      </x:c>
    </x:row>
    <x:row r="46">
      <x:c r="A46" s="145" t="str">
        <x:v>AMSA opening containers</x:v>
      </x:c>
      <x:c r="B46" s="124" t="str">
        <x:v>containers</x:v>
      </x:c>
      <x:c r="C46" s="146" t="str">
        <x:v>Formula</x:v>
      </x:c>
      <x:c r="D46" s="1243" t="n">
        <x:f>0</x:f>
        <x:v>0</x:v>
      </x:c>
      <x:c r="E46" s="1244" t="n">
        <x:f>D41</x:f>
        <x:v>0</x:v>
      </x:c>
      <x:c r="F46" s="1244" t="n">
        <x:f>E41</x:f>
        <x:v>0</x:v>
      </x:c>
      <x:c r="G46" s="1244" t="n">
        <x:f>F41</x:f>
        <x:v>0</x:v>
      </x:c>
      <x:c r="H46" s="1244" t="n">
        <x:f>G41</x:f>
        <x:v>0</x:v>
      </x:c>
      <x:c r="I46" s="1244" t="n">
        <x:f>H41</x:f>
        <x:v>0</x:v>
      </x:c>
      <x:c r="J46" s="1244" t="n">
        <x:f>I41</x:f>
        <x:v>3</x:v>
      </x:c>
      <x:c r="K46" s="1244" t="n">
        <x:f>J41</x:f>
        <x:v>3</x:v>
      </x:c>
      <x:c r="L46" s="1244" t="n">
        <x:f>K41</x:f>
        <x:v>3</x:v>
      </x:c>
      <x:c r="M46" s="1244" t="n">
        <x:f>L41</x:f>
        <x:v>3</x:v>
      </x:c>
      <x:c r="N46" s="1244" t="n">
        <x:f>M41</x:f>
        <x:v>3</x:v>
      </x:c>
      <x:c r="O46" s="1244" t="n">
        <x:f>N41</x:f>
        <x:v>3</x:v>
      </x:c>
      <x:c r="P46" s="1244" t="n">
        <x:f>O41</x:f>
        <x:v>3</x:v>
      </x:c>
      <x:c r="Q46" s="1244" t="n">
        <x:f>P41</x:f>
        <x:v>3</x:v>
      </x:c>
      <x:c r="R46" s="1244" t="n">
        <x:f>Q41</x:f>
        <x:v>3</x:v>
      </x:c>
      <x:c r="S46" s="1244" t="n">
        <x:f>R41</x:f>
        <x:v>3</x:v>
      </x:c>
      <x:c r="T46" s="1244" t="n">
        <x:f>S41</x:f>
        <x:v>3</x:v>
      </x:c>
      <x:c r="U46" s="1244" t="n">
        <x:f>T41</x:f>
        <x:v>3</x:v>
      </x:c>
      <x:c r="V46" s="1244" t="n">
        <x:f>U41</x:f>
        <x:v>3</x:v>
      </x:c>
      <x:c r="W46" s="1244" t="n">
        <x:f>V41</x:f>
        <x:v>3</x:v>
      </x:c>
      <x:c r="X46" s="1244" t="n">
        <x:f>W41</x:f>
        <x:v>3</x:v>
      </x:c>
      <x:c r="Y46" s="1244" t="n">
        <x:f>X41</x:f>
        <x:v>3</x:v>
      </x:c>
      <x:c r="Z46" s="1244" t="n">
        <x:f>Y41</x:f>
        <x:v>3</x:v>
      </x:c>
      <x:c r="AA46" s="1244" t="n">
        <x:f>Z41</x:f>
        <x:v>3</x:v>
      </x:c>
      <x:c r="AB46" s="1244" t="n">
        <x:f>AA41</x:f>
        <x:v>3</x:v>
      </x:c>
      <x:c r="AC46" s="1244" t="n">
        <x:f>AB41</x:f>
        <x:v>3</x:v>
      </x:c>
      <x:c r="AD46" s="1244" t="n">
        <x:f>AC41</x:f>
        <x:v>3</x:v>
      </x:c>
      <x:c r="AE46" s="1244" t="n">
        <x:f>AD41</x:f>
        <x:v>3</x:v>
      </x:c>
      <x:c r="AF46" s="1244" t="n">
        <x:f>AE41</x:f>
        <x:v>3</x:v>
      </x:c>
      <x:c r="AG46" s="1244" t="n">
        <x:f>AF41</x:f>
        <x:v>3</x:v>
      </x:c>
      <x:c r="AH46" s="1244" t="n">
        <x:f>AG41</x:f>
        <x:v>3</x:v>
      </x:c>
      <x:c r="AI46" s="1244" t="n">
        <x:f>AH41</x:f>
        <x:v>3</x:v>
      </x:c>
      <x:c r="AJ46" s="1244" t="n">
        <x:f>AI41</x:f>
        <x:v>3</x:v>
      </x:c>
      <x:c r="AK46" s="1244" t="n">
        <x:f>AJ41</x:f>
        <x:v>3</x:v>
      </x:c>
      <x:c r="AL46" s="1244" t="n">
        <x:f>AK41</x:f>
        <x:v>3</x:v>
      </x:c>
      <x:c r="AM46" s="1245" t="n">
        <x:f>AL41</x:f>
        <x:v>3</x:v>
      </x:c>
    </x:row>
    <x:row r="47">
      <x:c r="A47" s="145" t="str">
        <x:v>Total opening containers</x:v>
      </x:c>
      <x:c r="B47" s="124" t="str">
        <x:v>containers</x:v>
      </x:c>
      <x:c r="C47" s="146" t="str">
        <x:v>Formula</x:v>
      </x:c>
      <x:c r="D47" s="1243" t="n">
        <x:f>0</x:f>
        <x:v>0</x:v>
      </x:c>
      <x:c r="E47" s="1244" t="n">
        <x:f>D42</x:f>
        <x:v>0</x:v>
      </x:c>
      <x:c r="F47" s="1244" t="n">
        <x:f>E42</x:f>
        <x:v>0</x:v>
      </x:c>
      <x:c r="G47" s="1244" t="n">
        <x:f>F42</x:f>
        <x:v>3</x:v>
      </x:c>
      <x:c r="H47" s="1244" t="n">
        <x:f>G42</x:f>
        <x:v>5</x:v>
      </x:c>
      <x:c r="I47" s="1244" t="n">
        <x:f>H42</x:f>
        <x:v>7</x:v>
      </x:c>
      <x:c r="J47" s="1244" t="n">
        <x:f>I42</x:f>
        <x:v>10</x:v>
      </x:c>
      <x:c r="K47" s="1244" t="n">
        <x:f>J42</x:f>
        <x:v>10</x:v>
      </x:c>
      <x:c r="L47" s="1244" t="n">
        <x:f>K42</x:f>
        <x:v>10</x:v>
      </x:c>
      <x:c r="M47" s="1244" t="n">
        <x:f>L42</x:f>
        <x:v>10</x:v>
      </x:c>
      <x:c r="N47" s="1244" t="n">
        <x:f>M42</x:f>
        <x:v>10</x:v>
      </x:c>
      <x:c r="O47" s="1244" t="n">
        <x:f>N42</x:f>
        <x:v>10</x:v>
      </x:c>
      <x:c r="P47" s="1244" t="n">
        <x:f>O42</x:f>
        <x:v>10</x:v>
      </x:c>
      <x:c r="Q47" s="1244" t="n">
        <x:f>P42</x:f>
        <x:v>10</x:v>
      </x:c>
      <x:c r="R47" s="1244" t="n">
        <x:f>Q42</x:f>
        <x:v>10</x:v>
      </x:c>
      <x:c r="S47" s="1244" t="n">
        <x:f>R42</x:f>
        <x:v>10</x:v>
      </x:c>
      <x:c r="T47" s="1244" t="n">
        <x:f>S42</x:f>
        <x:v>10</x:v>
      </x:c>
      <x:c r="U47" s="1244" t="n">
        <x:f>T42</x:f>
        <x:v>10</x:v>
      </x:c>
      <x:c r="V47" s="1244" t="n">
        <x:f>U42</x:f>
        <x:v>10</x:v>
      </x:c>
      <x:c r="W47" s="1244" t="n">
        <x:f>V42</x:f>
        <x:v>10</x:v>
      </x:c>
      <x:c r="X47" s="1244" t="n">
        <x:f>W42</x:f>
        <x:v>10</x:v>
      </x:c>
      <x:c r="Y47" s="1244" t="n">
        <x:f>X42</x:f>
        <x:v>10</x:v>
      </x:c>
      <x:c r="Z47" s="1244" t="n">
        <x:f>Y42</x:f>
        <x:v>10</x:v>
      </x:c>
      <x:c r="AA47" s="1244" t="n">
        <x:f>Z42</x:f>
        <x:v>10</x:v>
      </x:c>
      <x:c r="AB47" s="1244" t="n">
        <x:f>AA42</x:f>
        <x:v>10</x:v>
      </x:c>
      <x:c r="AC47" s="1244" t="n">
        <x:f>AB42</x:f>
        <x:v>10</x:v>
      </x:c>
      <x:c r="AD47" s="1244" t="n">
        <x:f>AC42</x:f>
        <x:v>10</x:v>
      </x:c>
      <x:c r="AE47" s="1244" t="n">
        <x:f>AD42</x:f>
        <x:v>10</x:v>
      </x:c>
      <x:c r="AF47" s="1244" t="n">
        <x:f>AE42</x:f>
        <x:v>10</x:v>
      </x:c>
      <x:c r="AG47" s="1244" t="n">
        <x:f>AF42</x:f>
        <x:v>10</x:v>
      </x:c>
      <x:c r="AH47" s="1244" t="n">
        <x:f>AG42</x:f>
        <x:v>10</x:v>
      </x:c>
      <x:c r="AI47" s="1244" t="n">
        <x:f>AH42</x:f>
        <x:v>10</x:v>
      </x:c>
      <x:c r="AJ47" s="1244" t="n">
        <x:f>AI42</x:f>
        <x:v>10</x:v>
      </x:c>
      <x:c r="AK47" s="1244" t="n">
        <x:f>AJ42</x:f>
        <x:v>10</x:v>
      </x:c>
      <x:c r="AL47" s="1244" t="n">
        <x:f>AK42</x:f>
        <x:v>10</x:v>
      </x:c>
      <x:c r="AM47" s="1245" t="n">
        <x:f>AL42</x:f>
        <x:v>10</x:v>
      </x:c>
    </x:row>
    <x:row r="48">
      <x:c r="A48" s="145"/>
      <x:c r="B48" s="124"/>
      <x:c r="C48" s="146"/>
      <x:c r="D48" s="1210"/>
      <x:c r="E48" s="1211"/>
      <x:c r="F48" s="1211"/>
      <x:c r="G48" s="1211"/>
      <x:c r="H48" s="1211"/>
      <x:c r="I48" s="1211"/>
      <x:c r="J48" s="1211"/>
      <x:c r="K48" s="1211"/>
      <x:c r="L48" s="1211"/>
      <x:c r="M48" s="1211"/>
      <x:c r="N48" s="1211"/>
      <x:c r="O48" s="1211"/>
      <x:c r="P48" s="1211"/>
      <x:c r="Q48" s="1211"/>
      <x:c r="R48" s="1211"/>
      <x:c r="S48" s="1211"/>
      <x:c r="T48" s="1211"/>
      <x:c r="U48" s="1211"/>
      <x:c r="V48" s="1211"/>
      <x:c r="W48" s="1211"/>
      <x:c r="X48" s="1211"/>
      <x:c r="Y48" s="1211"/>
      <x:c r="Z48" s="1211"/>
      <x:c r="AA48" s="1211"/>
      <x:c r="AB48" s="1211"/>
      <x:c r="AC48" s="1211"/>
      <x:c r="AD48" s="1211"/>
      <x:c r="AE48" s="1211"/>
      <x:c r="AF48" s="1211"/>
      <x:c r="AG48" s="1211"/>
      <x:c r="AH48" s="1211"/>
      <x:c r="AI48" s="1211"/>
      <x:c r="AJ48" s="1211"/>
      <x:c r="AK48" s="1211"/>
      <x:c r="AL48" s="1211"/>
      <x:c r="AM48" s="1212"/>
    </x:row>
    <x:row r="49">
      <x:c r="A49" s="145"/>
      <x:c r="B49" s="124"/>
      <x:c r="C49" s="146"/>
      <x:c r="D49" s="1210"/>
      <x:c r="E49" s="1211"/>
      <x:c r="F49" s="1211"/>
      <x:c r="G49" s="1211"/>
      <x:c r="H49" s="1211"/>
      <x:c r="I49" s="1211"/>
      <x:c r="J49" s="1211"/>
      <x:c r="K49" s="1211"/>
      <x:c r="L49" s="1211"/>
      <x:c r="M49" s="1211"/>
      <x:c r="N49" s="1211"/>
      <x:c r="O49" s="1211"/>
      <x:c r="P49" s="1211"/>
      <x:c r="Q49" s="1211"/>
      <x:c r="R49" s="1211"/>
      <x:c r="S49" s="1211"/>
      <x:c r="T49" s="1211"/>
      <x:c r="U49" s="1211"/>
      <x:c r="V49" s="1211"/>
      <x:c r="W49" s="1211"/>
      <x:c r="X49" s="1211"/>
      <x:c r="Y49" s="1211"/>
      <x:c r="Z49" s="1211"/>
      <x:c r="AA49" s="1211"/>
      <x:c r="AB49" s="1211"/>
      <x:c r="AC49" s="1211"/>
      <x:c r="AD49" s="1211"/>
      <x:c r="AE49" s="1211"/>
      <x:c r="AF49" s="1211"/>
      <x:c r="AG49" s="1211"/>
      <x:c r="AH49" s="1211"/>
      <x:c r="AI49" s="1211"/>
      <x:c r="AJ49" s="1211"/>
      <x:c r="AK49" s="1211"/>
      <x:c r="AL49" s="1211"/>
      <x:c r="AM49" s="1212"/>
    </x:row>
    <x:row r="50">
      <x:c r="A50" s="189" t="str">
        <x:v>Grootvlei new containers</x:v>
      </x:c>
      <x:c r="B50" s="190" t="str">
        <x:v>containers</x:v>
      </x:c>
      <x:c r="C50" s="191" t="str">
        <x:v>Formula</x:v>
      </x:c>
      <x:c r="D50" s="1237" t="n">
        <x:f>MAX(0,D40-D45)</x:f>
        <x:v>0</x:v>
      </x:c>
      <x:c r="E50" s="1238" t="n">
        <x:f>MAX(0,E40-E45)</x:f>
        <x:v>0</x:v>
      </x:c>
      <x:c r="F50" s="1238" t="n">
        <x:f>MAX(0,F40-F45)</x:f>
        <x:v>3</x:v>
      </x:c>
      <x:c r="G50" s="1238" t="n">
        <x:f>MAX(0,G40-G45)</x:f>
        <x:v>2</x:v>
      </x:c>
      <x:c r="H50" s="1238" t="n">
        <x:f>MAX(0,H40-H45)</x:f>
        <x:v>2</x:v>
      </x:c>
      <x:c r="I50" s="1238" t="n">
        <x:f>MAX(0,I40-I45)</x:f>
        <x:v>0</x:v>
      </x:c>
      <x:c r="J50" s="1238" t="n">
        <x:f>MAX(0,J40-J45)</x:f>
        <x:v>0</x:v>
      </x:c>
      <x:c r="K50" s="1238" t="n">
        <x:f>MAX(0,K40-K45)</x:f>
        <x:v>0</x:v>
      </x:c>
      <x:c r="L50" s="1238" t="n">
        <x:f>MAX(0,L40-L45)</x:f>
        <x:v>0</x:v>
      </x:c>
      <x:c r="M50" s="1238" t="n">
        <x:f>MAX(0,M40-M45)</x:f>
        <x:v>0</x:v>
      </x:c>
      <x:c r="N50" s="1238" t="n">
        <x:f>MAX(0,N40-N45)</x:f>
        <x:v>0</x:v>
      </x:c>
      <x:c r="O50" s="1238" t="n">
        <x:f>MAX(0,O40-O45)</x:f>
        <x:v>0</x:v>
      </x:c>
      <x:c r="P50" s="1238" t="n">
        <x:f>MAX(0,P40-P45)</x:f>
        <x:v>0</x:v>
      </x:c>
      <x:c r="Q50" s="1238" t="n">
        <x:f>MAX(0,Q40-Q45)</x:f>
        <x:v>0</x:v>
      </x:c>
      <x:c r="R50" s="1238" t="n">
        <x:f>MAX(0,R40-R45)</x:f>
        <x:v>0</x:v>
      </x:c>
      <x:c r="S50" s="1238" t="n">
        <x:f>MAX(0,S40-S45)</x:f>
        <x:v>0</x:v>
      </x:c>
      <x:c r="T50" s="1238" t="n">
        <x:f>MAX(0,T40-T45)</x:f>
        <x:v>0</x:v>
      </x:c>
      <x:c r="U50" s="1238" t="n">
        <x:f>MAX(0,U40-U45)</x:f>
        <x:v>0</x:v>
      </x:c>
      <x:c r="V50" s="1238" t="n">
        <x:f>MAX(0,V40-V45)</x:f>
        <x:v>0</x:v>
      </x:c>
      <x:c r="W50" s="1238" t="n">
        <x:f>MAX(0,W40-W45)</x:f>
        <x:v>0</x:v>
      </x:c>
      <x:c r="X50" s="1238" t="n">
        <x:f>MAX(0,X40-X45)</x:f>
        <x:v>0</x:v>
      </x:c>
      <x:c r="Y50" s="1238" t="n">
        <x:f>MAX(0,Y40-Y45)</x:f>
        <x:v>0</x:v>
      </x:c>
      <x:c r="Z50" s="1238" t="n">
        <x:f>MAX(0,Z40-Z45)</x:f>
        <x:v>0</x:v>
      </x:c>
      <x:c r="AA50" s="1238" t="n">
        <x:f>MAX(0,AA40-AA45)</x:f>
        <x:v>0</x:v>
      </x:c>
      <x:c r="AB50" s="1238" t="n">
        <x:f>MAX(0,AB40-AB45)</x:f>
        <x:v>0</x:v>
      </x:c>
      <x:c r="AC50" s="1238" t="n">
        <x:f>MAX(0,AC40-AC45)</x:f>
        <x:v>0</x:v>
      </x:c>
      <x:c r="AD50" s="1238" t="n">
        <x:f>MAX(0,AD40-AD45)</x:f>
        <x:v>0</x:v>
      </x:c>
      <x:c r="AE50" s="1238" t="n">
        <x:f>MAX(0,AE40-AE45)</x:f>
        <x:v>0</x:v>
      </x:c>
      <x:c r="AF50" s="1238" t="n">
        <x:f>MAX(0,AF40-AF45)</x:f>
        <x:v>0</x:v>
      </x:c>
      <x:c r="AG50" s="1238" t="n">
        <x:f>MAX(0,AG40-AG45)</x:f>
        <x:v>0</x:v>
      </x:c>
      <x:c r="AH50" s="1238" t="n">
        <x:f>MAX(0,AH40-AH45)</x:f>
        <x:v>0</x:v>
      </x:c>
      <x:c r="AI50" s="1238" t="n">
        <x:f>MAX(0,AI40-AI45)</x:f>
        <x:v>0</x:v>
      </x:c>
      <x:c r="AJ50" s="1238" t="n">
        <x:f>MAX(0,AJ40-AJ45)</x:f>
        <x:v>0</x:v>
      </x:c>
      <x:c r="AK50" s="1238" t="n">
        <x:f>MAX(0,AK40-AK45)</x:f>
        <x:v>0</x:v>
      </x:c>
      <x:c r="AL50" s="1238" t="n">
        <x:f>MAX(0,AL40-AL45)</x:f>
        <x:v>0</x:v>
      </x:c>
      <x:c r="AM50" s="1239" t="n">
        <x:f>MAX(0,AM40-AM45)</x:f>
        <x:v>0</x:v>
      </x:c>
    </x:row>
    <x:row r="51">
      <x:c r="A51" s="147" t="str">
        <x:v>AMSA new containers</x:v>
      </x:c>
      <x:c r="B51" s="148" t="str">
        <x:v>containers</x:v>
      </x:c>
      <x:c r="C51" s="149" t="str">
        <x:v>Formula</x:v>
      </x:c>
      <x:c r="D51" s="1243" t="n">
        <x:f>MAX(0,D41-D46)</x:f>
        <x:v>0</x:v>
      </x:c>
      <x:c r="E51" s="1244" t="n">
        <x:f>MAX(0,E41-E46)</x:f>
        <x:v>0</x:v>
      </x:c>
      <x:c r="F51" s="1244" t="n">
        <x:f>MAX(0,F41-F46)</x:f>
        <x:v>0</x:v>
      </x:c>
      <x:c r="G51" s="1244" t="n">
        <x:f>MAX(0,G41-G46)</x:f>
        <x:v>0</x:v>
      </x:c>
      <x:c r="H51" s="1244" t="n">
        <x:f>MAX(0,H41-H46)</x:f>
        <x:v>0</x:v>
      </x:c>
      <x:c r="I51" s="1244" t="n">
        <x:f>MAX(0,I41-I46)</x:f>
        <x:v>3</x:v>
      </x:c>
      <x:c r="J51" s="1244" t="n">
        <x:f>MAX(0,J41-J46)</x:f>
        <x:v>0</x:v>
      </x:c>
      <x:c r="K51" s="1244" t="n">
        <x:f>MAX(0,K41-K46)</x:f>
        <x:v>0</x:v>
      </x:c>
      <x:c r="L51" s="1244" t="n">
        <x:f>MAX(0,L41-L46)</x:f>
        <x:v>0</x:v>
      </x:c>
      <x:c r="M51" s="1244" t="n">
        <x:f>MAX(0,M41-M46)</x:f>
        <x:v>0</x:v>
      </x:c>
      <x:c r="N51" s="1244" t="n">
        <x:f>MAX(0,N41-N46)</x:f>
        <x:v>0</x:v>
      </x:c>
      <x:c r="O51" s="1244" t="n">
        <x:f>MAX(0,O41-O46)</x:f>
        <x:v>0</x:v>
      </x:c>
      <x:c r="P51" s="1244" t="n">
        <x:f>MAX(0,P41-P46)</x:f>
        <x:v>0</x:v>
      </x:c>
      <x:c r="Q51" s="1244" t="n">
        <x:f>MAX(0,Q41-Q46)</x:f>
        <x:v>0</x:v>
      </x:c>
      <x:c r="R51" s="1244" t="n">
        <x:f>MAX(0,R41-R46)</x:f>
        <x:v>0</x:v>
      </x:c>
      <x:c r="S51" s="1244" t="n">
        <x:f>MAX(0,S41-S46)</x:f>
        <x:v>0</x:v>
      </x:c>
      <x:c r="T51" s="1244" t="n">
        <x:f>MAX(0,T41-T46)</x:f>
        <x:v>0</x:v>
      </x:c>
      <x:c r="U51" s="1244" t="n">
        <x:f>MAX(0,U41-U46)</x:f>
        <x:v>0</x:v>
      </x:c>
      <x:c r="V51" s="1244" t="n">
        <x:f>MAX(0,V41-V46)</x:f>
        <x:v>0</x:v>
      </x:c>
      <x:c r="W51" s="1244" t="n">
        <x:f>MAX(0,W41-W46)</x:f>
        <x:v>0</x:v>
      </x:c>
      <x:c r="X51" s="1244" t="n">
        <x:f>MAX(0,X41-X46)</x:f>
        <x:v>0</x:v>
      </x:c>
      <x:c r="Y51" s="1244" t="n">
        <x:f>MAX(0,Y41-Y46)</x:f>
        <x:v>0</x:v>
      </x:c>
      <x:c r="Z51" s="1244" t="n">
        <x:f>MAX(0,Z41-Z46)</x:f>
        <x:v>0</x:v>
      </x:c>
      <x:c r="AA51" s="1244" t="n">
        <x:f>MAX(0,AA41-AA46)</x:f>
        <x:v>0</x:v>
      </x:c>
      <x:c r="AB51" s="1244" t="n">
        <x:f>MAX(0,AB41-AB46)</x:f>
        <x:v>0</x:v>
      </x:c>
      <x:c r="AC51" s="1244" t="n">
        <x:f>MAX(0,AC41-AC46)</x:f>
        <x:v>0</x:v>
      </x:c>
      <x:c r="AD51" s="1244" t="n">
        <x:f>MAX(0,AD41-AD46)</x:f>
        <x:v>0</x:v>
      </x:c>
      <x:c r="AE51" s="1244" t="n">
        <x:f>MAX(0,AE41-AE46)</x:f>
        <x:v>0</x:v>
      </x:c>
      <x:c r="AF51" s="1244" t="n">
        <x:f>MAX(0,AF41-AF46)</x:f>
        <x:v>0</x:v>
      </x:c>
      <x:c r="AG51" s="1244" t="n">
        <x:f>MAX(0,AG41-AG46)</x:f>
        <x:v>0</x:v>
      </x:c>
      <x:c r="AH51" s="1244" t="n">
        <x:f>MAX(0,AH41-AH46)</x:f>
        <x:v>0</x:v>
      </x:c>
      <x:c r="AI51" s="1244" t="n">
        <x:f>MAX(0,AI41-AI46)</x:f>
        <x:v>0</x:v>
      </x:c>
      <x:c r="AJ51" s="1244" t="n">
        <x:f>MAX(0,AJ41-AJ46)</x:f>
        <x:v>0</x:v>
      </x:c>
      <x:c r="AK51" s="1244" t="n">
        <x:f>MAX(0,AK41-AK46)</x:f>
        <x:v>0</x:v>
      </x:c>
      <x:c r="AL51" s="1244" t="n">
        <x:f>MAX(0,AL41-AL46)</x:f>
        <x:v>0</x:v>
      </x:c>
      <x:c r="AM51" s="1245" t="n">
        <x:f>MAX(0,AM41-AM46)</x:f>
        <x:v>0</x:v>
      </x:c>
    </x:row>
    <x:row r="52">
      <x:c r="A52" s="147" t="str">
        <x:v>Total new containers</x:v>
      </x:c>
      <x:c r="B52" s="148" t="str">
        <x:v>containers</x:v>
      </x:c>
      <x:c r="C52" s="149" t="str">
        <x:v>Formula</x:v>
      </x:c>
      <x:c r="D52" s="1243" t="n">
        <x:f>D50+D51</x:f>
        <x:v>0</x:v>
      </x:c>
      <x:c r="E52" s="1244" t="n">
        <x:f>E50+E51</x:f>
        <x:v>0</x:v>
      </x:c>
      <x:c r="F52" s="1244" t="n">
        <x:f>F50+F51</x:f>
        <x:v>3</x:v>
      </x:c>
      <x:c r="G52" s="1244" t="n">
        <x:f>G50+G51</x:f>
        <x:v>2</x:v>
      </x:c>
      <x:c r="H52" s="1244" t="n">
        <x:f>H50+H51</x:f>
        <x:v>2</x:v>
      </x:c>
      <x:c r="I52" s="1244" t="n">
        <x:f>I50+I51</x:f>
        <x:v>3</x:v>
      </x:c>
      <x:c r="J52" s="1244" t="n">
        <x:f>J50+J51</x:f>
        <x:v>0</x:v>
      </x:c>
      <x:c r="K52" s="1244" t="n">
        <x:f>K50+K51</x:f>
        <x:v>0</x:v>
      </x:c>
      <x:c r="L52" s="1244" t="n">
        <x:f>L50+L51</x:f>
        <x:v>0</x:v>
      </x:c>
      <x:c r="M52" s="1244" t="n">
        <x:f>M50+M51</x:f>
        <x:v>0</x:v>
      </x:c>
      <x:c r="N52" s="1244" t="n">
        <x:f>N50+N51</x:f>
        <x:v>0</x:v>
      </x:c>
      <x:c r="O52" s="1244" t="n">
        <x:f>O50+O51</x:f>
        <x:v>0</x:v>
      </x:c>
      <x:c r="P52" s="1244" t="n">
        <x:f>P50+P51</x:f>
        <x:v>0</x:v>
      </x:c>
      <x:c r="Q52" s="1244" t="n">
        <x:f>Q50+Q51</x:f>
        <x:v>0</x:v>
      </x:c>
      <x:c r="R52" s="1244" t="n">
        <x:f>R50+R51</x:f>
        <x:v>0</x:v>
      </x:c>
      <x:c r="S52" s="1244" t="n">
        <x:f>S50+S51</x:f>
        <x:v>0</x:v>
      </x:c>
      <x:c r="T52" s="1244" t="n">
        <x:f>T50+T51</x:f>
        <x:v>0</x:v>
      </x:c>
      <x:c r="U52" s="1244" t="n">
        <x:f>U50+U51</x:f>
        <x:v>0</x:v>
      </x:c>
      <x:c r="V52" s="1244" t="n">
        <x:f>V50+V51</x:f>
        <x:v>0</x:v>
      </x:c>
      <x:c r="W52" s="1244" t="n">
        <x:f>W50+W51</x:f>
        <x:v>0</x:v>
      </x:c>
      <x:c r="X52" s="1244" t="n">
        <x:f>X50+X51</x:f>
        <x:v>0</x:v>
      </x:c>
      <x:c r="Y52" s="1244" t="n">
        <x:f>Y50+Y51</x:f>
        <x:v>0</x:v>
      </x:c>
      <x:c r="Z52" s="1244" t="n">
        <x:f>Z50+Z51</x:f>
        <x:v>0</x:v>
      </x:c>
      <x:c r="AA52" s="1244" t="n">
        <x:f>AA50+AA51</x:f>
        <x:v>0</x:v>
      </x:c>
      <x:c r="AB52" s="1244" t="n">
        <x:f>AB50+AB51</x:f>
        <x:v>0</x:v>
      </x:c>
      <x:c r="AC52" s="1244" t="n">
        <x:f>AC50+AC51</x:f>
        <x:v>0</x:v>
      </x:c>
      <x:c r="AD52" s="1244" t="n">
        <x:f>AD50+AD51</x:f>
        <x:v>0</x:v>
      </x:c>
      <x:c r="AE52" s="1244" t="n">
        <x:f>AE50+AE51</x:f>
        <x:v>0</x:v>
      </x:c>
      <x:c r="AF52" s="1244" t="n">
        <x:f>AF50+AF51</x:f>
        <x:v>0</x:v>
      </x:c>
      <x:c r="AG52" s="1244" t="n">
        <x:f>AG50+AG51</x:f>
        <x:v>0</x:v>
      </x:c>
      <x:c r="AH52" s="1244" t="n">
        <x:f>AH50+AH51</x:f>
        <x:v>0</x:v>
      </x:c>
      <x:c r="AI52" s="1244" t="n">
        <x:f>AI50+AI51</x:f>
        <x:v>0</x:v>
      </x:c>
      <x:c r="AJ52" s="1244" t="n">
        <x:f>AJ50+AJ51</x:f>
        <x:v>0</x:v>
      </x:c>
      <x:c r="AK52" s="1244" t="n">
        <x:f>AK50+AK51</x:f>
        <x:v>0</x:v>
      </x:c>
      <x:c r="AL52" s="1244" t="n">
        <x:f>AL50+AL51</x:f>
        <x:v>0</x:v>
      </x:c>
      <x:c r="AM52" s="1245" t="n">
        <x:f>AM50+AM51</x:f>
        <x:v>0</x:v>
      </x:c>
    </x:row>
    <x:row r="53">
      <x:c r="A53" s="147"/>
      <x:c r="B53" s="148"/>
      <x:c r="C53" s="149"/>
      <x:c r="D53" s="1210"/>
      <x:c r="E53" s="1211"/>
      <x:c r="F53" s="1211"/>
      <x:c r="G53" s="1211"/>
      <x:c r="H53" s="1211"/>
      <x:c r="I53" s="1211"/>
      <x:c r="J53" s="1211"/>
      <x:c r="K53" s="1211"/>
      <x:c r="L53" s="1211"/>
      <x:c r="M53" s="1211"/>
      <x:c r="N53" s="1211"/>
      <x:c r="O53" s="1211"/>
      <x:c r="P53" s="1211"/>
      <x:c r="Q53" s="1211"/>
      <x:c r="R53" s="1211"/>
      <x:c r="S53" s="1211"/>
      <x:c r="T53" s="1211"/>
      <x:c r="U53" s="1211"/>
      <x:c r="V53" s="1211"/>
      <x:c r="W53" s="1211"/>
      <x:c r="X53" s="1211"/>
      <x:c r="Y53" s="1211"/>
      <x:c r="Z53" s="1211"/>
      <x:c r="AA53" s="1211"/>
      <x:c r="AB53" s="1211"/>
      <x:c r="AC53" s="1211"/>
      <x:c r="AD53" s="1211"/>
      <x:c r="AE53" s="1211"/>
      <x:c r="AF53" s="1211"/>
      <x:c r="AG53" s="1211"/>
      <x:c r="AH53" s="1211"/>
      <x:c r="AI53" s="1211"/>
      <x:c r="AJ53" s="1211"/>
      <x:c r="AK53" s="1211"/>
      <x:c r="AL53" s="1211"/>
      <x:c r="AM53" s="1212"/>
    </x:row>
    <x:row r="54">
      <x:c r="A54" s="147"/>
      <x:c r="B54" s="148"/>
      <x:c r="C54" s="149"/>
      <x:c r="D54" s="1210"/>
      <x:c r="E54" s="1211"/>
      <x:c r="F54" s="1211"/>
      <x:c r="G54" s="1211"/>
      <x:c r="H54" s="1211"/>
      <x:c r="I54" s="1211"/>
      <x:c r="J54" s="1211"/>
      <x:c r="K54" s="1211"/>
      <x:c r="L54" s="1211"/>
      <x:c r="M54" s="1211"/>
      <x:c r="N54" s="1211"/>
      <x:c r="O54" s="1211"/>
      <x:c r="P54" s="1211"/>
      <x:c r="Q54" s="1211"/>
      <x:c r="R54" s="1211"/>
      <x:c r="S54" s="1211"/>
      <x:c r="T54" s="1211"/>
      <x:c r="U54" s="1211"/>
      <x:c r="V54" s="1211"/>
      <x:c r="W54" s="1211"/>
      <x:c r="X54" s="1211"/>
      <x:c r="Y54" s="1211"/>
      <x:c r="Z54" s="1211"/>
      <x:c r="AA54" s="1211"/>
      <x:c r="AB54" s="1211"/>
      <x:c r="AC54" s="1211"/>
      <x:c r="AD54" s="1211"/>
      <x:c r="AE54" s="1211"/>
      <x:c r="AF54" s="1211"/>
      <x:c r="AG54" s="1211"/>
      <x:c r="AH54" s="1211"/>
      <x:c r="AI54" s="1211"/>
      <x:c r="AJ54" s="1211"/>
      <x:c r="AK54" s="1211"/>
      <x:c r="AL54" s="1211"/>
      <x:c r="AM54" s="1212"/>
    </x:row>
    <x:row r="55">
      <x:c r="A55" s="189" t="str">
        <x:v>New site FTE onboarded</x:v>
      </x:c>
      <x:c r="B55" s="190" t="str">
        <x:v>FTE</x:v>
      </x:c>
      <x:c r="C55" s="191" t="str">
        <x:v>Formula</x:v>
      </x:c>
      <x:c r="D55" s="1216" t="n">
        <x:f>(D37*Inputs!C64)+(D27*(Inputs!C66+Inputs!C68))</x:f>
        <x:v>0</x:v>
      </x:c>
      <x:c r="E55" s="1217" t="n">
        <x:f>(E37*Inputs!C64)+(E27*(Inputs!C66+Inputs!C68))</x:f>
        <x:v>0</x:v>
      </x:c>
      <x:c r="F55" s="1217" t="n">
        <x:f>(F37*Inputs!C64)+(F27*(Inputs!C66+Inputs!C68))</x:f>
        <x:v>4.15</x:v>
      </x:c>
      <x:c r="G55" s="1217" t="n">
        <x:f>(G37*Inputs!C64)+(G27*(Inputs!C66+Inputs!C68))</x:f>
        <x:v>2.15</x:v>
      </x:c>
      <x:c r="H55" s="1217" t="n">
        <x:f>(H37*Inputs!C64)+(H27*(Inputs!C66+Inputs!C68))</x:f>
        <x:v>2.15</x:v>
      </x:c>
      <x:c r="I55" s="1217" t="n">
        <x:f>(I37*Inputs!C64)+(I27*(Inputs!C66+Inputs!C68))</x:f>
        <x:v>4.15</x:v>
      </x:c>
      <x:c r="J55" s="1217" t="n">
        <x:f>(J37*Inputs!C64)+(J27*(Inputs!C66+Inputs!C68))</x:f>
        <x:v>0</x:v>
      </x:c>
      <x:c r="K55" s="1217" t="n">
        <x:f>(K37*Inputs!C64)+(K27*(Inputs!C66+Inputs!C68))</x:f>
        <x:v>0</x:v>
      </x:c>
      <x:c r="L55" s="1217" t="n">
        <x:f>(L37*Inputs!C64)+(L27*(Inputs!C66+Inputs!C68))</x:f>
        <x:v>0</x:v>
      </x:c>
      <x:c r="M55" s="1217" t="n">
        <x:f>(M37*Inputs!C64)+(M27*(Inputs!C66+Inputs!C68))</x:f>
        <x:v>0</x:v>
      </x:c>
      <x:c r="N55" s="1217" t="n">
        <x:f>(N37*Inputs!C64)+(N27*(Inputs!C66+Inputs!C68))</x:f>
        <x:v>0</x:v>
      </x:c>
      <x:c r="O55" s="1217" t="n">
        <x:f>(O37*Inputs!C64)+(O27*(Inputs!C66+Inputs!C68))</x:f>
        <x:v>0</x:v>
      </x:c>
      <x:c r="P55" s="1217" t="n">
        <x:f>(P37*Inputs!C64)+(P27*(Inputs!C66+Inputs!C68))</x:f>
        <x:v>0</x:v>
      </x:c>
      <x:c r="Q55" s="1217" t="n">
        <x:f>(Q37*Inputs!C64)+(Q27*(Inputs!C66+Inputs!C68))</x:f>
        <x:v>0</x:v>
      </x:c>
      <x:c r="R55" s="1217" t="n">
        <x:f>(R37*Inputs!C64)+(R27*(Inputs!C66+Inputs!C68))</x:f>
        <x:v>0</x:v>
      </x:c>
      <x:c r="S55" s="1217" t="n">
        <x:f>(S37*Inputs!C64)+(S27*(Inputs!C66+Inputs!C68))</x:f>
        <x:v>0</x:v>
      </x:c>
      <x:c r="T55" s="1217" t="n">
        <x:f>(T37*Inputs!C64)+(T27*(Inputs!C66+Inputs!C68))</x:f>
        <x:v>0</x:v>
      </x:c>
      <x:c r="U55" s="1217" t="n">
        <x:f>(U37*Inputs!C64)+(U27*(Inputs!C66+Inputs!C68))</x:f>
        <x:v>0</x:v>
      </x:c>
      <x:c r="V55" s="1217" t="n">
        <x:f>(V37*Inputs!C64)+(V27*(Inputs!C66+Inputs!C68))</x:f>
        <x:v>0</x:v>
      </x:c>
      <x:c r="W55" s="1217" t="n">
        <x:f>(W37*Inputs!C64)+(W27*(Inputs!C66+Inputs!C68))</x:f>
        <x:v>0</x:v>
      </x:c>
      <x:c r="X55" s="1217" t="n">
        <x:f>(X37*Inputs!C64)+(X27*(Inputs!C66+Inputs!C68))</x:f>
        <x:v>0</x:v>
      </x:c>
      <x:c r="Y55" s="1217" t="n">
        <x:f>(Y37*Inputs!C64)+(Y27*(Inputs!C66+Inputs!C68))</x:f>
        <x:v>0</x:v>
      </x:c>
      <x:c r="Z55" s="1217" t="n">
        <x:f>(Z37*Inputs!C64)+(Z27*(Inputs!C66+Inputs!C68))</x:f>
        <x:v>0</x:v>
      </x:c>
      <x:c r="AA55" s="1217" t="n">
        <x:f>(AA37*Inputs!C64)+(AA27*(Inputs!C66+Inputs!C68))</x:f>
        <x:v>0</x:v>
      </x:c>
      <x:c r="AB55" s="1217" t="n">
        <x:f>(AB37*Inputs!C64)+(AB27*(Inputs!C66+Inputs!C68))</x:f>
        <x:v>0</x:v>
      </x:c>
      <x:c r="AC55" s="1217" t="n">
        <x:f>(AC37*Inputs!C64)+(AC27*(Inputs!C66+Inputs!C68))</x:f>
        <x:v>0</x:v>
      </x:c>
      <x:c r="AD55" s="1217" t="n">
        <x:f>(AD37*Inputs!C64)+(AD27*(Inputs!C66+Inputs!C68))</x:f>
        <x:v>0</x:v>
      </x:c>
      <x:c r="AE55" s="1217" t="n">
        <x:f>(AE37*Inputs!C64)+(AE27*(Inputs!C66+Inputs!C68))</x:f>
        <x:v>0</x:v>
      </x:c>
      <x:c r="AF55" s="1217" t="n">
        <x:f>(AF37*Inputs!C64)+(AF27*(Inputs!C66+Inputs!C68))</x:f>
        <x:v>0</x:v>
      </x:c>
      <x:c r="AG55" s="1217" t="n">
        <x:f>(AG37*Inputs!C64)+(AG27*(Inputs!C66+Inputs!C68))</x:f>
        <x:v>0</x:v>
      </x:c>
      <x:c r="AH55" s="1217" t="n">
        <x:f>(AH37*Inputs!C64)+(AH27*(Inputs!C66+Inputs!C68))</x:f>
        <x:v>0</x:v>
      </x:c>
      <x:c r="AI55" s="1217" t="n">
        <x:f>(AI37*Inputs!C64)+(AI27*(Inputs!C66+Inputs!C68))</x:f>
        <x:v>0</x:v>
      </x:c>
      <x:c r="AJ55" s="1217" t="n">
        <x:f>(AJ37*Inputs!C64)+(AJ27*(Inputs!C66+Inputs!C68))</x:f>
        <x:v>0</x:v>
      </x:c>
      <x:c r="AK55" s="1217" t="n">
        <x:f>(AK37*Inputs!C64)+(AK27*(Inputs!C66+Inputs!C68))</x:f>
        <x:v>0</x:v>
      </x:c>
      <x:c r="AL55" s="1217" t="n">
        <x:f>(AL37*Inputs!C64)+(AL27*(Inputs!C66+Inputs!C68))</x:f>
        <x:v>0</x:v>
      </x:c>
      <x:c r="AM55" s="1218" t="n">
        <x:f>(AM37*Inputs!C64)+(AM27*(Inputs!C66+Inputs!C68))</x:f>
        <x:v>0</x:v>
      </x:c>
    </x:row>
    <x:row r="56">
      <x:c r="A56" s="150" t="str">
        <x:v>Cumulative site FTE onboarded</x:v>
      </x:c>
      <x:c r="B56" s="151" t="str">
        <x:v>FTE</x:v>
      </x:c>
      <x:c r="C56" s="152" t="str">
        <x:v>Formula</x:v>
      </x:c>
      <x:c r="D56" s="1219" t="n">
        <x:f>D55</x:f>
        <x:v>0</x:v>
      </x:c>
      <x:c r="E56" s="1220" t="n">
        <x:f>D56+E55</x:f>
        <x:v>0</x:v>
      </x:c>
      <x:c r="F56" s="1220" t="n">
        <x:f>E56+F55</x:f>
        <x:v>4.15</x:v>
      </x:c>
      <x:c r="G56" s="1220" t="n">
        <x:f>F56+G55</x:f>
        <x:v>6.300000000000001</x:v>
      </x:c>
      <x:c r="H56" s="1220" t="n">
        <x:f>G56+H55</x:f>
        <x:v>8.450000000000001</x:v>
      </x:c>
      <x:c r="I56" s="1220" t="n">
        <x:f>H56+I55</x:f>
        <x:v>12.600000000000001</x:v>
      </x:c>
      <x:c r="J56" s="1220" t="n">
        <x:f>I56+J55</x:f>
        <x:v>12.600000000000001</x:v>
      </x:c>
      <x:c r="K56" s="1220" t="n">
        <x:f>J56+K55</x:f>
        <x:v>12.600000000000001</x:v>
      </x:c>
      <x:c r="L56" s="1220" t="n">
        <x:f>K56+L55</x:f>
        <x:v>12.600000000000001</x:v>
      </x:c>
      <x:c r="M56" s="1220" t="n">
        <x:f>L56+M55</x:f>
        <x:v>12.600000000000001</x:v>
      </x:c>
      <x:c r="N56" s="1220" t="n">
        <x:f>M56+N55</x:f>
        <x:v>12.600000000000001</x:v>
      </x:c>
      <x:c r="O56" s="1220" t="n">
        <x:f>N56+O55</x:f>
        <x:v>12.600000000000001</x:v>
      </x:c>
      <x:c r="P56" s="1220" t="n">
        <x:f>O56+P55</x:f>
        <x:v>12.600000000000001</x:v>
      </x:c>
      <x:c r="Q56" s="1220" t="n">
        <x:f>P56+Q55</x:f>
        <x:v>12.600000000000001</x:v>
      </x:c>
      <x:c r="R56" s="1220" t="n">
        <x:f>Q56+R55</x:f>
        <x:v>12.600000000000001</x:v>
      </x:c>
      <x:c r="S56" s="1220" t="n">
        <x:f>R56+S55</x:f>
        <x:v>12.600000000000001</x:v>
      </x:c>
      <x:c r="T56" s="1220" t="n">
        <x:f>S56+T55</x:f>
        <x:v>12.600000000000001</x:v>
      </x:c>
      <x:c r="U56" s="1220" t="n">
        <x:f>T56+U55</x:f>
        <x:v>12.600000000000001</x:v>
      </x:c>
      <x:c r="V56" s="1220" t="n">
        <x:f>U56+V55</x:f>
        <x:v>12.600000000000001</x:v>
      </x:c>
      <x:c r="W56" s="1220" t="n">
        <x:f>V56+W55</x:f>
        <x:v>12.600000000000001</x:v>
      </x:c>
      <x:c r="X56" s="1220" t="n">
        <x:f>W56+X55</x:f>
        <x:v>12.600000000000001</x:v>
      </x:c>
      <x:c r="Y56" s="1220" t="n">
        <x:f>X56+Y55</x:f>
        <x:v>12.600000000000001</x:v>
      </x:c>
      <x:c r="Z56" s="1220" t="n">
        <x:f>Y56+Z55</x:f>
        <x:v>12.600000000000001</x:v>
      </x:c>
      <x:c r="AA56" s="1220" t="n">
        <x:f>Z56+AA55</x:f>
        <x:v>12.600000000000001</x:v>
      </x:c>
      <x:c r="AB56" s="1220" t="n">
        <x:f>AA56+AB55</x:f>
        <x:v>12.600000000000001</x:v>
      </x:c>
      <x:c r="AC56" s="1220" t="n">
        <x:f>AB56+AC55</x:f>
        <x:v>12.600000000000001</x:v>
      </x:c>
      <x:c r="AD56" s="1220" t="n">
        <x:f>AC56+AD55</x:f>
        <x:v>12.600000000000001</x:v>
      </x:c>
      <x:c r="AE56" s="1220" t="n">
        <x:f>AD56+AE55</x:f>
        <x:v>12.600000000000001</x:v>
      </x:c>
      <x:c r="AF56" s="1220" t="n">
        <x:f>AE56+AF55</x:f>
        <x:v>12.600000000000001</x:v>
      </x:c>
      <x:c r="AG56" s="1220" t="n">
        <x:f>AF56+AG55</x:f>
        <x:v>12.600000000000001</x:v>
      </x:c>
      <x:c r="AH56" s="1220" t="n">
        <x:f>AG56+AH55</x:f>
        <x:v>12.600000000000001</x:v>
      </x:c>
      <x:c r="AI56" s="1220" t="n">
        <x:f>AH56+AI55</x:f>
        <x:v>12.600000000000001</x:v>
      </x:c>
      <x:c r="AJ56" s="1220" t="n">
        <x:f>AI56+AJ55</x:f>
        <x:v>12.600000000000001</x:v>
      </x:c>
      <x:c r="AK56" s="1220" t="n">
        <x:f>AJ56+AK55</x:f>
        <x:v>12.600000000000001</x:v>
      </x:c>
      <x:c r="AL56" s="1220" t="n">
        <x:f>AK56+AL55</x:f>
        <x:v>12.600000000000001</x:v>
      </x:c>
      <x:c r="AM56" s="1221" t="n">
        <x:f>AL56+AM55</x:f>
        <x:v>12.600000000000001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.13999938964844" hidden="0" customWidth="1"/>
    <x:col min="2" max="2" width="10.710000038146973" hidden="0" customWidth="1"/>
    <x:col min="3" max="3" width="27.860000610351562" hidden="0" customWidth="1"/>
    <x:col min="4" max="4" width="10.430000305175781" hidden="0" customWidth="1"/>
    <x:col min="5" max="5" width="10.430000305175781" hidden="0" customWidth="1"/>
    <x:col min="6" max="6" width="10.430000305175781" hidden="0" customWidth="1"/>
    <x:col min="7" max="7" width="10.430000305175781" hidden="0" customWidth="1"/>
    <x:col min="8" max="8" width="10.430000305175781" hidden="0" customWidth="1"/>
    <x:col min="9" max="9" width="10.430000305175781" hidden="0" customWidth="1"/>
    <x:col min="10" max="10" width="10.430000305175781" hidden="0" customWidth="1"/>
    <x:col min="11" max="11" width="10.430000305175781" hidden="0" customWidth="1"/>
    <x:col min="12" max="12" width="10.430000305175781" hidden="0" customWidth="1"/>
    <x:col min="13" max="13" width="10.430000305175781" hidden="0" customWidth="1"/>
    <x:col min="14" max="14" width="10.430000305175781" hidden="0" customWidth="1"/>
    <x:col min="15" max="15" width="10.430000305175781" hidden="0" customWidth="1"/>
    <x:col min="16" max="16" width="10.430000305175781" hidden="0" customWidth="1"/>
    <x:col min="17" max="17" width="10.430000305175781" hidden="0" customWidth="1"/>
    <x:col min="18" max="18" width="10.430000305175781" hidden="0" customWidth="1"/>
    <x:col min="19" max="19" width="10.430000305175781" hidden="0" customWidth="1"/>
    <x:col min="20" max="20" width="10.430000305175781" hidden="0" customWidth="1"/>
    <x:col min="21" max="21" width="10.430000305175781" hidden="0" customWidth="1"/>
    <x:col min="22" max="22" width="10.430000305175781" hidden="0" customWidth="1"/>
    <x:col min="23" max="23" width="10.430000305175781" hidden="0" customWidth="1"/>
    <x:col min="24" max="24" width="10.430000305175781" hidden="0" customWidth="1"/>
    <x:col min="25" max="25" width="10.430000305175781" hidden="0" customWidth="1"/>
    <x:col min="26" max="26" width="10.430000305175781" hidden="0" customWidth="1"/>
    <x:col min="27" max="27" width="10.430000305175781" hidden="0" customWidth="1"/>
    <x:col min="28" max="28" width="10.430000305175781" hidden="0" customWidth="1"/>
    <x:col min="29" max="29" width="10.430000305175781" hidden="0" customWidth="1"/>
    <x:col min="30" max="30" width="10.430000305175781" hidden="0" customWidth="1"/>
    <x:col min="31" max="31" width="10.430000305175781" hidden="0" customWidth="1"/>
    <x:col min="32" max="32" width="10.430000305175781" hidden="0" customWidth="1"/>
    <x:col min="33" max="33" width="10.430000305175781" hidden="0" customWidth="1"/>
    <x:col min="34" max="34" width="10.430000305175781" hidden="0" customWidth="1"/>
    <x:col min="35" max="35" width="10.430000305175781" hidden="0" customWidth="1"/>
    <x:col min="36" max="36" width="10.430000305175781" hidden="0" customWidth="1"/>
    <x:col min="37" max="37" width="10.430000305175781" hidden="0" customWidth="1"/>
    <x:col min="38" max="38" width="10.430000305175781" hidden="0" customWidth="1"/>
    <x:col min="39" max="39" width="10.430000305175781" hidden="0" customWidth="1"/>
  </x:cols>
  <x:sheetData>
    <x:row r="1">
      <x:c r="A1" s="128" t="str">
        <x:v>Revenue_36M | Bitcoin anchor revenue plus visible optionality lines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  <x:c r="Y1" s="128"/>
      <x:c r="Z1" s="128"/>
      <x:c r="AA1" s="128"/>
      <x:c r="AB1" s="128"/>
      <x:c r="AC1" s="128"/>
      <x:c r="AD1" s="128"/>
      <x:c r="AE1" s="128"/>
      <x:c r="AF1" s="128"/>
      <x:c r="AG1" s="128"/>
      <x:c r="AH1" s="128"/>
      <x:c r="AI1" s="128"/>
      <x:c r="AJ1" s="128"/>
      <x:c r="AK1" s="128"/>
      <x:c r="AL1" s="128"/>
      <x:c r="AM1" s="128"/>
    </x:row>
    <x:row r="2">
      <x:c r="A2" s="133" t="str">
        <x:v>Base-case cashflow uses BTC revenue only. Demand response and hyperscaler rows are formula-driven but off by default in Inputs.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  <x:c r="P2" s="133"/>
      <x:c r="Q2" s="133"/>
      <x:c r="R2" s="133"/>
      <x:c r="S2" s="133"/>
      <x:c r="T2" s="133"/>
      <x:c r="U2" s="133"/>
      <x:c r="V2" s="133"/>
      <x:c r="W2" s="133"/>
      <x:c r="X2" s="133"/>
      <x:c r="Y2" s="133"/>
      <x:c r="Z2" s="133"/>
      <x:c r="AA2" s="133"/>
      <x:c r="AB2" s="133"/>
      <x:c r="AC2" s="133"/>
      <x:c r="AD2" s="133"/>
      <x:c r="AE2" s="133"/>
      <x:c r="AF2" s="133"/>
      <x:c r="AG2" s="133"/>
      <x:c r="AH2" s="133"/>
      <x:c r="AI2" s="133"/>
      <x:c r="AJ2" s="133"/>
      <x:c r="AK2" s="133"/>
      <x:c r="AL2" s="133"/>
      <x:c r="AM2" s="133"/>
    </x:row>
    <x:row r="4">
      <x:c r="A4" s="140" t="str">
        <x:v>Metric</x:v>
      </x:c>
      <x:c r="B4" s="141" t="str">
        <x:v>Unit</x:v>
      </x:c>
      <x:c r="C4" s="142" t="str">
        <x:v>Notes</x:v>
      </x:c>
    </x:row>
    <x:row r="5">
      <x:c r="A5" s="143" t="str">
        <x:v>Date</x:v>
      </x:c>
      <x:c r="B5" s="136" t="str">
        <x:v>date</x:v>
      </x:c>
      <x:c r="C5" s="144" t="str">
        <x:v>Linked from deployment</x:v>
      </x:c>
      <x:c r="D5" s="1249" t="n">
        <x:f>Deployment_36M!D5</x:f>
        <x:v>46204</x:v>
      </x:c>
      <x:c r="E5" s="1250" t="n">
        <x:f>Deployment_36M!E5</x:f>
        <x:v>46235</x:v>
      </x:c>
      <x:c r="F5" s="1250" t="n">
        <x:f>Deployment_36M!F5</x:f>
        <x:v>46266</x:v>
      </x:c>
      <x:c r="G5" s="1250" t="n">
        <x:f>Deployment_36M!G5</x:f>
        <x:v>46296</x:v>
      </x:c>
      <x:c r="H5" s="1250" t="n">
        <x:f>Deployment_36M!H5</x:f>
        <x:v>46327</x:v>
      </x:c>
      <x:c r="I5" s="1250" t="n">
        <x:f>Deployment_36M!I5</x:f>
        <x:v>46357</x:v>
      </x:c>
      <x:c r="J5" s="1250" t="n">
        <x:f>Deployment_36M!J5</x:f>
        <x:v>46388</x:v>
      </x:c>
      <x:c r="K5" s="1250" t="n">
        <x:f>Deployment_36M!K5</x:f>
        <x:v>46419</x:v>
      </x:c>
      <x:c r="L5" s="1250" t="n">
        <x:f>Deployment_36M!L5</x:f>
        <x:v>46447</x:v>
      </x:c>
      <x:c r="M5" s="1250" t="n">
        <x:f>Deployment_36M!M5</x:f>
        <x:v>46478</x:v>
      </x:c>
      <x:c r="N5" s="1250" t="n">
        <x:f>Deployment_36M!N5</x:f>
        <x:v>46508</x:v>
      </x:c>
      <x:c r="O5" s="1250" t="n">
        <x:f>Deployment_36M!O5</x:f>
        <x:v>46539</x:v>
      </x:c>
      <x:c r="P5" s="1250" t="n">
        <x:f>Deployment_36M!P5</x:f>
        <x:v>46569</x:v>
      </x:c>
      <x:c r="Q5" s="1250" t="n">
        <x:f>Deployment_36M!Q5</x:f>
        <x:v>46600</x:v>
      </x:c>
      <x:c r="R5" s="1250" t="n">
        <x:f>Deployment_36M!R5</x:f>
        <x:v>46631</x:v>
      </x:c>
      <x:c r="S5" s="1250" t="n">
        <x:f>Deployment_36M!S5</x:f>
        <x:v>46661</x:v>
      </x:c>
      <x:c r="T5" s="1250" t="n">
        <x:f>Deployment_36M!T5</x:f>
        <x:v>46692</x:v>
      </x:c>
      <x:c r="U5" s="1250" t="n">
        <x:f>Deployment_36M!U5</x:f>
        <x:v>46722</x:v>
      </x:c>
      <x:c r="V5" s="1250" t="n">
        <x:f>Deployment_36M!V5</x:f>
        <x:v>46753</x:v>
      </x:c>
      <x:c r="W5" s="1250" t="n">
        <x:f>Deployment_36M!W5</x:f>
        <x:v>46784</x:v>
      </x:c>
      <x:c r="X5" s="1250" t="n">
        <x:f>Deployment_36M!X5</x:f>
        <x:v>46813</x:v>
      </x:c>
      <x:c r="Y5" s="1250" t="n">
        <x:f>Deployment_36M!Y5</x:f>
        <x:v>46844</x:v>
      </x:c>
      <x:c r="Z5" s="1250" t="n">
        <x:f>Deployment_36M!Z5</x:f>
        <x:v>46874</x:v>
      </x:c>
      <x:c r="AA5" s="1250" t="n">
        <x:f>Deployment_36M!AA5</x:f>
        <x:v>46905</x:v>
      </x:c>
      <x:c r="AB5" s="1250" t="n">
        <x:f>Deployment_36M!AB5</x:f>
        <x:v>46935</x:v>
      </x:c>
      <x:c r="AC5" s="1250" t="n">
        <x:f>Deployment_36M!AC5</x:f>
        <x:v>46966</x:v>
      </x:c>
      <x:c r="AD5" s="1250" t="n">
        <x:f>Deployment_36M!AD5</x:f>
        <x:v>46997</x:v>
      </x:c>
      <x:c r="AE5" s="1250" t="n">
        <x:f>Deployment_36M!AE5</x:f>
        <x:v>47027</x:v>
      </x:c>
      <x:c r="AF5" s="1250" t="n">
        <x:f>Deployment_36M!AF5</x:f>
        <x:v>47058</x:v>
      </x:c>
      <x:c r="AG5" s="1250" t="n">
        <x:f>Deployment_36M!AG5</x:f>
        <x:v>47088</x:v>
      </x:c>
      <x:c r="AH5" s="1250" t="n">
        <x:f>Deployment_36M!AH5</x:f>
        <x:v>47119</x:v>
      </x:c>
      <x:c r="AI5" s="1250" t="n">
        <x:f>Deployment_36M!AI5</x:f>
        <x:v>47150</x:v>
      </x:c>
      <x:c r="AJ5" s="1250" t="n">
        <x:f>Deployment_36M!AJ5</x:f>
        <x:v>47178</x:v>
      </x:c>
      <x:c r="AK5" s="1250" t="n">
        <x:f>Deployment_36M!AK5</x:f>
        <x:v>47209</x:v>
      </x:c>
      <x:c r="AL5" s="1250" t="n">
        <x:f>Deployment_36M!AL5</x:f>
        <x:v>47239</x:v>
      </x:c>
      <x:c r="AM5" s="1251" t="n">
        <x:f>Deployment_36M!AM5</x:f>
        <x:v>47270</x:v>
      </x:c>
    </x:row>
    <x:row r="6">
      <x:c r="A6" s="143" t="str">
        <x:v>Days in month</x:v>
      </x:c>
      <x:c r="B6" s="136" t="str">
        <x:v>days</x:v>
      </x:c>
      <x:c r="C6" s="144" t="str">
        <x:v>Linked from deployment</x:v>
      </x:c>
      <x:c r="D6" s="1252" t="n">
        <x:f>Deployment_36M!D6</x:f>
        <x:v>31</x:v>
      </x:c>
      <x:c r="E6" s="1253" t="n">
        <x:f>Deployment_36M!E6</x:f>
        <x:v>31</x:v>
      </x:c>
      <x:c r="F6" s="1253" t="n">
        <x:f>Deployment_36M!F6</x:f>
        <x:v>30</x:v>
      </x:c>
      <x:c r="G6" s="1253" t="n">
        <x:f>Deployment_36M!G6</x:f>
        <x:v>31</x:v>
      </x:c>
      <x:c r="H6" s="1253" t="n">
        <x:f>Deployment_36M!H6</x:f>
        <x:v>30</x:v>
      </x:c>
      <x:c r="I6" s="1253" t="n">
        <x:f>Deployment_36M!I6</x:f>
        <x:v>31</x:v>
      </x:c>
      <x:c r="J6" s="1253" t="n">
        <x:f>Deployment_36M!J6</x:f>
        <x:v>31</x:v>
      </x:c>
      <x:c r="K6" s="1253" t="n">
        <x:f>Deployment_36M!K6</x:f>
        <x:v>28</x:v>
      </x:c>
      <x:c r="L6" s="1253" t="n">
        <x:f>Deployment_36M!L6</x:f>
        <x:v>31</x:v>
      </x:c>
      <x:c r="M6" s="1253" t="n">
        <x:f>Deployment_36M!M6</x:f>
        <x:v>30</x:v>
      </x:c>
      <x:c r="N6" s="1253" t="n">
        <x:f>Deployment_36M!N6</x:f>
        <x:v>31</x:v>
      </x:c>
      <x:c r="O6" s="1253" t="n">
        <x:f>Deployment_36M!O6</x:f>
        <x:v>30</x:v>
      </x:c>
      <x:c r="P6" s="1253" t="n">
        <x:f>Deployment_36M!P6</x:f>
        <x:v>31</x:v>
      </x:c>
      <x:c r="Q6" s="1253" t="n">
        <x:f>Deployment_36M!Q6</x:f>
        <x:v>31</x:v>
      </x:c>
      <x:c r="R6" s="1253" t="n">
        <x:f>Deployment_36M!R6</x:f>
        <x:v>30</x:v>
      </x:c>
      <x:c r="S6" s="1253" t="n">
        <x:f>Deployment_36M!S6</x:f>
        <x:v>31</x:v>
      </x:c>
      <x:c r="T6" s="1253" t="n">
        <x:f>Deployment_36M!T6</x:f>
        <x:v>30</x:v>
      </x:c>
      <x:c r="U6" s="1253" t="n">
        <x:f>Deployment_36M!U6</x:f>
        <x:v>31</x:v>
      </x:c>
      <x:c r="V6" s="1253" t="n">
        <x:f>Deployment_36M!V6</x:f>
        <x:v>31</x:v>
      </x:c>
      <x:c r="W6" s="1253" t="n">
        <x:f>Deployment_36M!W6</x:f>
        <x:v>29</x:v>
      </x:c>
      <x:c r="X6" s="1253" t="n">
        <x:f>Deployment_36M!X6</x:f>
        <x:v>31</x:v>
      </x:c>
      <x:c r="Y6" s="1253" t="n">
        <x:f>Deployment_36M!Y6</x:f>
        <x:v>30</x:v>
      </x:c>
      <x:c r="Z6" s="1253" t="n">
        <x:f>Deployment_36M!Z6</x:f>
        <x:v>31</x:v>
      </x:c>
      <x:c r="AA6" s="1253" t="n">
        <x:f>Deployment_36M!AA6</x:f>
        <x:v>30</x:v>
      </x:c>
      <x:c r="AB6" s="1253" t="n">
        <x:f>Deployment_36M!AB6</x:f>
        <x:v>31</x:v>
      </x:c>
      <x:c r="AC6" s="1253" t="n">
        <x:f>Deployment_36M!AC6</x:f>
        <x:v>31</x:v>
      </x:c>
      <x:c r="AD6" s="1253" t="n">
        <x:f>Deployment_36M!AD6</x:f>
        <x:v>30</x:v>
      </x:c>
      <x:c r="AE6" s="1253" t="n">
        <x:f>Deployment_36M!AE6</x:f>
        <x:v>31</x:v>
      </x:c>
      <x:c r="AF6" s="1253" t="n">
        <x:f>Deployment_36M!AF6</x:f>
        <x:v>30</x:v>
      </x:c>
      <x:c r="AG6" s="1253" t="n">
        <x:f>Deployment_36M!AG6</x:f>
        <x:v>31</x:v>
      </x:c>
      <x:c r="AH6" s="1253" t="n">
        <x:f>Deployment_36M!AH6</x:f>
        <x:v>31</x:v>
      </x:c>
      <x:c r="AI6" s="1253" t="n">
        <x:f>Deployment_36M!AI6</x:f>
        <x:v>28</x:v>
      </x:c>
      <x:c r="AJ6" s="1253" t="n">
        <x:f>Deployment_36M!AJ6</x:f>
        <x:v>31</x:v>
      </x:c>
      <x:c r="AK6" s="1253" t="n">
        <x:f>Deployment_36M!AK6</x:f>
        <x:v>30</x:v>
      </x:c>
      <x:c r="AL6" s="1253" t="n">
        <x:f>Deployment_36M!AL6</x:f>
        <x:v>31</x:v>
      </x:c>
      <x:c r="AM6" s="1254" t="n">
        <x:f>Deployment_36M!AM6</x:f>
        <x:v>30</x:v>
      </x:c>
    </x:row>
    <x:row r="7">
      <x:c r="A7" s="147"/>
      <x:c r="B7" s="148"/>
      <x:c r="C7" s="149"/>
      <x:c r="D7" s="1165"/>
      <x:c r="E7" s="1166"/>
      <x:c r="F7" s="1166"/>
      <x:c r="G7" s="1166"/>
      <x:c r="H7" s="1166"/>
      <x:c r="I7" s="1166"/>
      <x:c r="J7" s="1166"/>
      <x:c r="K7" s="1166"/>
      <x:c r="L7" s="1166"/>
      <x:c r="M7" s="1166"/>
      <x:c r="N7" s="1166"/>
      <x:c r="O7" s="1166"/>
      <x:c r="P7" s="1166"/>
      <x:c r="Q7" s="1166"/>
      <x:c r="R7" s="1166"/>
      <x:c r="S7" s="1166"/>
      <x:c r="T7" s="1166"/>
      <x:c r="U7" s="1166"/>
      <x:c r="V7" s="1166"/>
      <x:c r="W7" s="1166"/>
      <x:c r="X7" s="1166"/>
      <x:c r="Y7" s="1166"/>
      <x:c r="Z7" s="1166"/>
      <x:c r="AA7" s="1166"/>
      <x:c r="AB7" s="1166"/>
      <x:c r="AC7" s="1166"/>
      <x:c r="AD7" s="1166"/>
      <x:c r="AE7" s="1166"/>
      <x:c r="AF7" s="1166"/>
      <x:c r="AG7" s="1166"/>
      <x:c r="AH7" s="1166"/>
      <x:c r="AI7" s="1166"/>
      <x:c r="AJ7" s="1166"/>
      <x:c r="AK7" s="1166"/>
      <x:c r="AL7" s="1166"/>
      <x:c r="AM7" s="1167"/>
    </x:row>
    <x:row r="8">
      <x:c r="A8" s="147" t="str">
        <x:v>BTC price (USD)</x:v>
      </x:c>
      <x:c r="B8" s="148" t="str">
        <x:v>USD/BTC</x:v>
      </x:c>
      <x:c r="C8" s="149" t="str">
        <x:v>Monthly compounding from annual growth</x:v>
      </x:c>
      <x:c r="D8" s="1285" t="n">
        <x:f>Inputs!C21</x:f>
        <x:v>75000</x:v>
      </x:c>
      <x:c r="E8" s="1286" t="n">
        <x:f>D8*POWER(1+Inputs!C22,1/12)</x:f>
        <x:v>75878.618768989</x:v>
      </x:c>
      <x:c r="F8" s="1286" t="n">
        <x:f>E8*POWER(1+Inputs!C22,1/12)</x:f>
        <x:v>76767.53048386094</x:v>
      </x:c>
      <x:c r="G8" s="1286" t="n">
        <x:f>F8*POWER(1+Inputs!C22,1/12)</x:f>
        <x:v>77666.85572562169</x:v>
      </x:c>
      <x:c r="H8" s="1286" t="n">
        <x:f>G8*POWER(1+Inputs!C22,1/12)</x:f>
        <x:v>78576.71648787358</x:v>
      </x:c>
      <x:c r="I8" s="1286" t="n">
        <x:f>H8*POWER(1+Inputs!C22,1/12)</x:f>
        <x:v>79497.23619336389</x:v>
      </x:c>
      <x:c r="J8" s="1286" t="n">
        <x:f>I8*POWER(1+Inputs!C22,1/12)</x:f>
        <x:v>80428.53971072711</x:v>
      </x:c>
      <x:c r="K8" s="1286" t="n">
        <x:f>J8*POWER(1+Inputs!C22,1/12)</x:f>
        <x:v>81370.75337142342</x:v>
      </x:c>
      <x:c r="L8" s="1286" t="n">
        <x:f>K8*POWER(1+Inputs!C22,1/12)</x:f>
        <x:v>82324.00498687552</x:v>
      </x:c>
      <x:c r="M8" s="1286" t="n">
        <x:f>L8*POWER(1+Inputs!C22,1/12)</x:f>
        <x:v>83288.42386580636</x:v>
      </x:c>
      <x:c r="N8" s="1286" t="n">
        <x:f>M8*POWER(1+Inputs!C22,1/12)</x:f>
        <x:v>84264.1408317798</x:v>
      </x:c>
      <x:c r="O8" s="1286" t="n">
        <x:f>N8*POWER(1+Inputs!C22,1/12)</x:f>
        <x:v>85251.28824094693</x:v>
      </x:c>
      <x:c r="P8" s="1286" t="n">
        <x:f>O8*POWER(1+Inputs!C22,1/12)</x:f>
        <x:v>86250.0000000001</x:v>
      </x:c>
      <x:c r="Q8" s="1286" t="n">
        <x:f>P8*POWER(1+Inputs!C22,1/12)</x:f>
        <x:v>87260.41158433746</x:v>
      </x:c>
      <x:c r="R8" s="1286" t="n">
        <x:f>Q8*POWER(1+Inputs!C22,1/12)</x:f>
        <x:v>88282.66005644019</x:v>
      </x:c>
      <x:c r="S8" s="1286" t="n">
        <x:f>R8*POWER(1+Inputs!C22,1/12)</x:f>
        <x:v>89316.88408446504</x:v>
      </x:c>
      <x:c r="T8" s="1286" t="n">
        <x:f>S8*POWER(1+Inputs!C22,1/12)</x:f>
        <x:v>90363.22396105473</x:v>
      </x:c>
      <x:c r="U8" s="1286" t="n">
        <x:f>T8*POWER(1+Inputs!C22,1/12)</x:f>
        <x:v>91421.82162236859</x:v>
      </x:c>
      <x:c r="V8" s="1286" t="n">
        <x:f>U8*POWER(1+Inputs!C22,1/12)</x:f>
        <x:v>92492.82066733629</x:v>
      </x:c>
      <x:c r="W8" s="1286" t="n">
        <x:f>V8*POWER(1+Inputs!C22,1/12)</x:f>
        <x:v>93576.36637713703</x:v>
      </x:c>
      <x:c r="X8" s="1286" t="n">
        <x:f>W8*POWER(1+Inputs!C22,1/12)</x:f>
        <x:v>94672.60573490696</x:v>
      </x:c>
      <x:c r="Y8" s="1286" t="n">
        <x:f>X8*POWER(1+Inputs!C22,1/12)</x:f>
        <x:v>95781.68744567742</x:v>
      </x:c>
      <x:c r="Z8" s="1286" t="n">
        <x:f>Y8*POWER(1+Inputs!C22,1/12)</x:f>
        <x:v>96903.76195654689</x:v>
      </x:c>
      <x:c r="AA8" s="1286" t="n">
        <x:f>Z8*POWER(1+Inputs!C22,1/12)</x:f>
        <x:v>98038.98147708908</x:v>
      </x:c>
      <x:c r="AB8" s="1286" t="n">
        <x:f>AA8*POWER(1+Inputs!C22,1/12)</x:f>
        <x:v>99187.50000000022</x:v>
      </x:c>
      <x:c r="AC8" s="1286" t="n">
        <x:f>AB8*POWER(1+Inputs!C22,1/12)</x:f>
        <x:v>100349.47332198817</x:v>
      </x:c>
      <x:c r="AD8" s="1286" t="n">
        <x:f>AC8*POWER(1+Inputs!C22,1/12)</x:f>
        <x:v>101525.05906490631</x:v>
      </x:c>
      <x:c r="AE8" s="1286" t="n">
        <x:f>AD8*POWER(1+Inputs!C22,1/12)</x:f>
        <x:v>102714.41669713489</x:v>
      </x:c>
      <x:c r="AF8" s="1286" t="n">
        <x:f>AE8*POWER(1+Inputs!C22,1/12)</x:f>
        <x:v>103917.70755521303</x:v>
      </x:c>
      <x:c r="AG8" s="1286" t="n">
        <x:f>AF8*POWER(1+Inputs!C22,1/12)</x:f>
        <x:v>105135.09486572396</x:v>
      </x:c>
      <x:c r="AH8" s="1286" t="n">
        <x:f>AG8*POWER(1+Inputs!C22,1/12)</x:f>
        <x:v>106366.74376743683</x:v>
      </x:c>
      <x:c r="AI8" s="1286" t="n">
        <x:f>AH8*POWER(1+Inputs!C22,1/12)</x:f>
        <x:v>107612.82133370767</x:v>
      </x:c>
      <x:c r="AJ8" s="1286" t="n">
        <x:f>AI8*POWER(1+Inputs!C22,1/12)</x:f>
        <x:v>108873.49659514308</x:v>
      </x:c>
      <x:c r="AK8" s="1286" t="n">
        <x:f>AJ8*POWER(1+Inputs!C22,1/12)</x:f>
        <x:v>110148.94056252913</x:v>
      </x:c>
      <x:c r="AL8" s="1286" t="n">
        <x:f>AK8*POWER(1+Inputs!C22,1/12)</x:f>
        <x:v>111439.32625002903</x:v>
      </x:c>
      <x:c r="AM8" s="1287" t="n">
        <x:f>AL8*POWER(1+Inputs!C22,1/12)</x:f>
        <x:v>112744.82869865255</x:v>
      </x:c>
    </x:row>
    <x:row r="9">
      <x:c r="A9" s="147" t="str">
        <x:v>BTC price (ZAR)</x:v>
      </x:c>
      <x:c r="B9" s="148" t="str">
        <x:v>ZAR/BTC</x:v>
      </x:c>
      <x:c r="C9" s="149" t="str">
        <x:v>USD price x FX</x:v>
      </x:c>
      <x:c r="D9" s="1285" t="n">
        <x:f>D8*Inputs!C20</x:f>
        <x:v>1275000</x:v>
      </x:c>
      <x:c r="E9" s="1286" t="n">
        <x:f>E8*Inputs!C20</x:f>
        <x:v>1289936.5190728132</x:v>
      </x:c>
      <x:c r="F9" s="1286" t="n">
        <x:f>F8*Inputs!C20</x:f>
        <x:v>1305048.018225636</x:v>
      </x:c>
      <x:c r="G9" s="1286" t="n">
        <x:f>G8*Inputs!C20</x:f>
        <x:v>1320336.5473355688</x:v>
      </x:c>
      <x:c r="H9" s="1286" t="n">
        <x:f>H8*Inputs!C20</x:f>
        <x:v>1335804.1802938508</x:v>
      </x:c>
      <x:c r="I9" s="1286" t="n">
        <x:f>I8*Inputs!C20</x:f>
        <x:v>1351453.015287186</x:v>
      </x:c>
      <x:c r="J9" s="1286" t="n">
        <x:f>J8*Inputs!C20</x:f>
        <x:v>1367285.1750823609</x:v>
      </x:c>
      <x:c r="K9" s="1286" t="n">
        <x:f>K8*Inputs!C20</x:f>
        <x:v>1383302.807314198</x:v>
      </x:c>
      <x:c r="L9" s="1286" t="n">
        <x:f>L8*Inputs!C20</x:f>
        <x:v>1399508.0847768837</x:v>
      </x:c>
      <x:c r="M9" s="1286" t="n">
        <x:f>M8*Inputs!C20</x:f>
        <x:v>1415903.205718708</x:v>
      </x:c>
      <x:c r="N9" s="1286" t="n">
        <x:f>N8*Inputs!C20</x:f>
        <x:v>1432490.3941402566</x:v>
      </x:c>
      <x:c r="O9" s="1286" t="n">
        <x:f>O8*Inputs!C20</x:f>
        <x:v>1449271.9000960977</x:v>
      </x:c>
      <x:c r="P9" s="1286" t="n">
        <x:f>P8*Inputs!C20</x:f>
        <x:v>1466250.0000000016</x:v>
      </x:c>
      <x:c r="Q9" s="1286" t="n">
        <x:f>Q8*Inputs!C20</x:f>
        <x:v>1483426.9969337368</x:v>
      </x:c>
      <x:c r="R9" s="1286" t="n">
        <x:f>R8*Inputs!C20</x:f>
        <x:v>1500805.2209594832</x:v>
      </x:c>
      <x:c r="S9" s="1286" t="n">
        <x:f>S8*Inputs!C20</x:f>
        <x:v>1518387.0294359056</x:v>
      </x:c>
      <x:c r="T9" s="1286" t="n">
        <x:f>T8*Inputs!C20</x:f>
        <x:v>1536174.8073379304</x:v>
      </x:c>
      <x:c r="U9" s="1286" t="n">
        <x:f>U8*Inputs!C20</x:f>
        <x:v>1554170.967580266</x:v>
      </x:c>
      <x:c r="V9" s="1286" t="n">
        <x:f>V8*Inputs!C20</x:f>
        <x:v>1572377.9513447168</x:v>
      </x:c>
      <x:c r="W9" s="1286" t="n">
        <x:f>W8*Inputs!C20</x:f>
        <x:v>1590798.2284113297</x:v>
      </x:c>
      <x:c r="X9" s="1286" t="n">
        <x:f>X8*Inputs!C20</x:f>
        <x:v>1609434.2974934182</x:v>
      </x:c>
      <x:c r="Y9" s="1286" t="n">
        <x:f>Y8*Inputs!C20</x:f>
        <x:v>1628288.6865765161</x:v>
      </x:c>
      <x:c r="Z9" s="1286" t="n">
        <x:f>Z8*Inputs!C20</x:f>
        <x:v>1647363.9532612972</x:v>
      </x:c>
      <x:c r="AA9" s="1286" t="n">
        <x:f>AA8*Inputs!C20</x:f>
        <x:v>1666662.6851105143</x:v>
      </x:c>
      <x:c r="AB9" s="1286" t="n">
        <x:f>AB8*Inputs!C20</x:f>
        <x:v>1686187.5000000037</x:v>
      </x:c>
      <x:c r="AC9" s="1286" t="n">
        <x:f>AC8*Inputs!C20</x:f>
        <x:v>1705941.046473799</x:v>
      </x:c>
      <x:c r="AD9" s="1286" t="n">
        <x:f>AD8*Inputs!C20</x:f>
        <x:v>1725926.0041034073</x:v>
      </x:c>
      <x:c r="AE9" s="1286" t="n">
        <x:f>AE8*Inputs!C20</x:f>
        <x:v>1746145.0838512932</x:v>
      </x:c>
      <x:c r="AF9" s="1286" t="n">
        <x:f>AF8*Inputs!C20</x:f>
        <x:v>1766601.0284386214</x:v>
      </x:c>
      <x:c r="AG9" s="1286" t="n">
        <x:f>AG8*Inputs!C20</x:f>
        <x:v>1787296.6127173074</x:v>
      </x:c>
      <x:c r="AH9" s="1286" t="n">
        <x:f>AH8*Inputs!C20</x:f>
        <x:v>1808234.644046426</x:v>
      </x:c>
      <x:c r="AI9" s="1286" t="n">
        <x:f>AI8*Inputs!C20</x:f>
        <x:v>1829417.9626730306</x:v>
      </x:c>
      <x:c r="AJ9" s="1286" t="n">
        <x:f>AJ8*Inputs!C20</x:f>
        <x:v>1850849.4421174324</x:v>
      </x:c>
      <x:c r="AK9" s="1286" t="n">
        <x:f>AK8*Inputs!C20</x:f>
        <x:v>1872531.989562995</x:v>
      </x:c>
      <x:c r="AL9" s="1286" t="n">
        <x:f>AL8*Inputs!C20</x:f>
        <x:v>1894468.5462504935</x:v>
      </x:c>
      <x:c r="AM9" s="1287" t="n">
        <x:f>AM8*Inputs!C20</x:f>
        <x:v>1916662.0878770933</x:v>
      </x:c>
    </x:row>
    <x:row r="10">
      <x:c r="A10" s="147" t="str">
        <x:v>Network hash</x:v>
      </x:c>
      <x:c r="B10" s="148" t="str">
        <x:v>TH/s</x:v>
      </x:c>
      <x:c r="C10" s="149" t="str">
        <x:v>Monthly compounding from annual growth</x:v>
      </x:c>
      <x:c r="D10" s="1285" t="n">
        <x:f>Inputs!C23</x:f>
        <x:v>900000000</x:v>
      </x:c>
      <x:c r="E10" s="1286" t="n">
        <x:f>D10*POWER(1+Inputs!C24,1/12)</x:f>
        <x:v>907176726.3860134</x:v>
      </x:c>
      <x:c r="F10" s="1286" t="n">
        <x:f>E10*POWER(1+Inputs!C24,1/12)</x:f>
        <x:v>914410680.9960487</x:v>
      </x:c>
      <x:c r="G10" s="1286" t="n">
        <x:f>F10*POWER(1+Inputs!C24,1/12)</x:f>
        <x:v>921702320.1760007</x:v>
      </x:c>
      <x:c r="H10" s="1286" t="n">
        <x:f>G10*POWER(1+Inputs!C24,1/12)</x:f>
        <x:v>929052103.9107306</x:v>
      </x:c>
      <x:c r="I10" s="1286" t="n">
        <x:f>H10*POWER(1+Inputs!C24,1/12)</x:f>
        <x:v>936460495.8530833</x:v>
      </x:c>
      <x:c r="J10" s="1286" t="n">
        <x:f>I10*POWER(1+Inputs!C24,1/12)</x:f>
        <x:v>943927963.3531365</x:v>
      </x:c>
      <x:c r="K10" s="1286" t="n">
        <x:f>J10*POWER(1+Inputs!C24,1/12)</x:f>
        <x:v>951454977.4876835</x:v>
      </x:c>
      <x:c r="L10" s="1286" t="n">
        <x:f>K10*POWER(1+Inputs!C24,1/12)</x:f>
        <x:v>959042013.0899498</x:v>
      </x:c>
      <x:c r="M10" s="1286" t="n">
        <x:f>L10*POWER(1+Inputs!C24,1/12)</x:f>
        <x:v>966689548.7795477</x:v>
      </x:c>
      <x:c r="N10" s="1286" t="n">
        <x:f>M10*POWER(1+Inputs!C24,1/12)</x:f>
        <x:v>974398066.9926695</x:v>
      </x:c>
      <x:c r="O10" s="1286" t="n">
        <x:f>N10*POWER(1+Inputs!C24,1/12)</x:f>
        <x:v>982168054.0125214</x:v>
      </x:c>
      <x:c r="P10" s="1286" t="n">
        <x:f>O10*POWER(1+Inputs!C24,1/12)</x:f>
        <x:v>990000000.0000004</x:v>
      </x:c>
      <x:c r="Q10" s="1286" t="n">
        <x:f>P10*POWER(1+Inputs!C24,1/12)</x:f>
        <x:v>997894399.024615</x:v>
      </x:c>
      <x:c r="R10" s="1286" t="n">
        <x:f>Q10*POWER(1+Inputs!C24,1/12)</x:f>
        <x:v>1005851749.0956539</x:v>
      </x:c>
      <x:c r="S10" s="1286" t="n">
        <x:f>R10*POWER(1+Inputs!C24,1/12)</x:f>
        <x:v>1013872552.1936011</x:v>
      </x:c>
      <x:c r="T10" s="1286" t="n">
        <x:f>S10*POWER(1+Inputs!C24,1/12)</x:f>
        <x:v>1021957314.301804</x:v>
      </x:c>
      <x:c r="U10" s="1286" t="n">
        <x:f>T10*POWER(1+Inputs!C24,1/12)</x:f>
        <x:v>1030106545.4383919</x:v>
      </x:c>
      <x:c r="V10" s="1286" t="n">
        <x:f>U10*POWER(1+Inputs!C24,1/12)</x:f>
        <x:v>1038320759.6884506</x:v>
      </x:c>
      <x:c r="W10" s="1286" t="n">
        <x:f>V10*POWER(1+Inputs!C24,1/12)</x:f>
        <x:v>1046600475.2364523</x:v>
      </x:c>
      <x:c r="X10" s="1286" t="n">
        <x:f>W10*POWER(1+Inputs!C24,1/12)</x:f>
        <x:v>1054946214.3989452</x:v>
      </x:c>
      <x:c r="Y10" s="1286" t="n">
        <x:f>X10*POWER(1+Inputs!C24,1/12)</x:f>
        <x:v>1063358503.6575028</x:v>
      </x:c>
      <x:c r="Z10" s="1286" t="n">
        <x:f>Y10*POWER(1+Inputs!C24,1/12)</x:f>
        <x:v>1071837873.6919367</x:v>
      </x:c>
      <x:c r="AA10" s="1286" t="n">
        <x:f>Z10*POWER(1+Inputs!C24,1/12)</x:f>
        <x:v>1080384859.4137738</x:v>
      </x:c>
      <x:c r="AB10" s="1286" t="n">
        <x:f>AA10*POWER(1+Inputs!C24,1/12)</x:f>
        <x:v>1089000000.0000007</x:v>
      </x:c>
      <x:c r="AC10" s="1286" t="n">
        <x:f>AB10*POWER(1+Inputs!C24,1/12)</x:f>
        <x:v>1097683838.9270768</x:v>
      </x:c>
      <x:c r="AD10" s="1286" t="n">
        <x:f>AC10*POWER(1+Inputs!C24,1/12)</x:f>
        <x:v>1106436924.0052195</x:v>
      </x:c>
      <x:c r="AE10" s="1286" t="n">
        <x:f>AD10*POWER(1+Inputs!C24,1/12)</x:f>
        <x:v>1115259807.4129615</x:v>
      </x:c>
      <x:c r="AF10" s="1286" t="n">
        <x:f>AE10*POWER(1+Inputs!C24,1/12)</x:f>
        <x:v>1124153045.7319846</x:v>
      </x:c>
      <x:c r="AG10" s="1286" t="n">
        <x:f>AF10*POWER(1+Inputs!C24,1/12)</x:f>
        <x:v>1133117199.9822314</x:v>
      </x:c>
      <x:c r="AH10" s="1286" t="n">
        <x:f>AG10*POWER(1+Inputs!C24,1/12)</x:f>
        <x:v>1142152835.657296</x:v>
      </x:c>
      <x:c r="AI10" s="1286" t="n">
        <x:f>AH10*POWER(1+Inputs!C24,1/12)</x:f>
        <x:v>1151260522.760098</x:v>
      </x:c>
      <x:c r="AJ10" s="1286" t="n">
        <x:f>AI10*POWER(1+Inputs!C24,1/12)</x:f>
        <x:v>1160440835.8388402</x:v>
      </x:c>
      <x:c r="AK10" s="1286" t="n">
        <x:f>AJ10*POWER(1+Inputs!C24,1/12)</x:f>
        <x:v>1169694354.0232537</x:v>
      </x:c>
      <x:c r="AL10" s="1286" t="n">
        <x:f>AK10*POWER(1+Inputs!C24,1/12)</x:f>
        <x:v>1179021661.061131</x:v>
      </x:c>
      <x:c r="AM10" s="1287" t="n">
        <x:f>AL10*POWER(1+Inputs!C24,1/12)</x:f>
        <x:v>1188423345.355152</x:v>
      </x:c>
    </x:row>
    <x:row r="11">
      <x:c r="A11" s="147" t="str">
        <x:v>Network BTC mined</x:v>
      </x:c>
      <x:c r="B11" s="148" t="str">
        <x:v>BTC/month</x:v>
      </x:c>
      <x:c r="C11" s="149" t="str">
        <x:v>Blocks/day x subsidy x fee factor x days</x:v>
      </x:c>
      <x:c r="D11" s="1210" t="n">
        <x:f>D6*Inputs!C25*Inputs!C26*(1+Inputs!C27)</x:f>
        <x:v>16042.499999999998</x:v>
      </x:c>
      <x:c r="E11" s="1211" t="n">
        <x:f>E6*Inputs!C25*Inputs!C26*(1+Inputs!C27)</x:f>
        <x:v>16042.499999999998</x:v>
      </x:c>
      <x:c r="F11" s="1211" t="n">
        <x:f>F6*Inputs!C25*Inputs!C26*(1+Inputs!C27)</x:f>
        <x:v>15524.999999999998</x:v>
      </x:c>
      <x:c r="G11" s="1211" t="n">
        <x:f>G6*Inputs!C25*Inputs!C26*(1+Inputs!C27)</x:f>
        <x:v>16042.499999999998</x:v>
      </x:c>
      <x:c r="H11" s="1211" t="n">
        <x:f>H6*Inputs!C25*Inputs!C26*(1+Inputs!C27)</x:f>
        <x:v>15524.999999999998</x:v>
      </x:c>
      <x:c r="I11" s="1211" t="n">
        <x:f>I6*Inputs!C25*Inputs!C26*(1+Inputs!C27)</x:f>
        <x:v>16042.499999999998</x:v>
      </x:c>
      <x:c r="J11" s="1211" t="n">
        <x:f>J6*Inputs!C25*Inputs!C26*(1+Inputs!C27)</x:f>
        <x:v>16042.499999999998</x:v>
      </x:c>
      <x:c r="K11" s="1211" t="n">
        <x:f>K6*Inputs!C25*Inputs!C26*(1+Inputs!C27)</x:f>
        <x:v>14489.999999999998</x:v>
      </x:c>
      <x:c r="L11" s="1211" t="n">
        <x:f>L6*Inputs!C25*Inputs!C26*(1+Inputs!C27)</x:f>
        <x:v>16042.499999999998</x:v>
      </x:c>
      <x:c r="M11" s="1211" t="n">
        <x:f>M6*Inputs!C25*Inputs!C26*(1+Inputs!C27)</x:f>
        <x:v>15524.999999999998</x:v>
      </x:c>
      <x:c r="N11" s="1211" t="n">
        <x:f>N6*Inputs!C25*Inputs!C26*(1+Inputs!C27)</x:f>
        <x:v>16042.499999999998</x:v>
      </x:c>
      <x:c r="O11" s="1211" t="n">
        <x:f>O6*Inputs!C25*Inputs!C26*(1+Inputs!C27)</x:f>
        <x:v>15524.999999999998</x:v>
      </x:c>
      <x:c r="P11" s="1211" t="n">
        <x:f>P6*Inputs!C25*Inputs!C26*(1+Inputs!C27)</x:f>
        <x:v>16042.499999999998</x:v>
      </x:c>
      <x:c r="Q11" s="1211" t="n">
        <x:f>Q6*Inputs!C25*Inputs!C26*(1+Inputs!C27)</x:f>
        <x:v>16042.499999999998</x:v>
      </x:c>
      <x:c r="R11" s="1211" t="n">
        <x:f>R6*Inputs!C25*Inputs!C26*(1+Inputs!C27)</x:f>
        <x:v>15524.999999999998</x:v>
      </x:c>
      <x:c r="S11" s="1211" t="n">
        <x:f>S6*Inputs!C25*Inputs!C26*(1+Inputs!C27)</x:f>
        <x:v>16042.499999999998</x:v>
      </x:c>
      <x:c r="T11" s="1211" t="n">
        <x:f>T6*Inputs!C25*Inputs!C26*(1+Inputs!C27)</x:f>
        <x:v>15524.999999999998</x:v>
      </x:c>
      <x:c r="U11" s="1211" t="n">
        <x:f>U6*Inputs!C25*Inputs!C26*(1+Inputs!C27)</x:f>
        <x:v>16042.499999999998</x:v>
      </x:c>
      <x:c r="V11" s="1211" t="n">
        <x:f>V6*Inputs!C25*Inputs!C26*(1+Inputs!C27)</x:f>
        <x:v>16042.499999999998</x:v>
      </x:c>
      <x:c r="W11" s="1211" t="n">
        <x:f>W6*Inputs!C25*Inputs!C26*(1+Inputs!C27)</x:f>
        <x:v>15007.499999999998</x:v>
      </x:c>
      <x:c r="X11" s="1211" t="n">
        <x:f>X6*Inputs!C25*Inputs!C26*(1+Inputs!C27)</x:f>
        <x:v>16042.499999999998</x:v>
      </x:c>
      <x:c r="Y11" s="1211" t="n">
        <x:f>Y6*Inputs!C25*Inputs!C26*(1+Inputs!C27)</x:f>
        <x:v>15524.999999999998</x:v>
      </x:c>
      <x:c r="Z11" s="1211" t="n">
        <x:f>Z6*Inputs!C25*Inputs!C26*(1+Inputs!C27)</x:f>
        <x:v>16042.499999999998</x:v>
      </x:c>
      <x:c r="AA11" s="1211" t="n">
        <x:f>AA6*Inputs!C25*Inputs!C26*(1+Inputs!C27)</x:f>
        <x:v>15524.999999999998</x:v>
      </x:c>
      <x:c r="AB11" s="1211" t="n">
        <x:f>AB6*Inputs!C25*Inputs!C26*(1+Inputs!C27)</x:f>
        <x:v>16042.499999999998</x:v>
      </x:c>
      <x:c r="AC11" s="1211" t="n">
        <x:f>AC6*Inputs!C25*Inputs!C26*(1+Inputs!C27)</x:f>
        <x:v>16042.499999999998</x:v>
      </x:c>
      <x:c r="AD11" s="1211" t="n">
        <x:f>AD6*Inputs!C25*Inputs!C26*(1+Inputs!C27)</x:f>
        <x:v>15524.999999999998</x:v>
      </x:c>
      <x:c r="AE11" s="1211" t="n">
        <x:f>AE6*Inputs!C25*Inputs!C26*(1+Inputs!C27)</x:f>
        <x:v>16042.499999999998</x:v>
      </x:c>
      <x:c r="AF11" s="1211" t="n">
        <x:f>AF6*Inputs!C25*Inputs!C26*(1+Inputs!C27)</x:f>
        <x:v>15524.999999999998</x:v>
      </x:c>
      <x:c r="AG11" s="1211" t="n">
        <x:f>AG6*Inputs!C25*Inputs!C26*(1+Inputs!C27)</x:f>
        <x:v>16042.499999999998</x:v>
      </x:c>
      <x:c r="AH11" s="1211" t="n">
        <x:f>AH6*Inputs!C25*Inputs!C26*(1+Inputs!C27)</x:f>
        <x:v>16042.499999999998</x:v>
      </x:c>
      <x:c r="AI11" s="1211" t="n">
        <x:f>AI6*Inputs!C25*Inputs!C26*(1+Inputs!C27)</x:f>
        <x:v>14489.999999999998</x:v>
      </x:c>
      <x:c r="AJ11" s="1211" t="n">
        <x:f>AJ6*Inputs!C25*Inputs!C26*(1+Inputs!C27)</x:f>
        <x:v>16042.499999999998</x:v>
      </x:c>
      <x:c r="AK11" s="1211" t="n">
        <x:f>AK6*Inputs!C25*Inputs!C26*(1+Inputs!C27)</x:f>
        <x:v>15524.999999999998</x:v>
      </x:c>
      <x:c r="AL11" s="1211" t="n">
        <x:f>AL6*Inputs!C25*Inputs!C26*(1+Inputs!C27)</x:f>
        <x:v>16042.499999999998</x:v>
      </x:c>
      <x:c r="AM11" s="1212" t="n">
        <x:f>AM6*Inputs!C25*Inputs!C26*(1+Inputs!C27)</x:f>
        <x:v>15524.999999999998</x:v>
      </x:c>
    </x:row>
    <x:row r="12">
      <x:c r="A12" s="147"/>
      <x:c r="B12" s="148"/>
      <x:c r="C12" s="149"/>
      <x:c r="D12" s="1165"/>
      <x:c r="E12" s="1166"/>
      <x:c r="F12" s="1166"/>
      <x:c r="G12" s="1166"/>
      <x:c r="H12" s="1166"/>
      <x:c r="I12" s="1166"/>
      <x:c r="J12" s="1166"/>
      <x:c r="K12" s="1166"/>
      <x:c r="L12" s="1166"/>
      <x:c r="M12" s="1166"/>
      <x:c r="N12" s="1166"/>
      <x:c r="O12" s="1166"/>
      <x:c r="P12" s="1166"/>
      <x:c r="Q12" s="1166"/>
      <x:c r="R12" s="1166"/>
      <x:c r="S12" s="1166"/>
      <x:c r="T12" s="1166"/>
      <x:c r="U12" s="1166"/>
      <x:c r="V12" s="1166"/>
      <x:c r="W12" s="1166"/>
      <x:c r="X12" s="1166"/>
      <x:c r="Y12" s="1166"/>
      <x:c r="Z12" s="1166"/>
      <x:c r="AA12" s="1166"/>
      <x:c r="AB12" s="1166"/>
      <x:c r="AC12" s="1166"/>
      <x:c r="AD12" s="1166"/>
      <x:c r="AE12" s="1166"/>
      <x:c r="AF12" s="1166"/>
      <x:c r="AG12" s="1166"/>
      <x:c r="AH12" s="1166"/>
      <x:c r="AI12" s="1166"/>
      <x:c r="AJ12" s="1166"/>
      <x:c r="AK12" s="1166"/>
      <x:c r="AL12" s="1166"/>
      <x:c r="AM12" s="1167"/>
    </x:row>
    <x:row r="13">
      <x:c r="A13" s="147"/>
      <x:c r="B13" s="148"/>
      <x:c r="C13" s="149"/>
      <x:c r="D13" s="1165"/>
      <x:c r="E13" s="1166"/>
      <x:c r="F13" s="1166"/>
      <x:c r="G13" s="1166"/>
      <x:c r="H13" s="1166"/>
      <x:c r="I13" s="1166"/>
      <x:c r="J13" s="1166"/>
      <x:c r="K13" s="1166"/>
      <x:c r="L13" s="1166"/>
      <x:c r="M13" s="1166"/>
      <x:c r="N13" s="1166"/>
      <x:c r="O13" s="1166"/>
      <x:c r="P13" s="1166"/>
      <x:c r="Q13" s="1166"/>
      <x:c r="R13" s="1166"/>
      <x:c r="S13" s="1166"/>
      <x:c r="T13" s="1166"/>
      <x:c r="U13" s="1166"/>
      <x:c r="V13" s="1166"/>
      <x:c r="W13" s="1166"/>
      <x:c r="X13" s="1166"/>
      <x:c r="Y13" s="1166"/>
      <x:c r="Z13" s="1166"/>
      <x:c r="AA13" s="1166"/>
      <x:c r="AB13" s="1166"/>
      <x:c r="AC13" s="1166"/>
      <x:c r="AD13" s="1166"/>
      <x:c r="AE13" s="1166"/>
      <x:c r="AF13" s="1166"/>
      <x:c r="AG13" s="1166"/>
      <x:c r="AH13" s="1166"/>
      <x:c r="AI13" s="1166"/>
      <x:c r="AJ13" s="1166"/>
      <x:c r="AK13" s="1166"/>
      <x:c r="AL13" s="1166"/>
      <x:c r="AM13" s="1167"/>
    </x:row>
    <x:row r="14">
      <x:c r="A14" s="243" t="str">
        <x:v>Grootvlei BTC mined</x:v>
      </x:c>
      <x:c r="B14" s="244" t="str">
        <x:v>BTC/month</x:v>
      </x:c>
      <x:c r="C14" s="245" t="str">
        <x:v>Uses Grootvlei avg MW, 22h/day and technical uptime</x:v>
      </x:c>
      <x:c r="D14" s="1291" t="n">
        <x:f>IF(Deployment_36M!D18=0,0,(Deployment_36M!D18*(1-Inputs!C11)*1000000/Inputs!C40*Inputs!C38*Inputs!C10*Inputs!C12/24/D10*D11) )</x:f>
        <x:v>0</x:v>
      </x:c>
      <x:c r="E14" s="1292" t="n">
        <x:f>IF(Deployment_36M!E18=0,0,(Deployment_36M!E18*(1-Inputs!C11)*1000000/Inputs!C40*Inputs!C38*Inputs!C10*Inputs!C12/24/E10*E11) )</x:f>
        <x:v>0</x:v>
      </x:c>
      <x:c r="F14" s="1292" t="n">
        <x:f>IF(Deployment_36M!F18=0,0,(Deployment_36M!F18*(1-Inputs!C11)*1000000/Inputs!C40*Inputs!C38*Inputs!C10*Inputs!C12/24/F10*F11) )</x:f>
        <x:v>2.8978869178491697</x:v>
      </x:c>
      <x:c r="G14" s="1292" t="n">
        <x:f>IF(Deployment_36M!G18=0,0,(Deployment_36M!G18*(1-Inputs!C11)*1000000/Inputs!C40*Inputs!C38*Inputs!C10*Inputs!C12/24/G10*G11) )</x:f>
        <x:v>8.912380868729302</x:v>
      </x:c>
      <x:c r="H14" s="1292" t="n">
        <x:f>IF(Deployment_36M!H18=0,0,(Deployment_36M!H18*(1-Inputs!C11)*1000000/Inputs!C40*Inputs!C38*Inputs!C10*Inputs!C12/24/H10*H11) )</x:f>
        <x:v>14.261087934927142</x:v>
      </x:c>
      <x:c r="I14" s="1292" t="n">
        <x:f>IF(Deployment_36M!I18=0,0,(Deployment_36M!I18*(1-Inputs!C11)*1000000/Inputs!C40*Inputs!C38*Inputs!C10*Inputs!C12/24/I10*I11) )</x:f>
        <x:v>17.54385190059046</x:v>
      </x:c>
      <x:c r="J14" s="1292" t="n">
        <x:f>IF(Deployment_36M!J18=0,0,(Deployment_36M!J18*(1-Inputs!C11)*1000000/Inputs!C40*Inputs!C38*Inputs!C10*Inputs!C12/24/J10*J11) )</x:f>
        <x:v>17.405061496047274</x:v>
      </x:c>
      <x:c r="K14" s="1292" t="n">
        <x:f>IF(Deployment_36M!K18=0,0,(Deployment_36M!K18*(1-Inputs!C11)*1000000/Inputs!C40*Inputs!C38*Inputs!C10*Inputs!C12/24/K10*K11) )</x:f>
        <x:v>15.59633335376827</x:v>
      </x:c>
      <x:c r="L14" s="1292" t="n">
        <x:f>IF(Deployment_36M!L18=0,0,(Deployment_36M!L18*(1-Inputs!C11)*1000000/Inputs!C40*Inputs!C38*Inputs!C10*Inputs!C12/24/L10*L11) )</x:f>
        <x:v>17.130765937007066</x:v>
      </x:c>
      <x:c r="M14" s="1292" t="n">
        <x:f>IF(Deployment_36M!M18=0,0,(Deployment_36M!M18*(1-Inputs!C11)*1000000/Inputs!C40*Inputs!C38*Inputs!C10*Inputs!C12/24/M10*M11) )</x:f>
        <x:v>16.44700981827391</x:v>
      </x:c>
      <x:c r="N14" s="1292" t="n">
        <x:f>IF(Deployment_36M!N18=0,0,(Deployment_36M!N18*(1-Inputs!C11)*1000000/Inputs!C40*Inputs!C38*Inputs!C10*Inputs!C12/24/N10*N11) )</x:f>
        <x:v>16.86079314658944</x:v>
      </x:c>
      <x:c r="O14" s="1292" t="n">
        <x:f>IF(Deployment_36M!O18=0,0,(Deployment_36M!O18*(1-Inputs!C11)*1000000/Inputs!C40*Inputs!C38*Inputs!C10*Inputs!C12/24/O10*O11) )</x:f>
        <x:v>16.18781270175308</x:v>
      </x:c>
      <x:c r="P14" s="1292" t="n">
        <x:f>IF(Deployment_36M!P18=0,0,(Deployment_36M!P18*(1-Inputs!C11)*1000000/Inputs!C40*Inputs!C38*Inputs!C10*Inputs!C12/24/P10*P11) )</x:f>
        <x:v>16.595074999999994</x:v>
      </x:c>
      <x:c r="Q14" s="1292" t="n">
        <x:f>IF(Deployment_36M!Q18=0,0,(Deployment_36M!Q18*(1-Inputs!C11)*1000000/Inputs!C40*Inputs!C38*Inputs!C10*Inputs!C12/24/Q10*Q11) )</x:f>
        <x:v>16.463790423173563</x:v>
      </x:c>
      <x:c r="R14" s="1292" t="n">
        <x:f>IF(Deployment_36M!R18=0,0,(Deployment_36M!R18*(1-Inputs!C11)*1000000/Inputs!C40*Inputs!C38*Inputs!C10*Inputs!C12/24/R10*R11) )</x:f>
        <x:v>15.806655915540917</x:v>
      </x:c>
      <x:c r="S14" s="1292" t="n">
        <x:f>IF(Deployment_36M!S18=0,0,(Deployment_36M!S18*(1-Inputs!C11)*1000000/Inputs!C40*Inputs!C38*Inputs!C10*Inputs!C12/24/S10*S11) )</x:f>
        <x:v>16.20432885223509</x:v>
      </x:c>
      <x:c r="T14" s="1292" t="n">
        <x:f>IF(Deployment_36M!T18=0,0,(Deployment_36M!T18*(1-Inputs!C11)*1000000/Inputs!C40*Inputs!C38*Inputs!C10*Inputs!C12/24/T10*T11) )</x:f>
        <x:v>15.557550474465971</x:v>
      </x:c>
      <x:c r="U14" s="1292" t="n">
        <x:f>IF(Deployment_36M!U18=0,0,(Deployment_36M!U18*(1-Inputs!C11)*1000000/Inputs!C40*Inputs!C38*Inputs!C10*Inputs!C12/24/U10*U11) )</x:f>
        <x:v>15.948956273264047</x:v>
      </x:c>
      <x:c r="V14" s="1292" t="n">
        <x:f>IF(Deployment_36M!V18=0,0,(Deployment_36M!V18*(1-Inputs!C11)*1000000/Inputs!C40*Inputs!C38*Inputs!C10*Inputs!C12/24/V10*V11) )</x:f>
        <x:v>15.822783178224789</x:v>
      </x:c>
      <x:c r="W14" s="1292" t="n">
        <x:f>IF(Deployment_36M!W18=0,0,(Deployment_36M!W18*(1-Inputs!C11)*1000000/Inputs!C40*Inputs!C38*Inputs!C10*Inputs!C12/24/W10*W11) )</x:f>
        <x:v>14.68485932659999</x:v>
      </x:c>
      <x:c r="X14" s="1292" t="n">
        <x:f>IF(Deployment_36M!X18=0,0,(Deployment_36M!X18*(1-Inputs!C11)*1000000/Inputs!C40*Inputs!C38*Inputs!C10*Inputs!C12/24/X10*X11) )</x:f>
        <x:v>15.573423579097327</x:v>
      </x:c>
      <x:c r="Y14" s="1292" t="n">
        <x:f>IF(Deployment_36M!Y18=0,0,(Deployment_36M!Y18*(1-Inputs!C11)*1000000/Inputs!C40*Inputs!C38*Inputs!C10*Inputs!C12/24/Y10*Y11) )</x:f>
        <x:v>14.951827107521733</x:v>
      </x:c>
      <x:c r="Z14" s="1292" t="n">
        <x:f>IF(Deployment_36M!Z18=0,0,(Deployment_36M!Z18*(1-Inputs!C11)*1000000/Inputs!C40*Inputs!C38*Inputs!C10*Inputs!C12/24/Z10*Z11) )</x:f>
        <x:v>15.327993769626758</x:v>
      </x:c>
      <x:c r="AA14" s="1292" t="n">
        <x:f>IF(Deployment_36M!AA18=0,0,(Deployment_36M!AA18*(1-Inputs!C11)*1000000/Inputs!C40*Inputs!C38*Inputs!C10*Inputs!C12/24/AA10*AA11) )</x:f>
        <x:v>14.716193365230069</x:v>
      </x:c>
      <x:c r="AB14" s="1292" t="n">
        <x:f>IF(Deployment_36M!AB18=0,0,(Deployment_36M!AB18*(1-Inputs!C11)*1000000/Inputs!C40*Inputs!C38*Inputs!C10*Inputs!C12/24/AB10*AB11) )</x:f>
        <x:v>15.086431818181806</x:v>
      </x:c>
      <x:c r="AC14" s="1292" t="n">
        <x:f>IF(Deployment_36M!AC18=0,0,(Deployment_36M!AC18*(1-Inputs!C11)*1000000/Inputs!C40*Inputs!C38*Inputs!C10*Inputs!C12/24/AC10*AC11) )</x:f>
        <x:v>14.967082202885056</x:v>
      </x:c>
      <x:c r="AD14" s="1292" t="n">
        <x:f>IF(Deployment_36M!AD18=0,0,(Deployment_36M!AD18*(1-Inputs!C11)*1000000/Inputs!C40*Inputs!C38*Inputs!C10*Inputs!C12/24/AD10*AD11) )</x:f>
        <x:v>14.369687195946288</x:v>
      </x:c>
      <x:c r="AE14" s="1292" t="n">
        <x:f>IF(Deployment_36M!AE18=0,0,(Deployment_36M!AE18*(1-Inputs!C11)*1000000/Inputs!C40*Inputs!C38*Inputs!C10*Inputs!C12/24/AE10*AE11) )</x:f>
        <x:v>14.731208047486442</x:v>
      </x:c>
      <x:c r="AF14" s="1292" t="n">
        <x:f>IF(Deployment_36M!AF18=0,0,(Deployment_36M!AF18*(1-Inputs!C11)*1000000/Inputs!C40*Inputs!C38*Inputs!C10*Inputs!C12/24/AF10*AF11) )</x:f>
        <x:v>14.143227704059969</x:v>
      </x:c>
      <x:c r="AG14" s="1292" t="n">
        <x:f>IF(Deployment_36M!AG18=0,0,(Deployment_36M!AG18*(1-Inputs!C11)*1000000/Inputs!C40*Inputs!C38*Inputs!C10*Inputs!C12/24/AG10*AG11) )</x:f>
        <x:v>14.499051157512767</x:v>
      </x:c>
      <x:c r="AH14" s="1292" t="n">
        <x:f>IF(Deployment_36M!AH18=0,0,(Deployment_36M!AH18*(1-Inputs!C11)*1000000/Inputs!C40*Inputs!C38*Inputs!C10*Inputs!C12/24/AH10*AH11) )</x:f>
        <x:v>14.384348343840712</x:v>
      </x:c>
      <x:c r="AI14" s="1292" t="n">
        <x:f>IF(Deployment_36M!AI18=0,0,(Deployment_36M!AI18*(1-Inputs!C11)*1000000/Inputs!C40*Inputs!C38*Inputs!C10*Inputs!C12/24/AI10*AI11) )</x:f>
        <x:v>12.88953169732914</x:v>
      </x:c>
      <x:c r="AJ14" s="1292" t="n">
        <x:f>IF(Deployment_36M!AJ18=0,0,(Deployment_36M!AJ18*(1-Inputs!C11)*1000000/Inputs!C40*Inputs!C38*Inputs!C10*Inputs!C12/24/AJ10*AJ11) )</x:f>
        <x:v>14.157657799179383</x:v>
      </x:c>
      <x:c r="AK14" s="1292" t="n">
        <x:f>IF(Deployment_36M!AK18=0,0,(Deployment_36M!AK18*(1-Inputs!C11)*1000000/Inputs!C40*Inputs!C38*Inputs!C10*Inputs!C12/24/AK10*AK11) )</x:f>
        <x:v>13.592570097747021</x:v>
      </x:c>
      <x:c r="AL14" s="1292" t="n">
        <x:f>IF(Deployment_36M!AL18=0,0,(Deployment_36M!AL18*(1-Inputs!C11)*1000000/Inputs!C40*Inputs!C38*Inputs!C10*Inputs!C12/24/AL10*AL11) )</x:f>
        <x:v>13.934539790569774</x:v>
      </x:c>
      <x:c r="AM14" s="1293" t="n">
        <x:f>IF(Deployment_36M!AM18=0,0,(Deployment_36M!AM18*(1-Inputs!C11)*1000000/Inputs!C40*Inputs!C38*Inputs!C10*Inputs!C12/24/AM10*AM11) )</x:f>
        <x:v>13.3783576047546</x:v>
      </x:c>
    </x:row>
    <x:row r="15">
      <x:c r="A15" s="243" t="str">
        <x:v>AMSA BTC mined</x:v>
      </x:c>
      <x:c r="B15" s="244" t="str">
        <x:v>BTC/month</x:v>
      </x:c>
      <x:c r="C15" s="245" t="str">
        <x:v>Uses AMSA avg MW and combined grid + solar operating hours</x:v>
      </x:c>
      <x:c r="D15" s="1291" t="n">
        <x:f>IF(Deployment_36M!D19=0,0,(Deployment_36M!D19*(1-Inputs!C11)*1000000/Inputs!C40*Inputs!C38*Inputs!C10*(Inputs!C13+Inputs!C14)/24/D10*D11) )</x:f>
        <x:v>0</x:v>
      </x:c>
      <x:c r="E15" s="1292" t="n">
        <x:f>IF(Deployment_36M!E19=0,0,(Deployment_36M!E19*(1-Inputs!C11)*1000000/Inputs!C40*Inputs!C38*Inputs!C10*(Inputs!C13+Inputs!C14)/24/E10*E11) )</x:f>
        <x:v>0</x:v>
      </x:c>
      <x:c r="F15" s="1292" t="n">
        <x:f>IF(Deployment_36M!F19=0,0,(Deployment_36M!F19*(1-Inputs!C11)*1000000/Inputs!C40*Inputs!C38*Inputs!C10*(Inputs!C13+Inputs!C14)/24/F10*F11) )</x:f>
        <x:v>0</x:v>
      </x:c>
      <x:c r="G15" s="1292" t="n">
        <x:f>IF(Deployment_36M!G19=0,0,(Deployment_36M!G19*(1-Inputs!C11)*1000000/Inputs!C40*Inputs!C38*Inputs!C10*(Inputs!C13+Inputs!C14)/24/G10*G11) )</x:f>
        <x:v>0</x:v>
      </x:c>
      <x:c r="H15" s="1292" t="n">
        <x:f>IF(Deployment_36M!H19=0,0,(Deployment_36M!H19*(1-Inputs!C11)*1000000/Inputs!C40*Inputs!C38*Inputs!C10*(Inputs!C13+Inputs!C14)/24/H10*H11) )</x:f>
        <x:v>0</x:v>
      </x:c>
      <x:c r="I15" s="1292" t="n">
        <x:f>IF(Deployment_36M!I19=0,0,(Deployment_36M!I19*(1-Inputs!C11)*1000000/Inputs!C40*Inputs!C38*Inputs!C10*(Inputs!C13+Inputs!C14)/24/I10*I11) )</x:f>
        <x:v>2.7910673478212096</x:v>
      </x:c>
      <x:c r="J15" s="1292" t="n">
        <x:f>IF(Deployment_36M!J19=0,0,(Deployment_36M!J19*(1-Inputs!C11)*1000000/Inputs!C40*Inputs!C38*Inputs!C10*(Inputs!C13+Inputs!C14)/24/J10*J11) )</x:f>
        <x:v>5.537974112378678</x:v>
      </x:c>
      <x:c r="K15" s="1292" t="n">
        <x:f>IF(Deployment_36M!K19=0,0,(Deployment_36M!K19*(1-Inputs!C11)*1000000/Inputs!C40*Inputs!C38*Inputs!C10*(Inputs!C13+Inputs!C14)/24/K10*K11) )</x:f>
        <x:v>4.962469703471723</x:v>
      </x:c>
      <x:c r="L15" s="1292" t="n">
        <x:f>IF(Deployment_36M!L19=0,0,(Deployment_36M!L19*(1-Inputs!C11)*1000000/Inputs!C40*Inputs!C38*Inputs!C10*(Inputs!C13+Inputs!C14)/24/L10*L11) )</x:f>
        <x:v>5.450698252684067</x:v>
      </x:c>
      <x:c r="M15" s="1292" t="n">
        <x:f>IF(Deployment_36M!M19=0,0,(Deployment_36M!M19*(1-Inputs!C11)*1000000/Inputs!C40*Inputs!C38*Inputs!C10*(Inputs!C13+Inputs!C14)/24/M10*M11) )</x:f>
        <x:v>5.2331394876326085</x:v>
      </x:c>
      <x:c r="N15" s="1292" t="n">
        <x:f>IF(Deployment_36M!N19=0,0,(Deployment_36M!N19*(1-Inputs!C11)*1000000/Inputs!C40*Inputs!C38*Inputs!C10*(Inputs!C13+Inputs!C14)/24/N10*N11) )</x:f>
        <x:v>5.364797819369366</x:v>
      </x:c>
      <x:c r="O15" s="1292" t="n">
        <x:f>IF(Deployment_36M!O19=0,0,(Deployment_36M!O19*(1-Inputs!C11)*1000000/Inputs!C40*Inputs!C38*Inputs!C10*(Inputs!C13+Inputs!C14)/24/O10*O11) )</x:f>
        <x:v>5.1506676778305245</x:v>
      </x:c>
      <x:c r="P15" s="1292" t="n">
        <x:f>IF(Deployment_36M!P19=0,0,(Deployment_36M!P19*(1-Inputs!C11)*1000000/Inputs!C40*Inputs!C38*Inputs!C10*(Inputs!C13+Inputs!C14)/24/P10*P11) )</x:f>
        <x:v>5.280251136363634</x:v>
      </x:c>
      <x:c r="Q15" s="1292" t="n">
        <x:f>IF(Deployment_36M!Q19=0,0,(Deployment_36M!Q19*(1-Inputs!C11)*1000000/Inputs!C40*Inputs!C38*Inputs!C10*(Inputs!C13+Inputs!C14)/24/Q10*Q11) )</x:f>
        <x:v>5.238478771009771</x:v>
      </x:c>
      <x:c r="R15" s="1292" t="n">
        <x:f>IF(Deployment_36M!R19=0,0,(Deployment_36M!R19*(1-Inputs!C11)*1000000/Inputs!C40*Inputs!C38*Inputs!C10*(Inputs!C13+Inputs!C14)/24/R10*R11) )</x:f>
        <x:v>5.029390518581201</x:v>
      </x:c>
      <x:c r="S15" s="1292" t="n">
        <x:f>IF(Deployment_36M!S19=0,0,(Deployment_36M!S19*(1-Inputs!C11)*1000000/Inputs!C40*Inputs!C38*Inputs!C10*(Inputs!C13+Inputs!C14)/24/S10*S11) )</x:f>
        <x:v>5.155922816620256</x:v>
      </x:c>
      <x:c r="T15" s="1292" t="n">
        <x:f>IF(Deployment_36M!T19=0,0,(Deployment_36M!T19*(1-Inputs!C11)*1000000/Inputs!C40*Inputs!C38*Inputs!C10*(Inputs!C13+Inputs!C14)/24/T10*T11) )</x:f>
        <x:v>4.950129696420991</x:v>
      </x:c>
      <x:c r="U15" s="1292" t="n">
        <x:f>IF(Deployment_36M!U19=0,0,(Deployment_36M!U19*(1-Inputs!C11)*1000000/Inputs!C40*Inputs!C38*Inputs!C10*(Inputs!C13+Inputs!C14)/24/U10*U11) )</x:f>
        <x:v>5.07466790512947</x:v>
      </x:c>
      <x:c r="V15" s="1292" t="n">
        <x:f>IF(Deployment_36M!V19=0,0,(Deployment_36M!V19*(1-Inputs!C11)*1000000/Inputs!C40*Inputs!C38*Inputs!C10*(Inputs!C13+Inputs!C14)/24/V10*V11) )</x:f>
        <x:v>5.034521920344251</x:v>
      </x:c>
      <x:c r="W15" s="1292" t="n">
        <x:f>IF(Deployment_36M!W19=0,0,(Deployment_36M!W19*(1-Inputs!C11)*1000000/Inputs!C40*Inputs!C38*Inputs!C10*(Inputs!C13+Inputs!C14)/24/W10*W11) )</x:f>
        <x:v>4.672455240281815</x:v>
      </x:c>
      <x:c r="X15" s="1292" t="n">
        <x:f>IF(Deployment_36M!X19=0,0,(Deployment_36M!X19*(1-Inputs!C11)*1000000/Inputs!C40*Inputs!C38*Inputs!C10*(Inputs!C13+Inputs!C14)/24/X10*X11) )</x:f>
        <x:v>4.955180229712786</x:v>
      </x:c>
      <x:c r="Y15" s="1292" t="n">
        <x:f>IF(Deployment_36M!Y19=0,0,(Deployment_36M!Y19*(1-Inputs!C11)*1000000/Inputs!C40*Inputs!C38*Inputs!C10*(Inputs!C13+Inputs!C14)/24/Y10*Y11) )</x:f>
        <x:v>4.75739953421146</x:v>
      </x:c>
      <x:c r="Z15" s="1292" t="n">
        <x:f>IF(Deployment_36M!Z19=0,0,(Deployment_36M!Z19*(1-Inputs!C11)*1000000/Inputs!C40*Inputs!C38*Inputs!C10*(Inputs!C13+Inputs!C14)/24/Z10*Z11) )</x:f>
        <x:v>4.8770889266994235</x:v>
      </x:c>
      <x:c r="AA15" s="1292" t="n">
        <x:f>IF(Deployment_36M!AA19=0,0,(Deployment_36M!AA19*(1-Inputs!C11)*1000000/Inputs!C40*Inputs!C38*Inputs!C10*(Inputs!C13+Inputs!C14)/24/AA10*AA11) )</x:f>
        <x:v>4.682425161664113</x:v>
      </x:c>
      <x:c r="AB15" s="1292" t="n">
        <x:f>IF(Deployment_36M!AB19=0,0,(Deployment_36M!AB19*(1-Inputs!C11)*1000000/Inputs!C40*Inputs!C38*Inputs!C10*(Inputs!C13+Inputs!C14)/24/AB10*AB11) )</x:f>
        <x:v>4.8002283057851205</x:v>
      </x:c>
      <x:c r="AC15" s="1292" t="n">
        <x:f>IF(Deployment_36M!AC19=0,0,(Deployment_36M!AC19*(1-Inputs!C11)*1000000/Inputs!C40*Inputs!C38*Inputs!C10*(Inputs!C13+Inputs!C14)/24/AC10*AC11) )</x:f>
        <x:v>4.7622534281907</x:v>
      </x:c>
      <x:c r="AD15" s="1292" t="n">
        <x:f>IF(Deployment_36M!AD19=0,0,(Deployment_36M!AD19*(1-Inputs!C11)*1000000/Inputs!C40*Inputs!C38*Inputs!C10*(Inputs!C13+Inputs!C14)/24/AD10*AD11) )</x:f>
        <x:v>4.572173198710183</x:v>
      </x:c>
      <x:c r="AE15" s="1292" t="n">
        <x:f>IF(Deployment_36M!AE19=0,0,(Deployment_36M!AE19*(1-Inputs!C11)*1000000/Inputs!C40*Inputs!C38*Inputs!C10*(Inputs!C13+Inputs!C14)/24/AE10*AE11) )</x:f>
        <x:v>4.687202560563867</x:v>
      </x:c>
      <x:c r="AF15" s="1292" t="n">
        <x:f>IF(Deployment_36M!AF19=0,0,(Deployment_36M!AF19*(1-Inputs!C11)*1000000/Inputs!C40*Inputs!C38*Inputs!C10*(Inputs!C13+Inputs!C14)/24/AF10*AF11) )</x:f>
        <x:v>4.5001179058372625</x:v>
      </x:c>
      <x:c r="AG15" s="1292" t="n">
        <x:f>IF(Deployment_36M!AG19=0,0,(Deployment_36M!AG19*(1-Inputs!C11)*1000000/Inputs!C40*Inputs!C38*Inputs!C10*(Inputs!C13+Inputs!C14)/24/AG10*AG11) )</x:f>
        <x:v>4.613334459208608</x:v>
      </x:c>
      <x:c r="AH15" s="1292" t="n">
        <x:f>IF(Deployment_36M!AH19=0,0,(Deployment_36M!AH19*(1-Inputs!C11)*1000000/Inputs!C40*Inputs!C38*Inputs!C10*(Inputs!C13+Inputs!C14)/24/AH10*AH11) )</x:f>
        <x:v>4.576838109403863</x:v>
      </x:c>
      <x:c r="AI15" s="1292" t="n">
        <x:f>IF(Deployment_36M!AI19=0,0,(Deployment_36M!AI19*(1-Inputs!C11)*1000000/Inputs!C40*Inputs!C38*Inputs!C10*(Inputs!C13+Inputs!C14)/24/AI10*AI11) )</x:f>
        <x:v>4.101214630968363</x:v>
      </x:c>
      <x:c r="AJ15" s="1292" t="n">
        <x:f>IF(Deployment_36M!AJ19=0,0,(Deployment_36M!AJ19*(1-Inputs!C11)*1000000/Inputs!C40*Inputs!C38*Inputs!C10*(Inputs!C13+Inputs!C14)/24/AJ10*AJ11) )</x:f>
        <x:v>4.504709299738895</x:v>
      </x:c>
      <x:c r="AK15" s="1292" t="n">
        <x:f>IF(Deployment_36M!AK19=0,0,(Deployment_36M!AK19*(1-Inputs!C11)*1000000/Inputs!C40*Inputs!C38*Inputs!C10*(Inputs!C13+Inputs!C14)/24/AK10*AK11) )</x:f>
        <x:v>4.324908667464961</x:v>
      </x:c>
      <x:c r="AL15" s="1292" t="n">
        <x:f>IF(Deployment_36M!AL19=0,0,(Deployment_36M!AL19*(1-Inputs!C11)*1000000/Inputs!C40*Inputs!C38*Inputs!C10*(Inputs!C13+Inputs!C14)/24/AL10*AL11) )</x:f>
        <x:v>4.433717206090382</x:v>
      </x:c>
      <x:c r="AM15" s="1293" t="n">
        <x:f>IF(Deployment_36M!AM19=0,0,(Deployment_36M!AM19*(1-Inputs!C11)*1000000/Inputs!C40*Inputs!C38*Inputs!C10*(Inputs!C13+Inputs!C14)/24/AM10*AM11) )</x:f>
        <x:v>4.256750146967373</x:v>
      </x:c>
    </x:row>
    <x:row r="16">
      <x:c r="A16" s="243" t="str">
        <x:v>Total BTC mined</x:v>
      </x:c>
      <x:c r="B16" s="244" t="str">
        <x:v>BTC/month</x:v>
      </x:c>
      <x:c r="C16" s="245" t="str">
        <x:v>Sum of sites</x:v>
      </x:c>
      <x:c r="D16" s="1291" t="n">
        <x:f>D14+D15</x:f>
        <x:v>0</x:v>
      </x:c>
      <x:c r="E16" s="1292" t="n">
        <x:f>E14+E15</x:f>
        <x:v>0</x:v>
      </x:c>
      <x:c r="F16" s="1292" t="n">
        <x:f>F14+F15</x:f>
        <x:v>2.8978869178491697</x:v>
      </x:c>
      <x:c r="G16" s="1292" t="n">
        <x:f>G14+G15</x:f>
        <x:v>8.912380868729302</x:v>
      </x:c>
      <x:c r="H16" s="1292" t="n">
        <x:f>H14+H15</x:f>
        <x:v>14.261087934927142</x:v>
      </x:c>
      <x:c r="I16" s="1292" t="n">
        <x:f>I14+I15</x:f>
        <x:v>20.33491924841167</x:v>
      </x:c>
      <x:c r="J16" s="1292" t="n">
        <x:f>J14+J15</x:f>
        <x:v>22.94303560842595</x:v>
      </x:c>
      <x:c r="K16" s="1292" t="n">
        <x:f>K14+K15</x:f>
        <x:v>20.55880305723999</x:v>
      </x:c>
      <x:c r="L16" s="1292" t="n">
        <x:f>L14+L15</x:f>
        <x:v>22.581464189691133</x:v>
      </x:c>
      <x:c r="M16" s="1292" t="n">
        <x:f>M14+M15</x:f>
        <x:v>21.680149305906518</x:v>
      </x:c>
      <x:c r="N16" s="1292" t="n">
        <x:f>N14+N15</x:f>
        <x:v>22.22559096595881</x:v>
      </x:c>
      <x:c r="O16" s="1292" t="n">
        <x:f>O14+O15</x:f>
        <x:v>21.338480379583608</x:v>
      </x:c>
      <x:c r="P16" s="1292" t="n">
        <x:f>P14+P15</x:f>
        <x:v>21.87532613636363</x:v>
      </x:c>
      <x:c r="Q16" s="1292" t="n">
        <x:f>Q14+Q15</x:f>
        <x:v>21.702269194183334</x:v>
      </x:c>
      <x:c r="R16" s="1292" t="n">
        <x:f>R14+R15</x:f>
        <x:v>20.836046434122117</x:v>
      </x:c>
      <x:c r="S16" s="1292" t="n">
        <x:f>S14+S15</x:f>
        <x:v>21.360251668855348</x:v>
      </x:c>
      <x:c r="T16" s="1292" t="n">
        <x:f>T14+T15</x:f>
        <x:v>20.507680170886964</x:v>
      </x:c>
      <x:c r="U16" s="1292" t="n">
        <x:f>U14+U15</x:f>
        <x:v>21.02362417839352</x:v>
      </x:c>
      <x:c r="V16" s="1292" t="n">
        <x:f>V14+V15</x:f>
        <x:v>20.85730509856904</x:v>
      </x:c>
      <x:c r="W16" s="1292" t="n">
        <x:f>W14+W15</x:f>
        <x:v>19.357314566881804</x:v>
      </x:c>
      <x:c r="X16" s="1292" t="n">
        <x:f>X14+X15</x:f>
        <x:v>20.52860380881011</x:v>
      </x:c>
      <x:c r="Y16" s="1292" t="n">
        <x:f>Y14+Y15</x:f>
        <x:v>19.709226641733196</x:v>
      </x:c>
      <x:c r="Z16" s="1292" t="n">
        <x:f>Z14+Z15</x:f>
        <x:v>20.20508269632618</x:v>
      </x:c>
      <x:c r="AA16" s="1292" t="n">
        <x:f>AA14+AA15</x:f>
        <x:v>19.398618526894182</x:v>
      </x:c>
      <x:c r="AB16" s="1292" t="n">
        <x:f>AB14+AB15</x:f>
        <x:v>19.886660123966927</x:v>
      </x:c>
      <x:c r="AC16" s="1292" t="n">
        <x:f>AC14+AC15</x:f>
        <x:v>19.729335631075756</x:v>
      </x:c>
      <x:c r="AD16" s="1292" t="n">
        <x:f>AD14+AD15</x:f>
        <x:v>18.94186039465647</x:v>
      </x:c>
      <x:c r="AE16" s="1292" t="n">
        <x:f>AE14+AE15</x:f>
        <x:v>19.41841060805031</x:v>
      </x:c>
      <x:c r="AF16" s="1292" t="n">
        <x:f>AF14+AF15</x:f>
        <x:v>18.64334560989723</x:v>
      </x:c>
      <x:c r="AG16" s="1292" t="n">
        <x:f>AG14+AG15</x:f>
        <x:v>19.112385616721376</x:v>
      </x:c>
      <x:c r="AH16" s="1292" t="n">
        <x:f>AH14+AH15</x:f>
        <x:v>18.961186453244576</x:v>
      </x:c>
      <x:c r="AI16" s="1292" t="n">
        <x:f>AI14+AI15</x:f>
        <x:v>16.990746328297504</x:v>
      </x:c>
      <x:c r="AJ16" s="1292" t="n">
        <x:f>AJ14+AJ15</x:f>
        <x:v>18.662367098918278</x:v>
      </x:c>
      <x:c r="AK16" s="1292" t="n">
        <x:f>AK14+AK15</x:f>
        <x:v>17.917478765211982</x:v>
      </x:c>
      <x:c r="AL16" s="1292" t="n">
        <x:f>AL14+AL15</x:f>
        <x:v>18.368256996660158</x:v>
      </x:c>
      <x:c r="AM16" s="1293" t="n">
        <x:f>AM14+AM15</x:f>
        <x:v>17.63510775172197</x:v>
      </x:c>
    </x:row>
    <x:row r="17">
      <x:c r="A17" s="243" t="str">
        <x:v>BTC revenue</x:v>
      </x:c>
      <x:c r="B17" s="244" t="str">
        <x:v>ZAR'000</x:v>
      </x:c>
      <x:c r="C17" s="245" t="str">
        <x:v>Base-case anchor revenue</x:v>
      </x:c>
      <x:c r="D17" s="1297" t="n">
        <x:f>D16*D9/1000</x:f>
        <x:v>0</x:v>
      </x:c>
      <x:c r="E17" s="1298" t="n">
        <x:f>E16*E9/1000</x:f>
        <x:v>0</x:v>
      </x:c>
      <x:c r="F17" s="1298" t="n">
        <x:f>F16*F9/1000</x:f>
        <x:v>3781.8815791810557</x:v>
      </x:c>
      <x:c r="G17" s="1298" t="n">
        <x:f>G16*G9/1000</x:f>
        <x:v>11767.342184757625</x:v>
      </x:c>
      <x:c r="H17" s="1298" t="n">
        <x:f>H16*H9/1000</x:f>
        <x:v>19050.02087901388</x:v>
      </x:c>
      <x:c r="I17" s="1298" t="n">
        <x:f>I16*I9/1000</x:f>
        <x:v>27481.687933887388</x:v>
      </x:c>
      <x:c r="J17" s="1298" t="n">
        <x:f>J16*J9/1000</x:f>
        <x:v>31369.672458787514</x:v>
      </x:c>
      <x:c r="K17" s="1298" t="n">
        <x:f>K16*K9/1000</x:f>
        <x:v>28439.049984099798</x:v>
      </x:c>
      <x:c r="L17" s="1298" t="n">
        <x:f>L16*L9/1000</x:f>
        <x:v>31602.94169957242</x:v>
      </x:c>
      <x:c r="M17" s="1298" t="n">
        <x:f>M16*M9/1000</x:f>
        <x:v>30696.99290269326</x:v>
      </x:c>
      <x:c r="N17" s="1298" t="n">
        <x:f>N16*N9/1000</x:f>
        <x:v>31837.94556282646</x:v>
      </x:c>
      <x:c r="O17" s="1298" t="n">
        <x:f>O16*O9/1000</x:f>
        <x:v>30925.260004882435</x:v>
      </x:c>
      <x:c r="P17" s="1298" t="n">
        <x:f>P16*P9/1000</x:f>
        <x:v>32074.696947443204</x:v>
      </x:c>
      <x:c r="Q17" s="1298" t="n">
        <x:f>Q16*Q9/1000</x:f>
        <x:v>32193.732017374932</x:v>
      </x:c>
      <x:c r="R17" s="1298" t="n">
        <x:f>R16*R9/1000</x:f>
        <x:v>31270.847272484698</x:v>
      </x:c>
      <x:c r="S17" s="1298" t="n">
        <x:f>S16*S9/1000</x:f>
        <x:v>32433.129079476617</x:v>
      </x:c>
      <x:c r="T17" s="1298" t="n">
        <x:f>T16*T9/1000</x:f>
        <x:v>31503.38163546018</x:v>
      </x:c>
      <x:c r="U17" s="1298" t="n">
        <x:f>U16*U9/1000</x:f>
        <x:v>32674.30633137773</x:v>
      </x:c>
      <x:c r="V17" s="1298" t="n">
        <x:f>V16*V9/1000</x:f>
        <x:v>32795.5666614597</x:v>
      </x:c>
      <x:c r="W17" s="1298" t="n">
        <x:f>W16*W9/1000</x:f>
        <x:v>30793.5817197964</x:v>
      </x:c>
      <x:c r="X17" s="1298" t="n">
        <x:f>X16*X9/1000</x:f>
        <x:v>33039.43904955301</x:v>
      </x:c>
      <x:c r="Y17" s="1298" t="n">
        <x:f>Y16*Y9/1000</x:f>
        <x:v>32092.310761906625</x:v>
      </x:c>
      <x:c r="Z17" s="1298" t="n">
        <x:f>Z16*Z9/1000</x:f>
        <x:v>33285.12490659133</x:v>
      </x:c>
      <x:c r="AA17" s="1298" t="n">
        <x:f>AA16*AA9/1000</x:f>
        <x:v>32330.953641468026</x:v>
      </x:c>
      <x:c r="AB17" s="1298" t="n">
        <x:f>AB16*AB9/1000</x:f>
        <x:v>33532.63771778155</x:v>
      </x:c>
      <x:c r="AC17" s="1298" t="n">
        <x:f>AC16*AC9/1000</x:f>
        <x:v>33657.08347271018</x:v>
      </x:c>
      <x:c r="AD17" s="1298" t="n">
        <x:f>AD16*AD9/1000</x:f>
        <x:v>32692.24942123403</x:v>
      </x:c>
      <x:c r="AE17" s="1298" t="n">
        <x:f>AE16*AE9/1000</x:f>
        <x:v>33907.36221945285</x:v>
      </x:c>
      <x:c r="AF17" s="1298" t="n">
        <x:f>AF16*AF9/1000</x:f>
        <x:v>32935.353527981104</x:v>
      </x:c>
      <x:c r="AG17" s="1298" t="n">
        <x:f>AG16*AG9/1000</x:f>
        <x:v>34159.5020737131</x:v>
      </x:c>
      <x:c r="AH17" s="1298" t="n">
        <x:f>AH16*AH9/1000</x:f>
        <x:v>34286.27423698062</x:v>
      </x:c>
      <x:c r="AI17" s="1298" t="n">
        <x:f>AI16*AI9/1000</x:f>
        <x:v>31083.176532208294</x:v>
      </x:c>
      <x:c r="AJ17" s="1298" t="n">
        <x:f>AJ16*AJ9/1000</x:f>
        <x:v>34541.231733623616</x:v>
      </x:c>
      <x:c r="AK17" s="1298" t="n">
        <x:f>AK16*AK9/1000</x:f>
        <x:v>33551.05216017511</x:v>
      </x:c>
      <x:c r="AL17" s="1298" t="n">
        <x:f>AL16*AL9/1000</x:f>
        <x:v>34798.08512961823</x:v>
      </x:c>
      <x:c r="AM17" s="1299" t="n">
        <x:f>AM16*AM9/1000</x:f>
        <x:v>33800.54244335295</x:v>
      </x:c>
    </x:row>
    <x:row r="18">
      <x:c r="A18" s="243" t="str">
        <x:v>Demand response revenue</x:v>
      </x:c>
      <x:c r="B18" s="244" t="str">
        <x:v>ZAR'000</x:v>
      </x:c>
      <x:c r="C18" s="245" t="str">
        <x:v>Optionality line; off by default</x:v>
      </x:c>
      <x:c r="D18" s="1297" t="n">
        <x:f>IF(AND(Inputs!C82=1,1&gt;=Inputs!C83),Deployment_36M!D21*Inputs!C85*D6*1000*Inputs!C84*Inputs!C86/1000,0)</x:f>
        <x:v>0</x:v>
      </x:c>
      <x:c r="E18" s="1298" t="n">
        <x:f>IF(AND(Inputs!C82=1,2&gt;=Inputs!C83),Deployment_36M!E21*Inputs!C85*E6*1000*Inputs!C84*Inputs!C86/1000,0)</x:f>
        <x:v>0</x:v>
      </x:c>
      <x:c r="F18" s="1298" t="n">
        <x:f>IF(AND(Inputs!C82=1,3&gt;=Inputs!C83),Deployment_36M!F21*Inputs!C85*F6*1000*Inputs!C84*Inputs!C86/1000,0)</x:f>
        <x:v>0</x:v>
      </x:c>
      <x:c r="G18" s="1298" t="n">
        <x:f>IF(AND(Inputs!C82=1,4&gt;=Inputs!C83),Deployment_36M!G21*Inputs!C85*G6*1000*Inputs!C84*Inputs!C86/1000,0)</x:f>
        <x:v>0</x:v>
      </x:c>
      <x:c r="H18" s="1298" t="n">
        <x:f>IF(AND(Inputs!C82=1,5&gt;=Inputs!C83),Deployment_36M!H21*Inputs!C85*H6*1000*Inputs!C84*Inputs!C86/1000,0)</x:f>
        <x:v>0</x:v>
      </x:c>
      <x:c r="I18" s="1298" t="n">
        <x:f>IF(AND(Inputs!C82=1,6&gt;=Inputs!C83),Deployment_36M!I21*Inputs!C85*I6*1000*Inputs!C84*Inputs!C86/1000,0)</x:f>
        <x:v>0</x:v>
      </x:c>
      <x:c r="J18" s="1298" t="n">
        <x:f>IF(AND(Inputs!C82=1,7&gt;=Inputs!C83),Deployment_36M!J21*Inputs!C85*J6*1000*Inputs!C84*Inputs!C86/1000,0)</x:f>
        <x:v>0</x:v>
      </x:c>
      <x:c r="K18" s="1298" t="n">
        <x:f>IF(AND(Inputs!C82=1,8&gt;=Inputs!C83),Deployment_36M!K21*Inputs!C85*K6*1000*Inputs!C84*Inputs!C86/1000,0)</x:f>
        <x:v>0</x:v>
      </x:c>
      <x:c r="L18" s="1298" t="n">
        <x:f>IF(AND(Inputs!C82=1,9&gt;=Inputs!C83),Deployment_36M!L21*Inputs!C85*L6*1000*Inputs!C84*Inputs!C86/1000,0)</x:f>
        <x:v>0</x:v>
      </x:c>
      <x:c r="M18" s="1298" t="n">
        <x:f>IF(AND(Inputs!C82=1,10&gt;=Inputs!C83),Deployment_36M!M21*Inputs!C85*M6*1000*Inputs!C84*Inputs!C86/1000,0)</x:f>
        <x:v>0</x:v>
      </x:c>
      <x:c r="N18" s="1298" t="n">
        <x:f>IF(AND(Inputs!C82=1,11&gt;=Inputs!C83),Deployment_36M!N21*Inputs!C85*N6*1000*Inputs!C84*Inputs!C86/1000,0)</x:f>
        <x:v>0</x:v>
      </x:c>
      <x:c r="O18" s="1298" t="n">
        <x:f>IF(AND(Inputs!C82=1,12&gt;=Inputs!C83),Deployment_36M!O21*Inputs!C85*O6*1000*Inputs!C84*Inputs!C86/1000,0)</x:f>
        <x:v>0</x:v>
      </x:c>
      <x:c r="P18" s="1298" t="n">
        <x:f>IF(AND(Inputs!C82=1,13&gt;=Inputs!C83),Deployment_36M!P21*Inputs!C85*P6*1000*Inputs!C84*Inputs!C86/1000,0)</x:f>
        <x:v>0</x:v>
      </x:c>
      <x:c r="Q18" s="1298" t="n">
        <x:f>IF(AND(Inputs!C82=1,14&gt;=Inputs!C83),Deployment_36M!Q21*Inputs!C85*Q6*1000*Inputs!C84*Inputs!C86/1000,0)</x:f>
        <x:v>0</x:v>
      </x:c>
      <x:c r="R18" s="1298" t="n">
        <x:f>IF(AND(Inputs!C82=1,15&gt;=Inputs!C83),Deployment_36M!R21*Inputs!C85*R6*1000*Inputs!C84*Inputs!C86/1000,0)</x:f>
        <x:v>0</x:v>
      </x:c>
      <x:c r="S18" s="1298" t="n">
        <x:f>IF(AND(Inputs!C82=1,16&gt;=Inputs!C83),Deployment_36M!S21*Inputs!C85*S6*1000*Inputs!C84*Inputs!C86/1000,0)</x:f>
        <x:v>0</x:v>
      </x:c>
      <x:c r="T18" s="1298" t="n">
        <x:f>IF(AND(Inputs!C82=1,17&gt;=Inputs!C83),Deployment_36M!T21*Inputs!C85*T6*1000*Inputs!C84*Inputs!C86/1000,0)</x:f>
        <x:v>0</x:v>
      </x:c>
      <x:c r="U18" s="1298" t="n">
        <x:f>IF(AND(Inputs!C82=1,18&gt;=Inputs!C83),Deployment_36M!U21*Inputs!C85*U6*1000*Inputs!C84*Inputs!C86/1000,0)</x:f>
        <x:v>0</x:v>
      </x:c>
      <x:c r="V18" s="1298" t="n">
        <x:f>IF(AND(Inputs!C82=1,19&gt;=Inputs!C83),Deployment_36M!V21*Inputs!C85*V6*1000*Inputs!C84*Inputs!C86/1000,0)</x:f>
        <x:v>0</x:v>
      </x:c>
      <x:c r="W18" s="1298" t="n">
        <x:f>IF(AND(Inputs!C82=1,20&gt;=Inputs!C83),Deployment_36M!W21*Inputs!C85*W6*1000*Inputs!C84*Inputs!C86/1000,0)</x:f>
        <x:v>0</x:v>
      </x:c>
      <x:c r="X18" s="1298" t="n">
        <x:f>IF(AND(Inputs!C82=1,21&gt;=Inputs!C83),Deployment_36M!X21*Inputs!C85*X6*1000*Inputs!C84*Inputs!C86/1000,0)</x:f>
        <x:v>0</x:v>
      </x:c>
      <x:c r="Y18" s="1298" t="n">
        <x:f>IF(AND(Inputs!C82=1,22&gt;=Inputs!C83),Deployment_36M!Y21*Inputs!C85*Y6*1000*Inputs!C84*Inputs!C86/1000,0)</x:f>
        <x:v>0</x:v>
      </x:c>
      <x:c r="Z18" s="1298" t="n">
        <x:f>IF(AND(Inputs!C82=1,23&gt;=Inputs!C83),Deployment_36M!Z21*Inputs!C85*Z6*1000*Inputs!C84*Inputs!C86/1000,0)</x:f>
        <x:v>0</x:v>
      </x:c>
      <x:c r="AA18" s="1298" t="n">
        <x:f>IF(AND(Inputs!C82=1,24&gt;=Inputs!C83),Deployment_36M!AA21*Inputs!C85*AA6*1000*Inputs!C84*Inputs!C86/1000,0)</x:f>
        <x:v>0</x:v>
      </x:c>
      <x:c r="AB18" s="1298" t="n">
        <x:f>IF(AND(Inputs!C82=1,25&gt;=Inputs!C83),Deployment_36M!AB21*Inputs!C85*AB6*1000*Inputs!C84*Inputs!C86/1000,0)</x:f>
        <x:v>0</x:v>
      </x:c>
      <x:c r="AC18" s="1298" t="n">
        <x:f>IF(AND(Inputs!C82=1,26&gt;=Inputs!C83),Deployment_36M!AC21*Inputs!C85*AC6*1000*Inputs!C84*Inputs!C86/1000,0)</x:f>
        <x:v>0</x:v>
      </x:c>
      <x:c r="AD18" s="1298" t="n">
        <x:f>IF(AND(Inputs!C82=1,27&gt;=Inputs!C83),Deployment_36M!AD21*Inputs!C85*AD6*1000*Inputs!C84*Inputs!C86/1000,0)</x:f>
        <x:v>0</x:v>
      </x:c>
      <x:c r="AE18" s="1298" t="n">
        <x:f>IF(AND(Inputs!C82=1,28&gt;=Inputs!C83),Deployment_36M!AE21*Inputs!C85*AE6*1000*Inputs!C84*Inputs!C86/1000,0)</x:f>
        <x:v>0</x:v>
      </x:c>
      <x:c r="AF18" s="1298" t="n">
        <x:f>IF(AND(Inputs!C82=1,29&gt;=Inputs!C83),Deployment_36M!AF21*Inputs!C85*AF6*1000*Inputs!C84*Inputs!C86/1000,0)</x:f>
        <x:v>0</x:v>
      </x:c>
      <x:c r="AG18" s="1298" t="n">
        <x:f>IF(AND(Inputs!C82=1,30&gt;=Inputs!C83),Deployment_36M!AG21*Inputs!C85*AG6*1000*Inputs!C84*Inputs!C86/1000,0)</x:f>
        <x:v>0</x:v>
      </x:c>
      <x:c r="AH18" s="1298" t="n">
        <x:f>IF(AND(Inputs!C82=1,31&gt;=Inputs!C83),Deployment_36M!AH21*Inputs!C85*AH6*1000*Inputs!C84*Inputs!C86/1000,0)</x:f>
        <x:v>0</x:v>
      </x:c>
      <x:c r="AI18" s="1298" t="n">
        <x:f>IF(AND(Inputs!C82=1,32&gt;=Inputs!C83),Deployment_36M!AI21*Inputs!C85*AI6*1000*Inputs!C84*Inputs!C86/1000,0)</x:f>
        <x:v>0</x:v>
      </x:c>
      <x:c r="AJ18" s="1298" t="n">
        <x:f>IF(AND(Inputs!C82=1,33&gt;=Inputs!C83),Deployment_36M!AJ21*Inputs!C85*AJ6*1000*Inputs!C84*Inputs!C86/1000,0)</x:f>
        <x:v>0</x:v>
      </x:c>
      <x:c r="AK18" s="1298" t="n">
        <x:f>IF(AND(Inputs!C82=1,34&gt;=Inputs!C83),Deployment_36M!AK21*Inputs!C85*AK6*1000*Inputs!C84*Inputs!C86/1000,0)</x:f>
        <x:v>0</x:v>
      </x:c>
      <x:c r="AL18" s="1298" t="n">
        <x:f>IF(AND(Inputs!C82=1,35&gt;=Inputs!C83),Deployment_36M!AL21*Inputs!C85*AL6*1000*Inputs!C84*Inputs!C86/1000,0)</x:f>
        <x:v>0</x:v>
      </x:c>
      <x:c r="AM18" s="1299" t="n">
        <x:f>IF(AND(Inputs!C82=1,36&gt;=Inputs!C83),Deployment_36M!AM21*Inputs!C85*AM6*1000*Inputs!C84*Inputs!C86/1000,0)</x:f>
        <x:v>0</x:v>
      </x:c>
    </x:row>
    <x:row r="19">
      <x:c r="A19" s="243" t="str">
        <x:v>Hyperscaler resale revenue</x:v>
      </x:c>
      <x:c r="B19" s="244" t="str">
        <x:v>ZAR'000</x:v>
      </x:c>
      <x:c r="C19" s="245" t="str">
        <x:v>Optionality line; off by default</x:v>
      </x:c>
      <x:c r="D19" s="1297" t="n">
        <x:f>IF(AND(Inputs!C87=1,1&gt;=Inputs!C88),MIN(Deployment_36M!D21,Inputs!C89)*Inputs!C90*D6*Inputs!C91*Inputs!C20,0)/1000</x:f>
        <x:v>0</x:v>
      </x:c>
      <x:c r="E19" s="1298" t="n">
        <x:f>IF(AND(Inputs!C87=1,2&gt;=Inputs!C88),MIN(Deployment_36M!E21,Inputs!C89)*Inputs!C90*E6*Inputs!C91*Inputs!C20,0)/1000</x:f>
        <x:v>0</x:v>
      </x:c>
      <x:c r="F19" s="1298" t="n">
        <x:f>IF(AND(Inputs!C87=1,3&gt;=Inputs!C88),MIN(Deployment_36M!F21,Inputs!C89)*Inputs!C90*F6*Inputs!C91*Inputs!C20,0)/1000</x:f>
        <x:v>0</x:v>
      </x:c>
      <x:c r="G19" s="1298" t="n">
        <x:f>IF(AND(Inputs!C87=1,4&gt;=Inputs!C88),MIN(Deployment_36M!G21,Inputs!C89)*Inputs!C90*G6*Inputs!C91*Inputs!C20,0)/1000</x:f>
        <x:v>0</x:v>
      </x:c>
      <x:c r="H19" s="1298" t="n">
        <x:f>IF(AND(Inputs!C87=1,5&gt;=Inputs!C88),MIN(Deployment_36M!H21,Inputs!C89)*Inputs!C90*H6*Inputs!C91*Inputs!C20,0)/1000</x:f>
        <x:v>0</x:v>
      </x:c>
      <x:c r="I19" s="1298" t="n">
        <x:f>IF(AND(Inputs!C87=1,6&gt;=Inputs!C88),MIN(Deployment_36M!I21,Inputs!C89)*Inputs!C90*I6*Inputs!C91*Inputs!C20,0)/1000</x:f>
        <x:v>0</x:v>
      </x:c>
      <x:c r="J19" s="1298" t="n">
        <x:f>IF(AND(Inputs!C87=1,7&gt;=Inputs!C88),MIN(Deployment_36M!J21,Inputs!C89)*Inputs!C90*J6*Inputs!C91*Inputs!C20,0)/1000</x:f>
        <x:v>0</x:v>
      </x:c>
      <x:c r="K19" s="1298" t="n">
        <x:f>IF(AND(Inputs!C87=1,8&gt;=Inputs!C88),MIN(Deployment_36M!K21,Inputs!C89)*Inputs!C90*K6*Inputs!C91*Inputs!C20,0)/1000</x:f>
        <x:v>0</x:v>
      </x:c>
      <x:c r="L19" s="1298" t="n">
        <x:f>IF(AND(Inputs!C87=1,9&gt;=Inputs!C88),MIN(Deployment_36M!L21,Inputs!C89)*Inputs!C90*L6*Inputs!C91*Inputs!C20,0)/1000</x:f>
        <x:v>0</x:v>
      </x:c>
      <x:c r="M19" s="1298" t="n">
        <x:f>IF(AND(Inputs!C87=1,10&gt;=Inputs!C88),MIN(Deployment_36M!M21,Inputs!C89)*Inputs!C90*M6*Inputs!C91*Inputs!C20,0)/1000</x:f>
        <x:v>0</x:v>
      </x:c>
      <x:c r="N19" s="1298" t="n">
        <x:f>IF(AND(Inputs!C87=1,11&gt;=Inputs!C88),MIN(Deployment_36M!N21,Inputs!C89)*Inputs!C90*N6*Inputs!C91*Inputs!C20,0)/1000</x:f>
        <x:v>0</x:v>
      </x:c>
      <x:c r="O19" s="1298" t="n">
        <x:f>IF(AND(Inputs!C87=1,12&gt;=Inputs!C88),MIN(Deployment_36M!O21,Inputs!C89)*Inputs!C90*O6*Inputs!C91*Inputs!C20,0)/1000</x:f>
        <x:v>0</x:v>
      </x:c>
      <x:c r="P19" s="1298" t="n">
        <x:f>IF(AND(Inputs!C87=1,13&gt;=Inputs!C88),MIN(Deployment_36M!P21,Inputs!C89)*Inputs!C90*P6*Inputs!C91*Inputs!C20,0)/1000</x:f>
        <x:v>0</x:v>
      </x:c>
      <x:c r="Q19" s="1298" t="n">
        <x:f>IF(AND(Inputs!C87=1,14&gt;=Inputs!C88),MIN(Deployment_36M!Q21,Inputs!C89)*Inputs!C90*Q6*Inputs!C91*Inputs!C20,0)/1000</x:f>
        <x:v>0</x:v>
      </x:c>
      <x:c r="R19" s="1298" t="n">
        <x:f>IF(AND(Inputs!C87=1,15&gt;=Inputs!C88),MIN(Deployment_36M!R21,Inputs!C89)*Inputs!C90*R6*Inputs!C91*Inputs!C20,0)/1000</x:f>
        <x:v>0</x:v>
      </x:c>
      <x:c r="S19" s="1298" t="n">
        <x:f>IF(AND(Inputs!C87=1,16&gt;=Inputs!C88),MIN(Deployment_36M!S21,Inputs!C89)*Inputs!C90*S6*Inputs!C91*Inputs!C20,0)/1000</x:f>
        <x:v>0</x:v>
      </x:c>
      <x:c r="T19" s="1298" t="n">
        <x:f>IF(AND(Inputs!C87=1,17&gt;=Inputs!C88),MIN(Deployment_36M!T21,Inputs!C89)*Inputs!C90*T6*Inputs!C91*Inputs!C20,0)/1000</x:f>
        <x:v>0</x:v>
      </x:c>
      <x:c r="U19" s="1298" t="n">
        <x:f>IF(AND(Inputs!C87=1,18&gt;=Inputs!C88),MIN(Deployment_36M!U21,Inputs!C89)*Inputs!C90*U6*Inputs!C91*Inputs!C20,0)/1000</x:f>
        <x:v>0</x:v>
      </x:c>
      <x:c r="V19" s="1298" t="n">
        <x:f>IF(AND(Inputs!C87=1,19&gt;=Inputs!C88),MIN(Deployment_36M!V21,Inputs!C89)*Inputs!C90*V6*Inputs!C91*Inputs!C20,0)/1000</x:f>
        <x:v>0</x:v>
      </x:c>
      <x:c r="W19" s="1298" t="n">
        <x:f>IF(AND(Inputs!C87=1,20&gt;=Inputs!C88),MIN(Deployment_36M!W21,Inputs!C89)*Inputs!C90*W6*Inputs!C91*Inputs!C20,0)/1000</x:f>
        <x:v>0</x:v>
      </x:c>
      <x:c r="X19" s="1298" t="n">
        <x:f>IF(AND(Inputs!C87=1,21&gt;=Inputs!C88),MIN(Deployment_36M!X21,Inputs!C89)*Inputs!C90*X6*Inputs!C91*Inputs!C20,0)/1000</x:f>
        <x:v>0</x:v>
      </x:c>
      <x:c r="Y19" s="1298" t="n">
        <x:f>IF(AND(Inputs!C87=1,22&gt;=Inputs!C88),MIN(Deployment_36M!Y21,Inputs!C89)*Inputs!C90*Y6*Inputs!C91*Inputs!C20,0)/1000</x:f>
        <x:v>0</x:v>
      </x:c>
      <x:c r="Z19" s="1298" t="n">
        <x:f>IF(AND(Inputs!C87=1,23&gt;=Inputs!C88),MIN(Deployment_36M!Z21,Inputs!C89)*Inputs!C90*Z6*Inputs!C91*Inputs!C20,0)/1000</x:f>
        <x:v>0</x:v>
      </x:c>
      <x:c r="AA19" s="1298" t="n">
        <x:f>IF(AND(Inputs!C87=1,24&gt;=Inputs!C88),MIN(Deployment_36M!AA21,Inputs!C89)*Inputs!C90*AA6*Inputs!C91*Inputs!C20,0)/1000</x:f>
        <x:v>0</x:v>
      </x:c>
      <x:c r="AB19" s="1298" t="n">
        <x:f>IF(AND(Inputs!C87=1,25&gt;=Inputs!C88),MIN(Deployment_36M!AB21,Inputs!C89)*Inputs!C90*AB6*Inputs!C91*Inputs!C20,0)/1000</x:f>
        <x:v>0</x:v>
      </x:c>
      <x:c r="AC19" s="1298" t="n">
        <x:f>IF(AND(Inputs!C87=1,26&gt;=Inputs!C88),MIN(Deployment_36M!AC21,Inputs!C89)*Inputs!C90*AC6*Inputs!C91*Inputs!C20,0)/1000</x:f>
        <x:v>0</x:v>
      </x:c>
      <x:c r="AD19" s="1298" t="n">
        <x:f>IF(AND(Inputs!C87=1,27&gt;=Inputs!C88),MIN(Deployment_36M!AD21,Inputs!C89)*Inputs!C90*AD6*Inputs!C91*Inputs!C20,0)/1000</x:f>
        <x:v>0</x:v>
      </x:c>
      <x:c r="AE19" s="1298" t="n">
        <x:f>IF(AND(Inputs!C87=1,28&gt;=Inputs!C88),MIN(Deployment_36M!AE21,Inputs!C89)*Inputs!C90*AE6*Inputs!C91*Inputs!C20,0)/1000</x:f>
        <x:v>0</x:v>
      </x:c>
      <x:c r="AF19" s="1298" t="n">
        <x:f>IF(AND(Inputs!C87=1,29&gt;=Inputs!C88),MIN(Deployment_36M!AF21,Inputs!C89)*Inputs!C90*AF6*Inputs!C91*Inputs!C20,0)/1000</x:f>
        <x:v>0</x:v>
      </x:c>
      <x:c r="AG19" s="1298" t="n">
        <x:f>IF(AND(Inputs!C87=1,30&gt;=Inputs!C88),MIN(Deployment_36M!AG21,Inputs!C89)*Inputs!C90*AG6*Inputs!C91*Inputs!C20,0)/1000</x:f>
        <x:v>0</x:v>
      </x:c>
      <x:c r="AH19" s="1298" t="n">
        <x:f>IF(AND(Inputs!C87=1,31&gt;=Inputs!C88),MIN(Deployment_36M!AH21,Inputs!C89)*Inputs!C90*AH6*Inputs!C91*Inputs!C20,0)/1000</x:f>
        <x:v>0</x:v>
      </x:c>
      <x:c r="AI19" s="1298" t="n">
        <x:f>IF(AND(Inputs!C87=1,32&gt;=Inputs!C88),MIN(Deployment_36M!AI21,Inputs!C89)*Inputs!C90*AI6*Inputs!C91*Inputs!C20,0)/1000</x:f>
        <x:v>0</x:v>
      </x:c>
      <x:c r="AJ19" s="1298" t="n">
        <x:f>IF(AND(Inputs!C87=1,33&gt;=Inputs!C88),MIN(Deployment_36M!AJ21,Inputs!C89)*Inputs!C90*AJ6*Inputs!C91*Inputs!C20,0)/1000</x:f>
        <x:v>0</x:v>
      </x:c>
      <x:c r="AK19" s="1298" t="n">
        <x:f>IF(AND(Inputs!C87=1,34&gt;=Inputs!C88),MIN(Deployment_36M!AK21,Inputs!C89)*Inputs!C90*AK6*Inputs!C91*Inputs!C20,0)/1000</x:f>
        <x:v>0</x:v>
      </x:c>
      <x:c r="AL19" s="1298" t="n">
        <x:f>IF(AND(Inputs!C87=1,35&gt;=Inputs!C88),MIN(Deployment_36M!AL21,Inputs!C89)*Inputs!C90*AL6*Inputs!C91*Inputs!C20,0)/1000</x:f>
        <x:v>0</x:v>
      </x:c>
      <x:c r="AM19" s="1299" t="n">
        <x:f>IF(AND(Inputs!C87=1,36&gt;=Inputs!C88),MIN(Deployment_36M!AM21,Inputs!C89)*Inputs!C90*AM6*Inputs!C91*Inputs!C20,0)/1000</x:f>
        <x:v>0</x:v>
      </x:c>
    </x:row>
    <x:row r="20">
      <x:c r="A20" s="243" t="str">
        <x:v>Total revenue - base case</x:v>
      </x:c>
      <x:c r="B20" s="244" t="str">
        <x:v>ZAR'000</x:v>
      </x:c>
      <x:c r="C20" s="245" t="str">
        <x:v>Base case used in Funding sheet</x:v>
      </x:c>
      <x:c r="D20" s="1297" t="n">
        <x:f>D17</x:f>
        <x:v>0</x:v>
      </x:c>
      <x:c r="E20" s="1298" t="n">
        <x:f>E17</x:f>
        <x:v>0</x:v>
      </x:c>
      <x:c r="F20" s="1298" t="n">
        <x:f>F17</x:f>
        <x:v>3781.8815791810557</x:v>
      </x:c>
      <x:c r="G20" s="1298" t="n">
        <x:f>G17</x:f>
        <x:v>11767.342184757625</x:v>
      </x:c>
      <x:c r="H20" s="1298" t="n">
        <x:f>H17</x:f>
        <x:v>19050.02087901388</x:v>
      </x:c>
      <x:c r="I20" s="1298" t="n">
        <x:f>I17</x:f>
        <x:v>27481.687933887388</x:v>
      </x:c>
      <x:c r="J20" s="1298" t="n">
        <x:f>J17</x:f>
        <x:v>31369.672458787514</x:v>
      </x:c>
      <x:c r="K20" s="1298" t="n">
        <x:f>K17</x:f>
        <x:v>28439.049984099798</x:v>
      </x:c>
      <x:c r="L20" s="1298" t="n">
        <x:f>L17</x:f>
        <x:v>31602.94169957242</x:v>
      </x:c>
      <x:c r="M20" s="1298" t="n">
        <x:f>M17</x:f>
        <x:v>30696.99290269326</x:v>
      </x:c>
      <x:c r="N20" s="1298" t="n">
        <x:f>N17</x:f>
        <x:v>31837.94556282646</x:v>
      </x:c>
      <x:c r="O20" s="1298" t="n">
        <x:f>O17</x:f>
        <x:v>30925.260004882435</x:v>
      </x:c>
      <x:c r="P20" s="1298" t="n">
        <x:f>P17</x:f>
        <x:v>32074.696947443204</x:v>
      </x:c>
      <x:c r="Q20" s="1298" t="n">
        <x:f>Q17</x:f>
        <x:v>32193.732017374932</x:v>
      </x:c>
      <x:c r="R20" s="1298" t="n">
        <x:f>R17</x:f>
        <x:v>31270.847272484698</x:v>
      </x:c>
      <x:c r="S20" s="1298" t="n">
        <x:f>S17</x:f>
        <x:v>32433.129079476617</x:v>
      </x:c>
      <x:c r="T20" s="1298" t="n">
        <x:f>T17</x:f>
        <x:v>31503.38163546018</x:v>
      </x:c>
      <x:c r="U20" s="1298" t="n">
        <x:f>U17</x:f>
        <x:v>32674.30633137773</x:v>
      </x:c>
      <x:c r="V20" s="1298" t="n">
        <x:f>V17</x:f>
        <x:v>32795.5666614597</x:v>
      </x:c>
      <x:c r="W20" s="1298" t="n">
        <x:f>W17</x:f>
        <x:v>30793.5817197964</x:v>
      </x:c>
      <x:c r="X20" s="1298" t="n">
        <x:f>X17</x:f>
        <x:v>33039.43904955301</x:v>
      </x:c>
      <x:c r="Y20" s="1298" t="n">
        <x:f>Y17</x:f>
        <x:v>32092.310761906625</x:v>
      </x:c>
      <x:c r="Z20" s="1298" t="n">
        <x:f>Z17</x:f>
        <x:v>33285.12490659133</x:v>
      </x:c>
      <x:c r="AA20" s="1298" t="n">
        <x:f>AA17</x:f>
        <x:v>32330.953641468026</x:v>
      </x:c>
      <x:c r="AB20" s="1298" t="n">
        <x:f>AB17</x:f>
        <x:v>33532.63771778155</x:v>
      </x:c>
      <x:c r="AC20" s="1298" t="n">
        <x:f>AC17</x:f>
        <x:v>33657.08347271018</x:v>
      </x:c>
      <x:c r="AD20" s="1298" t="n">
        <x:f>AD17</x:f>
        <x:v>32692.24942123403</x:v>
      </x:c>
      <x:c r="AE20" s="1298" t="n">
        <x:f>AE17</x:f>
        <x:v>33907.36221945285</x:v>
      </x:c>
      <x:c r="AF20" s="1298" t="n">
        <x:f>AF17</x:f>
        <x:v>32935.353527981104</x:v>
      </x:c>
      <x:c r="AG20" s="1298" t="n">
        <x:f>AG17</x:f>
        <x:v>34159.5020737131</x:v>
      </x:c>
      <x:c r="AH20" s="1298" t="n">
        <x:f>AH17</x:f>
        <x:v>34286.27423698062</x:v>
      </x:c>
      <x:c r="AI20" s="1298" t="n">
        <x:f>AI17</x:f>
        <x:v>31083.176532208294</x:v>
      </x:c>
      <x:c r="AJ20" s="1298" t="n">
        <x:f>AJ17</x:f>
        <x:v>34541.231733623616</x:v>
      </x:c>
      <x:c r="AK20" s="1298" t="n">
        <x:f>AK17</x:f>
        <x:v>33551.05216017511</x:v>
      </x:c>
      <x:c r="AL20" s="1298" t="n">
        <x:f>AL17</x:f>
        <x:v>34798.08512961823</x:v>
      </x:c>
      <x:c r="AM20" s="1299" t="n">
        <x:f>AM17</x:f>
        <x:v>33800.54244335295</x:v>
      </x:c>
    </x:row>
    <x:row r="21">
      <x:c r="A21" s="261" t="str">
        <x:v>Total revenue - with optionality</x:v>
      </x:c>
      <x:c r="B21" s="262" t="str">
        <x:v>ZAR'000</x:v>
      </x:c>
      <x:c r="C21" s="263" t="str">
        <x:v>BTC + toggled optionality</x:v>
      </x:c>
      <x:c r="D21" s="1303" t="n">
        <x:f>D17+D18+D19</x:f>
        <x:v>0</x:v>
      </x:c>
      <x:c r="E21" s="1304" t="n">
        <x:f>E17+E18+E19</x:f>
        <x:v>0</x:v>
      </x:c>
      <x:c r="F21" s="1304" t="n">
        <x:f>F17+F18+F19</x:f>
        <x:v>3781.8815791810557</x:v>
      </x:c>
      <x:c r="G21" s="1304" t="n">
        <x:f>G17+G18+G19</x:f>
        <x:v>11767.342184757625</x:v>
      </x:c>
      <x:c r="H21" s="1304" t="n">
        <x:f>H17+H18+H19</x:f>
        <x:v>19050.02087901388</x:v>
      </x:c>
      <x:c r="I21" s="1304" t="n">
        <x:f>I17+I18+I19</x:f>
        <x:v>27481.687933887388</x:v>
      </x:c>
      <x:c r="J21" s="1304" t="n">
        <x:f>J17+J18+J19</x:f>
        <x:v>31369.672458787514</x:v>
      </x:c>
      <x:c r="K21" s="1304" t="n">
        <x:f>K17+K18+K19</x:f>
        <x:v>28439.049984099798</x:v>
      </x:c>
      <x:c r="L21" s="1304" t="n">
        <x:f>L17+L18+L19</x:f>
        <x:v>31602.94169957242</x:v>
      </x:c>
      <x:c r="M21" s="1304" t="n">
        <x:f>M17+M18+M19</x:f>
        <x:v>30696.99290269326</x:v>
      </x:c>
      <x:c r="N21" s="1304" t="n">
        <x:f>N17+N18+N19</x:f>
        <x:v>31837.94556282646</x:v>
      </x:c>
      <x:c r="O21" s="1304" t="n">
        <x:f>O17+O18+O19</x:f>
        <x:v>30925.260004882435</x:v>
      </x:c>
      <x:c r="P21" s="1304" t="n">
        <x:f>P17+P18+P19</x:f>
        <x:v>32074.696947443204</x:v>
      </x:c>
      <x:c r="Q21" s="1304" t="n">
        <x:f>Q17+Q18+Q19</x:f>
        <x:v>32193.732017374932</x:v>
      </x:c>
      <x:c r="R21" s="1304" t="n">
        <x:f>R17+R18+R19</x:f>
        <x:v>31270.847272484698</x:v>
      </x:c>
      <x:c r="S21" s="1304" t="n">
        <x:f>S17+S18+S19</x:f>
        <x:v>32433.129079476617</x:v>
      </x:c>
      <x:c r="T21" s="1304" t="n">
        <x:f>T17+T18+T19</x:f>
        <x:v>31503.38163546018</x:v>
      </x:c>
      <x:c r="U21" s="1304" t="n">
        <x:f>U17+U18+U19</x:f>
        <x:v>32674.30633137773</x:v>
      </x:c>
      <x:c r="V21" s="1304" t="n">
        <x:f>V17+V18+V19</x:f>
        <x:v>32795.5666614597</x:v>
      </x:c>
      <x:c r="W21" s="1304" t="n">
        <x:f>W17+W18+W19</x:f>
        <x:v>30793.5817197964</x:v>
      </x:c>
      <x:c r="X21" s="1304" t="n">
        <x:f>X17+X18+X19</x:f>
        <x:v>33039.43904955301</x:v>
      </x:c>
      <x:c r="Y21" s="1304" t="n">
        <x:f>Y17+Y18+Y19</x:f>
        <x:v>32092.310761906625</x:v>
      </x:c>
      <x:c r="Z21" s="1304" t="n">
        <x:f>Z17+Z18+Z19</x:f>
        <x:v>33285.12490659133</x:v>
      </x:c>
      <x:c r="AA21" s="1304" t="n">
        <x:f>AA17+AA18+AA19</x:f>
        <x:v>32330.953641468026</x:v>
      </x:c>
      <x:c r="AB21" s="1304" t="n">
        <x:f>AB17+AB18+AB19</x:f>
        <x:v>33532.63771778155</x:v>
      </x:c>
      <x:c r="AC21" s="1304" t="n">
        <x:f>AC17+AC18+AC19</x:f>
        <x:v>33657.08347271018</x:v>
      </x:c>
      <x:c r="AD21" s="1304" t="n">
        <x:f>AD17+AD18+AD19</x:f>
        <x:v>32692.24942123403</x:v>
      </x:c>
      <x:c r="AE21" s="1304" t="n">
        <x:f>AE17+AE18+AE19</x:f>
        <x:v>33907.36221945285</x:v>
      </x:c>
      <x:c r="AF21" s="1304" t="n">
        <x:f>AF17+AF18+AF19</x:f>
        <x:v>32935.353527981104</x:v>
      </x:c>
      <x:c r="AG21" s="1304" t="n">
        <x:f>AG17+AG18+AG19</x:f>
        <x:v>34159.5020737131</x:v>
      </x:c>
      <x:c r="AH21" s="1304" t="n">
        <x:f>AH17+AH18+AH19</x:f>
        <x:v>34286.27423698062</x:v>
      </x:c>
      <x:c r="AI21" s="1304" t="n">
        <x:f>AI17+AI18+AI19</x:f>
        <x:v>31083.176532208294</x:v>
      </x:c>
      <x:c r="AJ21" s="1304" t="n">
        <x:f>AJ17+AJ18+AJ19</x:f>
        <x:v>34541.231733623616</x:v>
      </x:c>
      <x:c r="AK21" s="1304" t="n">
        <x:f>AK17+AK18+AK19</x:f>
        <x:v>33551.05216017511</x:v>
      </x:c>
      <x:c r="AL21" s="1304" t="n">
        <x:f>AL17+AL18+AL19</x:f>
        <x:v>34798.08512961823</x:v>
      </x:c>
      <x:c r="AM21" s="1305" t="n">
        <x:f>AM17+AM18+AM19</x:f>
        <x:v>33800.54244335295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.13999938964844" hidden="0" customWidth="1"/>
    <x:col min="2" max="2" width="12.140000343322754" hidden="0" customWidth="1"/>
    <x:col min="3" max="3" width="30.709999084472656" hidden="0" customWidth="1"/>
    <x:col min="4" max="4" width="10.430000305175781" hidden="0" customWidth="1"/>
    <x:col min="5" max="5" width="10.430000305175781" hidden="0" customWidth="1"/>
    <x:col min="6" max="6" width="10.430000305175781" hidden="0" customWidth="1"/>
    <x:col min="7" max="7" width="10.430000305175781" hidden="0" customWidth="1"/>
    <x:col min="8" max="8" width="10.430000305175781" hidden="0" customWidth="1"/>
    <x:col min="9" max="9" width="10.430000305175781" hidden="0" customWidth="1"/>
    <x:col min="10" max="10" width="10.430000305175781" hidden="0" customWidth="1"/>
    <x:col min="11" max="11" width="10.430000305175781" hidden="0" customWidth="1"/>
    <x:col min="12" max="12" width="10.430000305175781" hidden="0" customWidth="1"/>
    <x:col min="13" max="13" width="10.430000305175781" hidden="0" customWidth="1"/>
    <x:col min="14" max="14" width="10.430000305175781" hidden="0" customWidth="1"/>
    <x:col min="15" max="15" width="10.430000305175781" hidden="0" customWidth="1"/>
    <x:col min="16" max="16" width="10.430000305175781" hidden="0" customWidth="1"/>
    <x:col min="17" max="17" width="10.430000305175781" hidden="0" customWidth="1"/>
    <x:col min="18" max="18" width="10.430000305175781" hidden="0" customWidth="1"/>
    <x:col min="19" max="19" width="10.430000305175781" hidden="0" customWidth="1"/>
    <x:col min="20" max="20" width="10.430000305175781" hidden="0" customWidth="1"/>
    <x:col min="21" max="21" width="10.430000305175781" hidden="0" customWidth="1"/>
    <x:col min="22" max="22" width="10.430000305175781" hidden="0" customWidth="1"/>
    <x:col min="23" max="23" width="10.430000305175781" hidden="0" customWidth="1"/>
    <x:col min="24" max="24" width="10.430000305175781" hidden="0" customWidth="1"/>
    <x:col min="25" max="25" width="10.430000305175781" hidden="0" customWidth="1"/>
    <x:col min="26" max="26" width="10.430000305175781" hidden="0" customWidth="1"/>
    <x:col min="27" max="27" width="10.430000305175781" hidden="0" customWidth="1"/>
    <x:col min="28" max="28" width="10.430000305175781" hidden="0" customWidth="1"/>
    <x:col min="29" max="29" width="10.430000305175781" hidden="0" customWidth="1"/>
    <x:col min="30" max="30" width="10.430000305175781" hidden="0" customWidth="1"/>
    <x:col min="31" max="31" width="10.430000305175781" hidden="0" customWidth="1"/>
    <x:col min="32" max="32" width="10.430000305175781" hidden="0" customWidth="1"/>
    <x:col min="33" max="33" width="10.430000305175781" hidden="0" customWidth="1"/>
    <x:col min="34" max="34" width="10.430000305175781" hidden="0" customWidth="1"/>
    <x:col min="35" max="35" width="10.430000305175781" hidden="0" customWidth="1"/>
    <x:col min="36" max="36" width="10.430000305175781" hidden="0" customWidth="1"/>
    <x:col min="37" max="37" width="10.430000305175781" hidden="0" customWidth="1"/>
    <x:col min="38" max="38" width="10.430000305175781" hidden="0" customWidth="1"/>
    <x:col min="39" max="39" width="10.430000305175781" hidden="0" customWidth="1"/>
  </x:cols>
  <x:sheetData>
    <x:row r="1">
      <x:c r="A1" s="128" t="str">
        <x:v>Opex_36M | Site energy, people and recurring operating costs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  <x:c r="Y1" s="128"/>
      <x:c r="Z1" s="128"/>
      <x:c r="AA1" s="128"/>
      <x:c r="AB1" s="128"/>
      <x:c r="AC1" s="128"/>
      <x:c r="AD1" s="128"/>
      <x:c r="AE1" s="128"/>
      <x:c r="AF1" s="128"/>
      <x:c r="AG1" s="128"/>
      <x:c r="AH1" s="128"/>
      <x:c r="AI1" s="128"/>
      <x:c r="AJ1" s="128"/>
      <x:c r="AK1" s="128"/>
      <x:c r="AL1" s="128"/>
      <x:c r="AM1" s="128"/>
    </x:row>
    <x:row r="2">
      <x:c r="A2" s="133" t="str">
        <x:v>Energy cost is the dominant driver. Payroll and recurring overheads remain visible but simplified.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  <x:c r="P2" s="133"/>
      <x:c r="Q2" s="133"/>
      <x:c r="R2" s="133"/>
      <x:c r="S2" s="133"/>
      <x:c r="T2" s="133"/>
      <x:c r="U2" s="133"/>
      <x:c r="V2" s="133"/>
      <x:c r="W2" s="133"/>
      <x:c r="X2" s="133"/>
      <x:c r="Y2" s="133"/>
      <x:c r="Z2" s="133"/>
      <x:c r="AA2" s="133"/>
      <x:c r="AB2" s="133"/>
      <x:c r="AC2" s="133"/>
      <x:c r="AD2" s="133"/>
      <x:c r="AE2" s="133"/>
      <x:c r="AF2" s="133"/>
      <x:c r="AG2" s="133"/>
      <x:c r="AH2" s="133"/>
      <x:c r="AI2" s="133"/>
      <x:c r="AJ2" s="133"/>
      <x:c r="AK2" s="133"/>
      <x:c r="AL2" s="133"/>
      <x:c r="AM2" s="133"/>
    </x:row>
    <x:row r="4">
      <x:c r="A4" s="140" t="str">
        <x:v>Metric</x:v>
      </x:c>
      <x:c r="B4" s="141" t="str">
        <x:v>Unit</x:v>
      </x:c>
      <x:c r="C4" s="142" t="str">
        <x:v>Notes</x:v>
      </x:c>
    </x:row>
    <x:row r="5">
      <x:c r="A5" s="143" t="str">
        <x:v>Date</x:v>
      </x:c>
      <x:c r="B5" s="136" t="str">
        <x:v>date</x:v>
      </x:c>
      <x:c r="C5" s="144" t="str">
        <x:v>Linked from deployment</x:v>
      </x:c>
      <x:c r="D5" s="1249" t="n">
        <x:f>Deployment_36M!D5</x:f>
        <x:v>46204</x:v>
      </x:c>
      <x:c r="E5" s="1250" t="n">
        <x:f>Deployment_36M!E5</x:f>
        <x:v>46235</x:v>
      </x:c>
      <x:c r="F5" s="1250" t="n">
        <x:f>Deployment_36M!F5</x:f>
        <x:v>46266</x:v>
      </x:c>
      <x:c r="G5" s="1250" t="n">
        <x:f>Deployment_36M!G5</x:f>
        <x:v>46296</x:v>
      </x:c>
      <x:c r="H5" s="1250" t="n">
        <x:f>Deployment_36M!H5</x:f>
        <x:v>46327</x:v>
      </x:c>
      <x:c r="I5" s="1250" t="n">
        <x:f>Deployment_36M!I5</x:f>
        <x:v>46357</x:v>
      </x:c>
      <x:c r="J5" s="1250" t="n">
        <x:f>Deployment_36M!J5</x:f>
        <x:v>46388</x:v>
      </x:c>
      <x:c r="K5" s="1250" t="n">
        <x:f>Deployment_36M!K5</x:f>
        <x:v>46419</x:v>
      </x:c>
      <x:c r="L5" s="1250" t="n">
        <x:f>Deployment_36M!L5</x:f>
        <x:v>46447</x:v>
      </x:c>
      <x:c r="M5" s="1250" t="n">
        <x:f>Deployment_36M!M5</x:f>
        <x:v>46478</x:v>
      </x:c>
      <x:c r="N5" s="1250" t="n">
        <x:f>Deployment_36M!N5</x:f>
        <x:v>46508</x:v>
      </x:c>
      <x:c r="O5" s="1250" t="n">
        <x:f>Deployment_36M!O5</x:f>
        <x:v>46539</x:v>
      </x:c>
      <x:c r="P5" s="1250" t="n">
        <x:f>Deployment_36M!P5</x:f>
        <x:v>46569</x:v>
      </x:c>
      <x:c r="Q5" s="1250" t="n">
        <x:f>Deployment_36M!Q5</x:f>
        <x:v>46600</x:v>
      </x:c>
      <x:c r="R5" s="1250" t="n">
        <x:f>Deployment_36M!R5</x:f>
        <x:v>46631</x:v>
      </x:c>
      <x:c r="S5" s="1250" t="n">
        <x:f>Deployment_36M!S5</x:f>
        <x:v>46661</x:v>
      </x:c>
      <x:c r="T5" s="1250" t="n">
        <x:f>Deployment_36M!T5</x:f>
        <x:v>46692</x:v>
      </x:c>
      <x:c r="U5" s="1250" t="n">
        <x:f>Deployment_36M!U5</x:f>
        <x:v>46722</x:v>
      </x:c>
      <x:c r="V5" s="1250" t="n">
        <x:f>Deployment_36M!V5</x:f>
        <x:v>46753</x:v>
      </x:c>
      <x:c r="W5" s="1250" t="n">
        <x:f>Deployment_36M!W5</x:f>
        <x:v>46784</x:v>
      </x:c>
      <x:c r="X5" s="1250" t="n">
        <x:f>Deployment_36M!X5</x:f>
        <x:v>46813</x:v>
      </x:c>
      <x:c r="Y5" s="1250" t="n">
        <x:f>Deployment_36M!Y5</x:f>
        <x:v>46844</x:v>
      </x:c>
      <x:c r="Z5" s="1250" t="n">
        <x:f>Deployment_36M!Z5</x:f>
        <x:v>46874</x:v>
      </x:c>
      <x:c r="AA5" s="1250" t="n">
        <x:f>Deployment_36M!AA5</x:f>
        <x:v>46905</x:v>
      </x:c>
      <x:c r="AB5" s="1250" t="n">
        <x:f>Deployment_36M!AB5</x:f>
        <x:v>46935</x:v>
      </x:c>
      <x:c r="AC5" s="1250" t="n">
        <x:f>Deployment_36M!AC5</x:f>
        <x:v>46966</x:v>
      </x:c>
      <x:c r="AD5" s="1250" t="n">
        <x:f>Deployment_36M!AD5</x:f>
        <x:v>46997</x:v>
      </x:c>
      <x:c r="AE5" s="1250" t="n">
        <x:f>Deployment_36M!AE5</x:f>
        <x:v>47027</x:v>
      </x:c>
      <x:c r="AF5" s="1250" t="n">
        <x:f>Deployment_36M!AF5</x:f>
        <x:v>47058</x:v>
      </x:c>
      <x:c r="AG5" s="1250" t="n">
        <x:f>Deployment_36M!AG5</x:f>
        <x:v>47088</x:v>
      </x:c>
      <x:c r="AH5" s="1250" t="n">
        <x:f>Deployment_36M!AH5</x:f>
        <x:v>47119</x:v>
      </x:c>
      <x:c r="AI5" s="1250" t="n">
        <x:f>Deployment_36M!AI5</x:f>
        <x:v>47150</x:v>
      </x:c>
      <x:c r="AJ5" s="1250" t="n">
        <x:f>Deployment_36M!AJ5</x:f>
        <x:v>47178</x:v>
      </x:c>
      <x:c r="AK5" s="1250" t="n">
        <x:f>Deployment_36M!AK5</x:f>
        <x:v>47209</x:v>
      </x:c>
      <x:c r="AL5" s="1250" t="n">
        <x:f>Deployment_36M!AL5</x:f>
        <x:v>47239</x:v>
      </x:c>
      <x:c r="AM5" s="1251" t="n">
        <x:f>Deployment_36M!AM5</x:f>
        <x:v>47270</x:v>
      </x:c>
    </x:row>
    <x:row r="6">
      <x:c r="A6" s="143" t="str">
        <x:v>Days in month</x:v>
      </x:c>
      <x:c r="B6" s="136" t="str">
        <x:v>days</x:v>
      </x:c>
      <x:c r="C6" s="144" t="str">
        <x:v>Linked from deployment</x:v>
      </x:c>
      <x:c r="D6" s="1252" t="n">
        <x:f>Deployment_36M!D6</x:f>
        <x:v>31</x:v>
      </x:c>
      <x:c r="E6" s="1253" t="n">
        <x:f>Deployment_36M!E6</x:f>
        <x:v>31</x:v>
      </x:c>
      <x:c r="F6" s="1253" t="n">
        <x:f>Deployment_36M!F6</x:f>
        <x:v>30</x:v>
      </x:c>
      <x:c r="G6" s="1253" t="n">
        <x:f>Deployment_36M!G6</x:f>
        <x:v>31</x:v>
      </x:c>
      <x:c r="H6" s="1253" t="n">
        <x:f>Deployment_36M!H6</x:f>
        <x:v>30</x:v>
      </x:c>
      <x:c r="I6" s="1253" t="n">
        <x:f>Deployment_36M!I6</x:f>
        <x:v>31</x:v>
      </x:c>
      <x:c r="J6" s="1253" t="n">
        <x:f>Deployment_36M!J6</x:f>
        <x:v>31</x:v>
      </x:c>
      <x:c r="K6" s="1253" t="n">
        <x:f>Deployment_36M!K6</x:f>
        <x:v>28</x:v>
      </x:c>
      <x:c r="L6" s="1253" t="n">
        <x:f>Deployment_36M!L6</x:f>
        <x:v>31</x:v>
      </x:c>
      <x:c r="M6" s="1253" t="n">
        <x:f>Deployment_36M!M6</x:f>
        <x:v>30</x:v>
      </x:c>
      <x:c r="N6" s="1253" t="n">
        <x:f>Deployment_36M!N6</x:f>
        <x:v>31</x:v>
      </x:c>
      <x:c r="O6" s="1253" t="n">
        <x:f>Deployment_36M!O6</x:f>
        <x:v>30</x:v>
      </x:c>
      <x:c r="P6" s="1253" t="n">
        <x:f>Deployment_36M!P6</x:f>
        <x:v>31</x:v>
      </x:c>
      <x:c r="Q6" s="1253" t="n">
        <x:f>Deployment_36M!Q6</x:f>
        <x:v>31</x:v>
      </x:c>
      <x:c r="R6" s="1253" t="n">
        <x:f>Deployment_36M!R6</x:f>
        <x:v>30</x:v>
      </x:c>
      <x:c r="S6" s="1253" t="n">
        <x:f>Deployment_36M!S6</x:f>
        <x:v>31</x:v>
      </x:c>
      <x:c r="T6" s="1253" t="n">
        <x:f>Deployment_36M!T6</x:f>
        <x:v>30</x:v>
      </x:c>
      <x:c r="U6" s="1253" t="n">
        <x:f>Deployment_36M!U6</x:f>
        <x:v>31</x:v>
      </x:c>
      <x:c r="V6" s="1253" t="n">
        <x:f>Deployment_36M!V6</x:f>
        <x:v>31</x:v>
      </x:c>
      <x:c r="W6" s="1253" t="n">
        <x:f>Deployment_36M!W6</x:f>
        <x:v>29</x:v>
      </x:c>
      <x:c r="X6" s="1253" t="n">
        <x:f>Deployment_36M!X6</x:f>
        <x:v>31</x:v>
      </x:c>
      <x:c r="Y6" s="1253" t="n">
        <x:f>Deployment_36M!Y6</x:f>
        <x:v>30</x:v>
      </x:c>
      <x:c r="Z6" s="1253" t="n">
        <x:f>Deployment_36M!Z6</x:f>
        <x:v>31</x:v>
      </x:c>
      <x:c r="AA6" s="1253" t="n">
        <x:f>Deployment_36M!AA6</x:f>
        <x:v>30</x:v>
      </x:c>
      <x:c r="AB6" s="1253" t="n">
        <x:f>Deployment_36M!AB6</x:f>
        <x:v>31</x:v>
      </x:c>
      <x:c r="AC6" s="1253" t="n">
        <x:f>Deployment_36M!AC6</x:f>
        <x:v>31</x:v>
      </x:c>
      <x:c r="AD6" s="1253" t="n">
        <x:f>Deployment_36M!AD6</x:f>
        <x:v>30</x:v>
      </x:c>
      <x:c r="AE6" s="1253" t="n">
        <x:f>Deployment_36M!AE6</x:f>
        <x:v>31</x:v>
      </x:c>
      <x:c r="AF6" s="1253" t="n">
        <x:f>Deployment_36M!AF6</x:f>
        <x:v>30</x:v>
      </x:c>
      <x:c r="AG6" s="1253" t="n">
        <x:f>Deployment_36M!AG6</x:f>
        <x:v>31</x:v>
      </x:c>
      <x:c r="AH6" s="1253" t="n">
        <x:f>Deployment_36M!AH6</x:f>
        <x:v>31</x:v>
      </x:c>
      <x:c r="AI6" s="1253" t="n">
        <x:f>Deployment_36M!AI6</x:f>
        <x:v>28</x:v>
      </x:c>
      <x:c r="AJ6" s="1253" t="n">
        <x:f>Deployment_36M!AJ6</x:f>
        <x:v>31</x:v>
      </x:c>
      <x:c r="AK6" s="1253" t="n">
        <x:f>Deployment_36M!AK6</x:f>
        <x:v>30</x:v>
      </x:c>
      <x:c r="AL6" s="1253" t="n">
        <x:f>Deployment_36M!AL6</x:f>
        <x:v>31</x:v>
      </x:c>
      <x:c r="AM6" s="1254" t="n">
        <x:f>Deployment_36M!AM6</x:f>
        <x:v>30</x:v>
      </x:c>
    </x:row>
    <x:row r="7">
      <x:c r="A7" s="147"/>
      <x:c r="B7" s="148"/>
      <x:c r="C7" s="149"/>
      <x:c r="D7" s="1165"/>
      <x:c r="E7" s="1166"/>
      <x:c r="F7" s="1166"/>
      <x:c r="G7" s="1166"/>
      <x:c r="H7" s="1166"/>
      <x:c r="I7" s="1166"/>
      <x:c r="J7" s="1166"/>
      <x:c r="K7" s="1166"/>
      <x:c r="L7" s="1166"/>
      <x:c r="M7" s="1166"/>
      <x:c r="N7" s="1166"/>
      <x:c r="O7" s="1166"/>
      <x:c r="P7" s="1166"/>
      <x:c r="Q7" s="1166"/>
      <x:c r="R7" s="1166"/>
      <x:c r="S7" s="1166"/>
      <x:c r="T7" s="1166"/>
      <x:c r="U7" s="1166"/>
      <x:c r="V7" s="1166"/>
      <x:c r="W7" s="1166"/>
      <x:c r="X7" s="1166"/>
      <x:c r="Y7" s="1166"/>
      <x:c r="Z7" s="1166"/>
      <x:c r="AA7" s="1166"/>
      <x:c r="AB7" s="1166"/>
      <x:c r="AC7" s="1166"/>
      <x:c r="AD7" s="1166"/>
      <x:c r="AE7" s="1166"/>
      <x:c r="AF7" s="1166"/>
      <x:c r="AG7" s="1166"/>
      <x:c r="AH7" s="1166"/>
      <x:c r="AI7" s="1166"/>
      <x:c r="AJ7" s="1166"/>
      <x:c r="AK7" s="1166"/>
      <x:c r="AL7" s="1166"/>
      <x:c r="AM7" s="1167"/>
    </x:row>
    <x:row r="8">
      <x:c r="A8" s="243" t="str">
        <x:v>Grootvlei electricity cost</x:v>
      </x:c>
      <x:c r="B8" s="244" t="str">
        <x:v>ZAR'000</x:v>
      </x:c>
      <x:c r="C8" s="245" t="str">
        <x:v>Gross MW x hours/day x tariff x uptime</x:v>
      </x:c>
      <x:c r="D8" s="1297" t="n">
        <x:f>Deployment_36M!D18*Inputs!C12*D6*1000*Inputs!C29*Inputs!C10/1000</x:f>
        <x:v>0</x:v>
      </x:c>
      <x:c r="E8" s="1298" t="n">
        <x:f>Deployment_36M!E18*Inputs!C12*E6*1000*Inputs!C29*Inputs!C10/1000</x:f>
        <x:v>0</x:v>
      </x:c>
      <x:c r="F8" s="1298" t="n">
        <x:f>Deployment_36M!F18*Inputs!C12*F6*1000*Inputs!C29*Inputs!C10/1000</x:f>
        <x:v>1617</x:v>
      </x:c>
      <x:c r="G8" s="1298" t="n">
        <x:f>Deployment_36M!G18*Inputs!C12*G6*1000*Inputs!C29*Inputs!C10/1000</x:f>
        <x:v>5012.7</x:v>
      </x:c>
      <x:c r="H8" s="1298" t="n">
        <x:f>Deployment_36M!H18*Inputs!C12*H6*1000*Inputs!C29*Inputs!C10/1000</x:f>
        <x:v>8085</x:v>
      </x:c>
      <x:c r="I8" s="1298" t="n">
        <x:f>Deployment_36M!I18*Inputs!C12*I6*1000*Inputs!C29*Inputs!C10/1000</x:f>
        <x:v>10025.4</x:v>
      </x:c>
      <x:c r="J8" s="1298" t="n">
        <x:f>Deployment_36M!J18*Inputs!C12*J6*1000*Inputs!C29*Inputs!C10/1000</x:f>
        <x:v>10025.4</x:v>
      </x:c>
      <x:c r="K8" s="1298" t="n">
        <x:f>Deployment_36M!K18*Inputs!C12*K6*1000*Inputs!C29*Inputs!C10/1000</x:f>
        <x:v>9055.2</x:v>
      </x:c>
      <x:c r="L8" s="1298" t="n">
        <x:f>Deployment_36M!L18*Inputs!C12*L6*1000*Inputs!C29*Inputs!C10/1000</x:f>
        <x:v>10025.4</x:v>
      </x:c>
      <x:c r="M8" s="1298" t="n">
        <x:f>Deployment_36M!M18*Inputs!C12*M6*1000*Inputs!C29*Inputs!C10/1000</x:f>
        <x:v>9702</x:v>
      </x:c>
      <x:c r="N8" s="1298" t="n">
        <x:f>Deployment_36M!N18*Inputs!C12*N6*1000*Inputs!C29*Inputs!C10/1000</x:f>
        <x:v>10025.4</x:v>
      </x:c>
      <x:c r="O8" s="1298" t="n">
        <x:f>Deployment_36M!O18*Inputs!C12*O6*1000*Inputs!C29*Inputs!C10/1000</x:f>
        <x:v>9702</x:v>
      </x:c>
      <x:c r="P8" s="1298" t="n">
        <x:f>Deployment_36M!P18*Inputs!C12*P6*1000*Inputs!C30*Inputs!C10/1000</x:f>
        <x:v>9524.13</x:v>
      </x:c>
      <x:c r="Q8" s="1298" t="n">
        <x:f>Deployment_36M!Q18*Inputs!C12*Q6*1000*Inputs!C30*Inputs!C10/1000</x:f>
        <x:v>9524.13</x:v>
      </x:c>
      <x:c r="R8" s="1298" t="n">
        <x:f>Deployment_36M!R18*Inputs!C12*R6*1000*Inputs!C30*Inputs!C10/1000</x:f>
        <x:v>9216.9</x:v>
      </x:c>
      <x:c r="S8" s="1298" t="n">
        <x:f>Deployment_36M!S18*Inputs!C12*S6*1000*Inputs!C30*Inputs!C10/1000</x:f>
        <x:v>9524.13</x:v>
      </x:c>
      <x:c r="T8" s="1298" t="n">
        <x:f>Deployment_36M!T18*Inputs!C12*T6*1000*Inputs!C30*Inputs!C10/1000</x:f>
        <x:v>9216.9</x:v>
      </x:c>
      <x:c r="U8" s="1298" t="n">
        <x:f>Deployment_36M!U18*Inputs!C12*U6*1000*Inputs!C30*Inputs!C10/1000</x:f>
        <x:v>9524.13</x:v>
      </x:c>
      <x:c r="V8" s="1298" t="n">
        <x:f>Deployment_36M!V18*Inputs!C12*V6*1000*Inputs!C30*Inputs!C10/1000</x:f>
        <x:v>9524.13</x:v>
      </x:c>
      <x:c r="W8" s="1298" t="n">
        <x:f>Deployment_36M!W18*Inputs!C12*W6*1000*Inputs!C30*Inputs!C10/1000</x:f>
        <x:v>8909.67</x:v>
      </x:c>
      <x:c r="X8" s="1298" t="n">
        <x:f>Deployment_36M!X18*Inputs!C12*X6*1000*Inputs!C30*Inputs!C10/1000</x:f>
        <x:v>9524.13</x:v>
      </x:c>
      <x:c r="Y8" s="1298" t="n">
        <x:f>Deployment_36M!Y18*Inputs!C12*Y6*1000*Inputs!C30*Inputs!C10/1000</x:f>
        <x:v>9216.9</x:v>
      </x:c>
      <x:c r="Z8" s="1298" t="n">
        <x:f>Deployment_36M!Z18*Inputs!C12*Z6*1000*Inputs!C30*Inputs!C10/1000</x:f>
        <x:v>9524.13</x:v>
      </x:c>
      <x:c r="AA8" s="1298" t="n">
        <x:f>Deployment_36M!AA18*Inputs!C12*AA6*1000*Inputs!C30*Inputs!C10/1000</x:f>
        <x:v>9216.9</x:v>
      </x:c>
      <x:c r="AB8" s="1298" t="n">
        <x:f>Deployment_36M!AB18*Inputs!C12*AB6*1000*Inputs!C31*Inputs!C10/1000</x:f>
        <x:v>9022.86</x:v>
      </x:c>
      <x:c r="AC8" s="1298" t="n">
        <x:f>Deployment_36M!AC18*Inputs!C12*AC6*1000*Inputs!C31*Inputs!C10/1000</x:f>
        <x:v>9022.86</x:v>
      </x:c>
      <x:c r="AD8" s="1298" t="n">
        <x:f>Deployment_36M!AD18*Inputs!C12*AD6*1000*Inputs!C31*Inputs!C10/1000</x:f>
        <x:v>8731.8</x:v>
      </x:c>
      <x:c r="AE8" s="1298" t="n">
        <x:f>Deployment_36M!AE18*Inputs!C12*AE6*1000*Inputs!C31*Inputs!C10/1000</x:f>
        <x:v>9022.86</x:v>
      </x:c>
      <x:c r="AF8" s="1298" t="n">
        <x:f>Deployment_36M!AF18*Inputs!C12*AF6*1000*Inputs!C31*Inputs!C10/1000</x:f>
        <x:v>8731.8</x:v>
      </x:c>
      <x:c r="AG8" s="1298" t="n">
        <x:f>Deployment_36M!AG18*Inputs!C12*AG6*1000*Inputs!C31*Inputs!C10/1000</x:f>
        <x:v>9022.86</x:v>
      </x:c>
      <x:c r="AH8" s="1298" t="n">
        <x:f>Deployment_36M!AH18*Inputs!C12*AH6*1000*Inputs!C31*Inputs!C10/1000</x:f>
        <x:v>9022.86</x:v>
      </x:c>
      <x:c r="AI8" s="1298" t="n">
        <x:f>Deployment_36M!AI18*Inputs!C12*AI6*1000*Inputs!C31*Inputs!C10/1000</x:f>
        <x:v>8149.68</x:v>
      </x:c>
      <x:c r="AJ8" s="1298" t="n">
        <x:f>Deployment_36M!AJ18*Inputs!C12*AJ6*1000*Inputs!C31*Inputs!C10/1000</x:f>
        <x:v>9022.86</x:v>
      </x:c>
      <x:c r="AK8" s="1298" t="n">
        <x:f>Deployment_36M!AK18*Inputs!C12*AK6*1000*Inputs!C31*Inputs!C10/1000</x:f>
        <x:v>8731.8</x:v>
      </x:c>
      <x:c r="AL8" s="1298" t="n">
        <x:f>Deployment_36M!AL18*Inputs!C12*AL6*1000*Inputs!C31*Inputs!C10/1000</x:f>
        <x:v>9022.86</x:v>
      </x:c>
      <x:c r="AM8" s="1299" t="n">
        <x:f>Deployment_36M!AM18*Inputs!C12*AM6*1000*Inputs!C31*Inputs!C10/1000</x:f>
        <x:v>8731.8</x:v>
      </x:c>
    </x:row>
    <x:row r="9">
      <x:c r="A9" s="243" t="str">
        <x:v>AMSA Eskom electricity cost</x:v>
      </x:c>
      <x:c r="B9" s="244" t="str">
        <x:v>ZAR'000</x:v>
      </x:c>
      <x:c r="C9" s="245" t="str">
        <x:v>Grid leg only</x:v>
      </x:c>
      <x:c r="D9" s="1297" t="n">
        <x:f>Deployment_36M!D19*Inputs!C13*D6*1000*Inputs!C32*Inputs!C10/1000</x:f>
        <x:v>0</x:v>
      </x:c>
      <x:c r="E9" s="1298" t="n">
        <x:f>Deployment_36M!E19*Inputs!C13*E6*1000*Inputs!C32*Inputs!C10/1000</x:f>
        <x:v>0</x:v>
      </x:c>
      <x:c r="F9" s="1298" t="n">
        <x:f>Deployment_36M!F19*Inputs!C13*F6*1000*Inputs!C32*Inputs!C10/1000</x:f>
        <x:v>0</x:v>
      </x:c>
      <x:c r="G9" s="1298" t="n">
        <x:f>Deployment_36M!G19*Inputs!C13*G6*1000*Inputs!C32*Inputs!C10/1000</x:f>
        <x:v>0</x:v>
      </x:c>
      <x:c r="H9" s="1298" t="n">
        <x:f>Deployment_36M!H19*Inputs!C13*H6*1000*Inputs!C32*Inputs!C10/1000</x:f>
        <x:v>0</x:v>
      </x:c>
      <x:c r="I9" s="1298" t="n">
        <x:f>Deployment_36M!I19*Inputs!C13*I6*1000*Inputs!C32*Inputs!C10/1000</x:f>
        <x:v>820.26</x:v>
      </x:c>
      <x:c r="J9" s="1298" t="n">
        <x:f>Deployment_36M!J19*Inputs!C13*J6*1000*Inputs!C32*Inputs!C10/1000</x:f>
        <x:v>1640.52</x:v>
      </x:c>
      <x:c r="K9" s="1298" t="n">
        <x:f>Deployment_36M!K19*Inputs!C13*K6*1000*Inputs!C32*Inputs!C10/1000</x:f>
        <x:v>1481.76</x:v>
      </x:c>
      <x:c r="L9" s="1298" t="n">
        <x:f>Deployment_36M!L19*Inputs!C13*L6*1000*Inputs!C32*Inputs!C10/1000</x:f>
        <x:v>1640.52</x:v>
      </x:c>
      <x:c r="M9" s="1298" t="n">
        <x:f>Deployment_36M!M19*Inputs!C13*M6*1000*Inputs!C32*Inputs!C10/1000</x:f>
        <x:v>1587.6</x:v>
      </x:c>
      <x:c r="N9" s="1298" t="n">
        <x:f>Deployment_36M!N19*Inputs!C13*N6*1000*Inputs!C32*Inputs!C10/1000</x:f>
        <x:v>1640.52</x:v>
      </x:c>
      <x:c r="O9" s="1298" t="n">
        <x:f>Deployment_36M!O19*Inputs!C13*O6*1000*Inputs!C32*Inputs!C10/1000</x:f>
        <x:v>1587.6</x:v>
      </x:c>
      <x:c r="P9" s="1298" t="n">
        <x:f>Deployment_36M!P19*Inputs!C13*P6*1000*Inputs!C33*Inputs!C10/1000</x:f>
        <x:v>1549.38</x:v>
      </x:c>
      <x:c r="Q9" s="1298" t="n">
        <x:f>Deployment_36M!Q19*Inputs!C13*Q6*1000*Inputs!C33*Inputs!C10/1000</x:f>
        <x:v>1549.38</x:v>
      </x:c>
      <x:c r="R9" s="1298" t="n">
        <x:f>Deployment_36M!R19*Inputs!C13*R6*1000*Inputs!C33*Inputs!C10/1000</x:f>
        <x:v>1499.4</x:v>
      </x:c>
      <x:c r="S9" s="1298" t="n">
        <x:f>Deployment_36M!S19*Inputs!C13*S6*1000*Inputs!C33*Inputs!C10/1000</x:f>
        <x:v>1549.38</x:v>
      </x:c>
      <x:c r="T9" s="1298" t="n">
        <x:f>Deployment_36M!T19*Inputs!C13*T6*1000*Inputs!C33*Inputs!C10/1000</x:f>
        <x:v>1499.4</x:v>
      </x:c>
      <x:c r="U9" s="1298" t="n">
        <x:f>Deployment_36M!U19*Inputs!C13*U6*1000*Inputs!C33*Inputs!C10/1000</x:f>
        <x:v>1549.38</x:v>
      </x:c>
      <x:c r="V9" s="1298" t="n">
        <x:f>Deployment_36M!V19*Inputs!C13*V6*1000*Inputs!C33*Inputs!C10/1000</x:f>
        <x:v>1549.38</x:v>
      </x:c>
      <x:c r="W9" s="1298" t="n">
        <x:f>Deployment_36M!W19*Inputs!C13*W6*1000*Inputs!C33*Inputs!C10/1000</x:f>
        <x:v>1449.42</x:v>
      </x:c>
      <x:c r="X9" s="1298" t="n">
        <x:f>Deployment_36M!X19*Inputs!C13*X6*1000*Inputs!C33*Inputs!C10/1000</x:f>
        <x:v>1549.38</x:v>
      </x:c>
      <x:c r="Y9" s="1298" t="n">
        <x:f>Deployment_36M!Y19*Inputs!C13*Y6*1000*Inputs!C33*Inputs!C10/1000</x:f>
        <x:v>1499.4</x:v>
      </x:c>
      <x:c r="Z9" s="1298" t="n">
        <x:f>Deployment_36M!Z19*Inputs!C13*Z6*1000*Inputs!C33*Inputs!C10/1000</x:f>
        <x:v>1549.38</x:v>
      </x:c>
      <x:c r="AA9" s="1298" t="n">
        <x:f>Deployment_36M!AA19*Inputs!C13*AA6*1000*Inputs!C33*Inputs!C10/1000</x:f>
        <x:v>1499.4</x:v>
      </x:c>
      <x:c r="AB9" s="1298" t="n">
        <x:f>Deployment_36M!AB19*Inputs!C13*AB6*1000*Inputs!C34*Inputs!C10/1000</x:f>
        <x:v>1458.24</x:v>
      </x:c>
      <x:c r="AC9" s="1298" t="n">
        <x:f>Deployment_36M!AC19*Inputs!C13*AC6*1000*Inputs!C34*Inputs!C10/1000</x:f>
        <x:v>1458.24</x:v>
      </x:c>
      <x:c r="AD9" s="1298" t="n">
        <x:f>Deployment_36M!AD19*Inputs!C13*AD6*1000*Inputs!C34*Inputs!C10/1000</x:f>
        <x:v>1411.2</x:v>
      </x:c>
      <x:c r="AE9" s="1298" t="n">
        <x:f>Deployment_36M!AE19*Inputs!C13*AE6*1000*Inputs!C34*Inputs!C10/1000</x:f>
        <x:v>1458.24</x:v>
      </x:c>
      <x:c r="AF9" s="1298" t="n">
        <x:f>Deployment_36M!AF19*Inputs!C13*AF6*1000*Inputs!C34*Inputs!C10/1000</x:f>
        <x:v>1411.2</x:v>
      </x:c>
      <x:c r="AG9" s="1298" t="n">
        <x:f>Deployment_36M!AG19*Inputs!C13*AG6*1000*Inputs!C34*Inputs!C10/1000</x:f>
        <x:v>1458.24</x:v>
      </x:c>
      <x:c r="AH9" s="1298" t="n">
        <x:f>Deployment_36M!AH19*Inputs!C13*AH6*1000*Inputs!C34*Inputs!C10/1000</x:f>
        <x:v>1458.24</x:v>
      </x:c>
      <x:c r="AI9" s="1298" t="n">
        <x:f>Deployment_36M!AI19*Inputs!C13*AI6*1000*Inputs!C34*Inputs!C10/1000</x:f>
        <x:v>1317.12</x:v>
      </x:c>
      <x:c r="AJ9" s="1298" t="n">
        <x:f>Deployment_36M!AJ19*Inputs!C13*AJ6*1000*Inputs!C34*Inputs!C10/1000</x:f>
        <x:v>1458.24</x:v>
      </x:c>
      <x:c r="AK9" s="1298" t="n">
        <x:f>Deployment_36M!AK19*Inputs!C13*AK6*1000*Inputs!C34*Inputs!C10/1000</x:f>
        <x:v>1411.2</x:v>
      </x:c>
      <x:c r="AL9" s="1298" t="n">
        <x:f>Deployment_36M!AL19*Inputs!C13*AL6*1000*Inputs!C34*Inputs!C10/1000</x:f>
        <x:v>1458.24</x:v>
      </x:c>
      <x:c r="AM9" s="1299" t="n">
        <x:f>Deployment_36M!AM19*Inputs!C13*AM6*1000*Inputs!C34*Inputs!C10/1000</x:f>
        <x:v>1411.2</x:v>
      </x:c>
    </x:row>
    <x:row r="10">
      <x:c r="A10" s="243" t="str">
        <x:v>AMSA solar O&amp;M</x:v>
      </x:c>
      <x:c r="B10" s="244" t="str">
        <x:v>ZAR'000</x:v>
      </x:c>
      <x:c r="C10" s="245" t="str">
        <x:v>Solar capex x O&amp;M%</x:v>
      </x:c>
      <x:c r="D10" s="1297" t="n">
        <x:f>Deployment_36M!D20*Inputs!C35*Inputs!C36/12</x:f>
        <x:v>0</x:v>
      </x:c>
      <x:c r="E10" s="1298" t="n">
        <x:f>Deployment_36M!E20*Inputs!C35*Inputs!C36/12</x:f>
        <x:v>0</x:v>
      </x:c>
      <x:c r="F10" s="1298" t="n">
        <x:f>Deployment_36M!F20*Inputs!C35*Inputs!C36/12</x:f>
        <x:v>0</x:v>
      </x:c>
      <x:c r="G10" s="1298" t="n">
        <x:f>Deployment_36M!G20*Inputs!C35*Inputs!C36/12</x:f>
        <x:v>0</x:v>
      </x:c>
      <x:c r="H10" s="1298" t="n">
        <x:f>Deployment_36M!H20*Inputs!C35*Inputs!C36/12</x:f>
        <x:v>58.333333333333336</x:v>
      </x:c>
      <x:c r="I10" s="1298" t="n">
        <x:f>Deployment_36M!I20*Inputs!C35*Inputs!C36/12</x:f>
        <x:v>116.66666666666667</x:v>
      </x:c>
      <x:c r="J10" s="1298" t="n">
        <x:f>Deployment_36M!J20*Inputs!C35*Inputs!C36/12</x:f>
        <x:v>116.66666666666667</x:v>
      </x:c>
      <x:c r="K10" s="1298" t="n">
        <x:f>Deployment_36M!K20*Inputs!C35*Inputs!C36/12</x:f>
        <x:v>116.66666666666667</x:v>
      </x:c>
      <x:c r="L10" s="1298" t="n">
        <x:f>Deployment_36M!L20*Inputs!C35*Inputs!C36/12</x:f>
        <x:v>116.66666666666667</x:v>
      </x:c>
      <x:c r="M10" s="1298" t="n">
        <x:f>Deployment_36M!M20*Inputs!C35*Inputs!C36/12</x:f>
        <x:v>116.66666666666667</x:v>
      </x:c>
      <x:c r="N10" s="1298" t="n">
        <x:f>Deployment_36M!N20*Inputs!C35*Inputs!C36/12</x:f>
        <x:v>116.66666666666667</x:v>
      </x:c>
      <x:c r="O10" s="1298" t="n">
        <x:f>Deployment_36M!O20*Inputs!C35*Inputs!C36/12</x:f>
        <x:v>116.66666666666667</x:v>
      </x:c>
      <x:c r="P10" s="1298" t="n">
        <x:f>Deployment_36M!P20*Inputs!C35*Inputs!C36/12</x:f>
        <x:v>116.66666666666667</x:v>
      </x:c>
      <x:c r="Q10" s="1298" t="n">
        <x:f>Deployment_36M!Q20*Inputs!C35*Inputs!C36/12</x:f>
        <x:v>116.66666666666667</x:v>
      </x:c>
      <x:c r="R10" s="1298" t="n">
        <x:f>Deployment_36M!R20*Inputs!C35*Inputs!C36/12</x:f>
        <x:v>116.66666666666667</x:v>
      </x:c>
      <x:c r="S10" s="1298" t="n">
        <x:f>Deployment_36M!S20*Inputs!C35*Inputs!C36/12</x:f>
        <x:v>116.66666666666667</x:v>
      </x:c>
      <x:c r="T10" s="1298" t="n">
        <x:f>Deployment_36M!T20*Inputs!C35*Inputs!C36/12</x:f>
        <x:v>116.66666666666667</x:v>
      </x:c>
      <x:c r="U10" s="1298" t="n">
        <x:f>Deployment_36M!U20*Inputs!C35*Inputs!C36/12</x:f>
        <x:v>116.66666666666667</x:v>
      </x:c>
      <x:c r="V10" s="1298" t="n">
        <x:f>Deployment_36M!V20*Inputs!C35*Inputs!C36/12</x:f>
        <x:v>116.66666666666667</x:v>
      </x:c>
      <x:c r="W10" s="1298" t="n">
        <x:f>Deployment_36M!W20*Inputs!C35*Inputs!C36/12</x:f>
        <x:v>116.66666666666667</x:v>
      </x:c>
      <x:c r="X10" s="1298" t="n">
        <x:f>Deployment_36M!X20*Inputs!C35*Inputs!C36/12</x:f>
        <x:v>116.66666666666667</x:v>
      </x:c>
      <x:c r="Y10" s="1298" t="n">
        <x:f>Deployment_36M!Y20*Inputs!C35*Inputs!C36/12</x:f>
        <x:v>116.66666666666667</x:v>
      </x:c>
      <x:c r="Z10" s="1298" t="n">
        <x:f>Deployment_36M!Z20*Inputs!C35*Inputs!C36/12</x:f>
        <x:v>116.66666666666667</x:v>
      </x:c>
      <x:c r="AA10" s="1298" t="n">
        <x:f>Deployment_36M!AA20*Inputs!C35*Inputs!C36/12</x:f>
        <x:v>116.66666666666667</x:v>
      </x:c>
      <x:c r="AB10" s="1298" t="n">
        <x:f>Deployment_36M!AB20*Inputs!C35*Inputs!C36/12</x:f>
        <x:v>116.66666666666667</x:v>
      </x:c>
      <x:c r="AC10" s="1298" t="n">
        <x:f>Deployment_36M!AC20*Inputs!C35*Inputs!C36/12</x:f>
        <x:v>116.66666666666667</x:v>
      </x:c>
      <x:c r="AD10" s="1298" t="n">
        <x:f>Deployment_36M!AD20*Inputs!C35*Inputs!C36/12</x:f>
        <x:v>116.66666666666667</x:v>
      </x:c>
      <x:c r="AE10" s="1298" t="n">
        <x:f>Deployment_36M!AE20*Inputs!C35*Inputs!C36/12</x:f>
        <x:v>116.66666666666667</x:v>
      </x:c>
      <x:c r="AF10" s="1298" t="n">
        <x:f>Deployment_36M!AF20*Inputs!C35*Inputs!C36/12</x:f>
        <x:v>116.66666666666667</x:v>
      </x:c>
      <x:c r="AG10" s="1298" t="n">
        <x:f>Deployment_36M!AG20*Inputs!C35*Inputs!C36/12</x:f>
        <x:v>116.66666666666667</x:v>
      </x:c>
      <x:c r="AH10" s="1298" t="n">
        <x:f>Deployment_36M!AH20*Inputs!C35*Inputs!C36/12</x:f>
        <x:v>116.66666666666667</x:v>
      </x:c>
      <x:c r="AI10" s="1298" t="n">
        <x:f>Deployment_36M!AI20*Inputs!C35*Inputs!C36/12</x:f>
        <x:v>116.66666666666667</x:v>
      </x:c>
      <x:c r="AJ10" s="1298" t="n">
        <x:f>Deployment_36M!AJ20*Inputs!C35*Inputs!C36/12</x:f>
        <x:v>116.66666666666667</x:v>
      </x:c>
      <x:c r="AK10" s="1298" t="n">
        <x:f>Deployment_36M!AK20*Inputs!C35*Inputs!C36/12</x:f>
        <x:v>116.66666666666667</x:v>
      </x:c>
      <x:c r="AL10" s="1298" t="n">
        <x:f>Deployment_36M!AL20*Inputs!C35*Inputs!C36/12</x:f>
        <x:v>116.66666666666667</x:v>
      </x:c>
      <x:c r="AM10" s="1299" t="n">
        <x:f>Deployment_36M!AM20*Inputs!C35*Inputs!C36/12</x:f>
        <x:v>116.66666666666667</x:v>
      </x:c>
    </x:row>
    <x:row r="11">
      <x:c r="A11" s="243" t="str">
        <x:v>Total energy cost</x:v>
      </x:c>
      <x:c r="B11" s="244" t="str">
        <x:v>ZAR'000</x:v>
      </x:c>
      <x:c r="C11" s="245" t="str">
        <x:v>Energy is the main operating cost</x:v>
      </x:c>
      <x:c r="D11" s="1297" t="n">
        <x:f>D8+D9+D10</x:f>
        <x:v>0</x:v>
      </x:c>
      <x:c r="E11" s="1298" t="n">
        <x:f>E8+E9+E10</x:f>
        <x:v>0</x:v>
      </x:c>
      <x:c r="F11" s="1298" t="n">
        <x:f>F8+F9+F10</x:f>
        <x:v>1617</x:v>
      </x:c>
      <x:c r="G11" s="1298" t="n">
        <x:f>G8+G9+G10</x:f>
        <x:v>5012.7</x:v>
      </x:c>
      <x:c r="H11" s="1298" t="n">
        <x:f>H8+H9+H10</x:f>
        <x:v>8143.333333333333</x:v>
      </x:c>
      <x:c r="I11" s="1298" t="n">
        <x:f>I8+I9+I10</x:f>
        <x:v>10962.326666666666</x:v>
      </x:c>
      <x:c r="J11" s="1298" t="n">
        <x:f>J8+J9+J10</x:f>
        <x:v>11782.586666666666</x:v>
      </x:c>
      <x:c r="K11" s="1298" t="n">
        <x:f>K8+K9+K10</x:f>
        <x:v>10653.626666666667</x:v>
      </x:c>
      <x:c r="L11" s="1298" t="n">
        <x:f>L8+L9+L10</x:f>
        <x:v>11782.586666666666</x:v>
      </x:c>
      <x:c r="M11" s="1298" t="n">
        <x:f>M8+M9+M10</x:f>
        <x:v>11406.266666666666</x:v>
      </x:c>
      <x:c r="N11" s="1298" t="n">
        <x:f>N8+N9+N10</x:f>
        <x:v>11782.586666666666</x:v>
      </x:c>
      <x:c r="O11" s="1298" t="n">
        <x:f>O8+O9+O10</x:f>
        <x:v>11406.266666666666</x:v>
      </x:c>
      <x:c r="P11" s="1298" t="n">
        <x:f>P8+P9+P10</x:f>
        <x:v>11190.176666666664</x:v>
      </x:c>
      <x:c r="Q11" s="1298" t="n">
        <x:f>Q8+Q9+Q10</x:f>
        <x:v>11190.176666666664</x:v>
      </x:c>
      <x:c r="R11" s="1298" t="n">
        <x:f>R8+R9+R10</x:f>
        <x:v>10832.966666666665</x:v>
      </x:c>
      <x:c r="S11" s="1298" t="n">
        <x:f>S8+S9+S10</x:f>
        <x:v>11190.176666666664</x:v>
      </x:c>
      <x:c r="T11" s="1298" t="n">
        <x:f>T8+T9+T10</x:f>
        <x:v>10832.966666666665</x:v>
      </x:c>
      <x:c r="U11" s="1298" t="n">
        <x:f>U8+U9+U10</x:f>
        <x:v>11190.176666666664</x:v>
      </x:c>
      <x:c r="V11" s="1298" t="n">
        <x:f>V8+V9+V10</x:f>
        <x:v>11190.176666666664</x:v>
      </x:c>
      <x:c r="W11" s="1298" t="n">
        <x:f>W8+W9+W10</x:f>
        <x:v>10475.756666666666</x:v>
      </x:c>
      <x:c r="X11" s="1298" t="n">
        <x:f>X8+X9+X10</x:f>
        <x:v>11190.176666666664</x:v>
      </x:c>
      <x:c r="Y11" s="1298" t="n">
        <x:f>Y8+Y9+Y10</x:f>
        <x:v>10832.966666666665</x:v>
      </x:c>
      <x:c r="Z11" s="1298" t="n">
        <x:f>Z8+Z9+Z10</x:f>
        <x:v>11190.176666666664</x:v>
      </x:c>
      <x:c r="AA11" s="1298" t="n">
        <x:f>AA8+AA9+AA10</x:f>
        <x:v>10832.966666666665</x:v>
      </x:c>
      <x:c r="AB11" s="1298" t="n">
        <x:f>AB8+AB9+AB10</x:f>
        <x:v>10597.766666666666</x:v>
      </x:c>
      <x:c r="AC11" s="1298" t="n">
        <x:f>AC8+AC9+AC10</x:f>
        <x:v>10597.766666666666</x:v>
      </x:c>
      <x:c r="AD11" s="1298" t="n">
        <x:f>AD8+AD9+AD10</x:f>
        <x:v>10259.666666666666</x:v>
      </x:c>
      <x:c r="AE11" s="1298" t="n">
        <x:f>AE8+AE9+AE10</x:f>
        <x:v>10597.766666666666</x:v>
      </x:c>
      <x:c r="AF11" s="1298" t="n">
        <x:f>AF8+AF9+AF10</x:f>
        <x:v>10259.666666666666</x:v>
      </x:c>
      <x:c r="AG11" s="1298" t="n">
        <x:f>AG8+AG9+AG10</x:f>
        <x:v>10597.766666666666</x:v>
      </x:c>
      <x:c r="AH11" s="1298" t="n">
        <x:f>AH8+AH9+AH10</x:f>
        <x:v>10597.766666666666</x:v>
      </x:c>
      <x:c r="AI11" s="1298" t="n">
        <x:f>AI8+AI9+AI10</x:f>
        <x:v>9583.466666666665</x:v>
      </x:c>
      <x:c r="AJ11" s="1298" t="n">
        <x:f>AJ8+AJ9+AJ10</x:f>
        <x:v>10597.766666666666</x:v>
      </x:c>
      <x:c r="AK11" s="1298" t="n">
        <x:f>AK8+AK9+AK10</x:f>
        <x:v>10259.666666666666</x:v>
      </x:c>
      <x:c r="AL11" s="1298" t="n">
        <x:f>AL8+AL9+AL10</x:f>
        <x:v>10597.766666666666</x:v>
      </x:c>
      <x:c r="AM11" s="1299" t="n">
        <x:f>AM8+AM9+AM10</x:f>
        <x:v>10259.666666666666</x:v>
      </x:c>
    </x:row>
    <x:row r="12">
      <x:c r="A12" s="147"/>
      <x:c r="B12" s="148"/>
      <x:c r="C12" s="149"/>
      <x:c r="D12" s="1309"/>
      <x:c r="E12" s="1310"/>
      <x:c r="F12" s="1310"/>
      <x:c r="G12" s="1310"/>
      <x:c r="H12" s="1310"/>
      <x:c r="I12" s="1310"/>
      <x:c r="J12" s="1310"/>
      <x:c r="K12" s="1310"/>
      <x:c r="L12" s="1310"/>
      <x:c r="M12" s="1310"/>
      <x:c r="N12" s="1310"/>
      <x:c r="O12" s="1310"/>
      <x:c r="P12" s="1310"/>
      <x:c r="Q12" s="1310"/>
      <x:c r="R12" s="1310"/>
      <x:c r="S12" s="1310"/>
      <x:c r="T12" s="1310"/>
      <x:c r="U12" s="1310"/>
      <x:c r="V12" s="1310"/>
      <x:c r="W12" s="1310"/>
      <x:c r="X12" s="1310"/>
      <x:c r="Y12" s="1310"/>
      <x:c r="Z12" s="1310"/>
      <x:c r="AA12" s="1310"/>
      <x:c r="AB12" s="1310"/>
      <x:c r="AC12" s="1310"/>
      <x:c r="AD12" s="1310"/>
      <x:c r="AE12" s="1310"/>
      <x:c r="AF12" s="1310"/>
      <x:c r="AG12" s="1310"/>
      <x:c r="AH12" s="1310"/>
      <x:c r="AI12" s="1310"/>
      <x:c r="AJ12" s="1310"/>
      <x:c r="AK12" s="1310"/>
      <x:c r="AL12" s="1310"/>
      <x:c r="AM12" s="1311"/>
    </x:row>
    <x:row r="13">
      <x:c r="A13" s="147"/>
      <x:c r="B13" s="148"/>
      <x:c r="C13" s="149"/>
      <x:c r="D13" s="1309"/>
      <x:c r="E13" s="1310"/>
      <x:c r="F13" s="1310"/>
      <x:c r="G13" s="1310"/>
      <x:c r="H13" s="1310"/>
      <x:c r="I13" s="1310"/>
      <x:c r="J13" s="1310"/>
      <x:c r="K13" s="1310"/>
      <x:c r="L13" s="1310"/>
      <x:c r="M13" s="1310"/>
      <x:c r="N13" s="1310"/>
      <x:c r="O13" s="1310"/>
      <x:c r="P13" s="1310"/>
      <x:c r="Q13" s="1310"/>
      <x:c r="R13" s="1310"/>
      <x:c r="S13" s="1310"/>
      <x:c r="T13" s="1310"/>
      <x:c r="U13" s="1310"/>
      <x:c r="V13" s="1310"/>
      <x:c r="W13" s="1310"/>
      <x:c r="X13" s="1310"/>
      <x:c r="Y13" s="1310"/>
      <x:c r="Z13" s="1310"/>
      <x:c r="AA13" s="1310"/>
      <x:c r="AB13" s="1310"/>
      <x:c r="AC13" s="1310"/>
      <x:c r="AD13" s="1310"/>
      <x:c r="AE13" s="1310"/>
      <x:c r="AF13" s="1310"/>
      <x:c r="AG13" s="1310"/>
      <x:c r="AH13" s="1310"/>
      <x:c r="AI13" s="1310"/>
      <x:c r="AJ13" s="1310"/>
      <x:c r="AK13" s="1310"/>
      <x:c r="AL13" s="1310"/>
      <x:c r="AM13" s="1311"/>
    </x:row>
    <x:row r="14">
      <x:c r="A14" s="147" t="str">
        <x:v>Corporate payroll</x:v>
      </x:c>
      <x:c r="B14" s="148" t="str">
        <x:v>ZAR'000</x:v>
      </x:c>
      <x:c r="C14" s="149" t="str">
        <x:v>Fixed corporate team</x:v>
      </x:c>
      <x:c r="D14" s="1285" t="n">
        <x:f>Inputs!C62*Inputs!C63*(1+Inputs!C18)^0/12</x:f>
        <x:v>333.3333333333333</x:v>
      </x:c>
      <x:c r="E14" s="1286" t="n">
        <x:f>Inputs!C62*Inputs!C63*(1+Inputs!C18)^0/12</x:f>
        <x:v>333.3333333333333</x:v>
      </x:c>
      <x:c r="F14" s="1286" t="n">
        <x:f>Inputs!C62*Inputs!C63*(1+Inputs!C18)^0/12</x:f>
        <x:v>333.3333333333333</x:v>
      </x:c>
      <x:c r="G14" s="1286" t="n">
        <x:f>Inputs!C62*Inputs!C63*(1+Inputs!C18)^0/12</x:f>
        <x:v>333.3333333333333</x:v>
      </x:c>
      <x:c r="H14" s="1286" t="n">
        <x:f>Inputs!C62*Inputs!C63*(1+Inputs!C18)^0/12</x:f>
        <x:v>333.3333333333333</x:v>
      </x:c>
      <x:c r="I14" s="1286" t="n">
        <x:f>Inputs!C62*Inputs!C63*(1+Inputs!C18)^0/12</x:f>
        <x:v>333.3333333333333</x:v>
      </x:c>
      <x:c r="J14" s="1286" t="n">
        <x:f>Inputs!C62*Inputs!C63*(1+Inputs!C18)^0/12</x:f>
        <x:v>333.3333333333333</x:v>
      </x:c>
      <x:c r="K14" s="1286" t="n">
        <x:f>Inputs!C62*Inputs!C63*(1+Inputs!C18)^0/12</x:f>
        <x:v>333.3333333333333</x:v>
      </x:c>
      <x:c r="L14" s="1286" t="n">
        <x:f>Inputs!C62*Inputs!C63*(1+Inputs!C18)^0/12</x:f>
        <x:v>333.3333333333333</x:v>
      </x:c>
      <x:c r="M14" s="1286" t="n">
        <x:f>Inputs!C62*Inputs!C63*(1+Inputs!C18)^0/12</x:f>
        <x:v>333.3333333333333</x:v>
      </x:c>
      <x:c r="N14" s="1286" t="n">
        <x:f>Inputs!C62*Inputs!C63*(1+Inputs!C18)^0/12</x:f>
        <x:v>333.3333333333333</x:v>
      </x:c>
      <x:c r="O14" s="1286" t="n">
        <x:f>Inputs!C62*Inputs!C63*(1+Inputs!C18)^0/12</x:f>
        <x:v>333.3333333333333</x:v>
      </x:c>
      <x:c r="P14" s="1286" t="n">
        <x:f>Inputs!C62*Inputs!C63*(1+Inputs!C18)^1/12</x:f>
        <x:v>350</x:v>
      </x:c>
      <x:c r="Q14" s="1286" t="n">
        <x:f>Inputs!C62*Inputs!C63*(1+Inputs!C18)^1/12</x:f>
        <x:v>350</x:v>
      </x:c>
      <x:c r="R14" s="1286" t="n">
        <x:f>Inputs!C62*Inputs!C63*(1+Inputs!C18)^1/12</x:f>
        <x:v>350</x:v>
      </x:c>
      <x:c r="S14" s="1286" t="n">
        <x:f>Inputs!C62*Inputs!C63*(1+Inputs!C18)^1/12</x:f>
        <x:v>350</x:v>
      </x:c>
      <x:c r="T14" s="1286" t="n">
        <x:f>Inputs!C62*Inputs!C63*(1+Inputs!C18)^1/12</x:f>
        <x:v>350</x:v>
      </x:c>
      <x:c r="U14" s="1286" t="n">
        <x:f>Inputs!C62*Inputs!C63*(1+Inputs!C18)^1/12</x:f>
        <x:v>350</x:v>
      </x:c>
      <x:c r="V14" s="1286" t="n">
        <x:f>Inputs!C62*Inputs!C63*(1+Inputs!C18)^1/12</x:f>
        <x:v>350</x:v>
      </x:c>
      <x:c r="W14" s="1286" t="n">
        <x:f>Inputs!C62*Inputs!C63*(1+Inputs!C18)^1/12</x:f>
        <x:v>350</x:v>
      </x:c>
      <x:c r="X14" s="1286" t="n">
        <x:f>Inputs!C62*Inputs!C63*(1+Inputs!C18)^1/12</x:f>
        <x:v>350</x:v>
      </x:c>
      <x:c r="Y14" s="1286" t="n">
        <x:f>Inputs!C62*Inputs!C63*(1+Inputs!C18)^1/12</x:f>
        <x:v>350</x:v>
      </x:c>
      <x:c r="Z14" s="1286" t="n">
        <x:f>Inputs!C62*Inputs!C63*(1+Inputs!C18)^1/12</x:f>
        <x:v>350</x:v>
      </x:c>
      <x:c r="AA14" s="1286" t="n">
        <x:f>Inputs!C62*Inputs!C63*(1+Inputs!C18)^1/12</x:f>
        <x:v>350</x:v>
      </x:c>
      <x:c r="AB14" s="1286" t="n">
        <x:f>Inputs!C62*Inputs!C63*(1+Inputs!C18)^2/12</x:f>
        <x:v>367.5</x:v>
      </x:c>
      <x:c r="AC14" s="1286" t="n">
        <x:f>Inputs!C62*Inputs!C63*(1+Inputs!C18)^2/12</x:f>
        <x:v>367.5</x:v>
      </x:c>
      <x:c r="AD14" s="1286" t="n">
        <x:f>Inputs!C62*Inputs!C63*(1+Inputs!C18)^2/12</x:f>
        <x:v>367.5</x:v>
      </x:c>
      <x:c r="AE14" s="1286" t="n">
        <x:f>Inputs!C62*Inputs!C63*(1+Inputs!C18)^2/12</x:f>
        <x:v>367.5</x:v>
      </x:c>
      <x:c r="AF14" s="1286" t="n">
        <x:f>Inputs!C62*Inputs!C63*(1+Inputs!C18)^2/12</x:f>
        <x:v>367.5</x:v>
      </x:c>
      <x:c r="AG14" s="1286" t="n">
        <x:f>Inputs!C62*Inputs!C63*(1+Inputs!C18)^2/12</x:f>
        <x:v>367.5</x:v>
      </x:c>
      <x:c r="AH14" s="1286" t="n">
        <x:f>Inputs!C62*Inputs!C63*(1+Inputs!C18)^2/12</x:f>
        <x:v>367.5</x:v>
      </x:c>
      <x:c r="AI14" s="1286" t="n">
        <x:f>Inputs!C62*Inputs!C63*(1+Inputs!C18)^2/12</x:f>
        <x:v>367.5</x:v>
      </x:c>
      <x:c r="AJ14" s="1286" t="n">
        <x:f>Inputs!C62*Inputs!C63*(1+Inputs!C18)^2/12</x:f>
        <x:v>367.5</x:v>
      </x:c>
      <x:c r="AK14" s="1286" t="n">
        <x:f>Inputs!C62*Inputs!C63*(1+Inputs!C18)^2/12</x:f>
        <x:v>367.5</x:v>
      </x:c>
      <x:c r="AL14" s="1286" t="n">
        <x:f>Inputs!C62*Inputs!C63*(1+Inputs!C18)^2/12</x:f>
        <x:v>367.5</x:v>
      </x:c>
      <x:c r="AM14" s="1287" t="n">
        <x:f>Inputs!C62*Inputs!C63*(1+Inputs!C18)^2/12</x:f>
        <x:v>367.5</x:v>
      </x:c>
    </x:row>
    <x:row r="15">
      <x:c r="A15" s="147" t="str">
        <x:v>Site management payroll</x:v>
      </x:c>
      <x:c r="B15" s="148" t="str">
        <x:v>ZAR'000</x:v>
      </x:c>
      <x:c r="C15" s="149" t="str">
        <x:v>2 FTE per active site</x:v>
      </x:c>
      <x:c r="D15" s="1285" t="n">
        <x:f>Deployment_36M!D32*Inputs!C64*Inputs!C65*(1+Inputs!C18)^0/12</x:f>
        <x:v>0</x:v>
      </x:c>
      <x:c r="E15" s="1286" t="n">
        <x:f>Deployment_36M!E32*Inputs!C64*Inputs!C65*(1+Inputs!C18)^0/12</x:f>
        <x:v>0</x:v>
      </x:c>
      <x:c r="F15" s="1286" t="n">
        <x:f>Deployment_36M!F32*Inputs!C64*Inputs!C65*(1+Inputs!C18)^0/12</x:f>
        <x:v>116.66666666666667</x:v>
      </x:c>
      <x:c r="G15" s="1286" t="n">
        <x:f>Deployment_36M!G32*Inputs!C64*Inputs!C65*(1+Inputs!C18)^0/12</x:f>
        <x:v>116.66666666666667</x:v>
      </x:c>
      <x:c r="H15" s="1286" t="n">
        <x:f>Deployment_36M!H32*Inputs!C64*Inputs!C65*(1+Inputs!C18)^0/12</x:f>
        <x:v>116.66666666666667</x:v>
      </x:c>
      <x:c r="I15" s="1286" t="n">
        <x:f>Deployment_36M!I32*Inputs!C64*Inputs!C65*(1+Inputs!C18)^0/12</x:f>
        <x:v>233.33333333333334</x:v>
      </x:c>
      <x:c r="J15" s="1286" t="n">
        <x:f>Deployment_36M!J32*Inputs!C64*Inputs!C65*(1+Inputs!C18)^0/12</x:f>
        <x:v>233.33333333333334</x:v>
      </x:c>
      <x:c r="K15" s="1286" t="n">
        <x:f>Deployment_36M!K32*Inputs!C64*Inputs!C65*(1+Inputs!C18)^0/12</x:f>
        <x:v>233.33333333333334</x:v>
      </x:c>
      <x:c r="L15" s="1286" t="n">
        <x:f>Deployment_36M!L32*Inputs!C64*Inputs!C65*(1+Inputs!C18)^0/12</x:f>
        <x:v>233.33333333333334</x:v>
      </x:c>
      <x:c r="M15" s="1286" t="n">
        <x:f>Deployment_36M!M32*Inputs!C64*Inputs!C65*(1+Inputs!C18)^0/12</x:f>
        <x:v>233.33333333333334</x:v>
      </x:c>
      <x:c r="N15" s="1286" t="n">
        <x:f>Deployment_36M!N32*Inputs!C64*Inputs!C65*(1+Inputs!C18)^0/12</x:f>
        <x:v>233.33333333333334</x:v>
      </x:c>
      <x:c r="O15" s="1286" t="n">
        <x:f>Deployment_36M!O32*Inputs!C64*Inputs!C65*(1+Inputs!C18)^0/12</x:f>
        <x:v>233.33333333333334</x:v>
      </x:c>
      <x:c r="P15" s="1286" t="n">
        <x:f>Deployment_36M!P32*Inputs!C64*Inputs!C65*(1+Inputs!C18)^1/12</x:f>
        <x:v>245</x:v>
      </x:c>
      <x:c r="Q15" s="1286" t="n">
        <x:f>Deployment_36M!Q32*Inputs!C64*Inputs!C65*(1+Inputs!C18)^1/12</x:f>
        <x:v>245</x:v>
      </x:c>
      <x:c r="R15" s="1286" t="n">
        <x:f>Deployment_36M!R32*Inputs!C64*Inputs!C65*(1+Inputs!C18)^1/12</x:f>
        <x:v>245</x:v>
      </x:c>
      <x:c r="S15" s="1286" t="n">
        <x:f>Deployment_36M!S32*Inputs!C64*Inputs!C65*(1+Inputs!C18)^1/12</x:f>
        <x:v>245</x:v>
      </x:c>
      <x:c r="T15" s="1286" t="n">
        <x:f>Deployment_36M!T32*Inputs!C64*Inputs!C65*(1+Inputs!C18)^1/12</x:f>
        <x:v>245</x:v>
      </x:c>
      <x:c r="U15" s="1286" t="n">
        <x:f>Deployment_36M!U32*Inputs!C64*Inputs!C65*(1+Inputs!C18)^1/12</x:f>
        <x:v>245</x:v>
      </x:c>
      <x:c r="V15" s="1286" t="n">
        <x:f>Deployment_36M!V32*Inputs!C64*Inputs!C65*(1+Inputs!C18)^1/12</x:f>
        <x:v>245</x:v>
      </x:c>
      <x:c r="W15" s="1286" t="n">
        <x:f>Deployment_36M!W32*Inputs!C64*Inputs!C65*(1+Inputs!C18)^1/12</x:f>
        <x:v>245</x:v>
      </x:c>
      <x:c r="X15" s="1286" t="n">
        <x:f>Deployment_36M!X32*Inputs!C64*Inputs!C65*(1+Inputs!C18)^1/12</x:f>
        <x:v>245</x:v>
      </x:c>
      <x:c r="Y15" s="1286" t="n">
        <x:f>Deployment_36M!Y32*Inputs!C64*Inputs!C65*(1+Inputs!C18)^1/12</x:f>
        <x:v>245</x:v>
      </x:c>
      <x:c r="Z15" s="1286" t="n">
        <x:f>Deployment_36M!Z32*Inputs!C64*Inputs!C65*(1+Inputs!C18)^1/12</x:f>
        <x:v>245</x:v>
      </x:c>
      <x:c r="AA15" s="1286" t="n">
        <x:f>Deployment_36M!AA32*Inputs!C64*Inputs!C65*(1+Inputs!C18)^1/12</x:f>
        <x:v>245</x:v>
      </x:c>
      <x:c r="AB15" s="1286" t="n">
        <x:f>Deployment_36M!AB32*Inputs!C64*Inputs!C65*(1+Inputs!C18)^2/12</x:f>
        <x:v>257.25</x:v>
      </x:c>
      <x:c r="AC15" s="1286" t="n">
        <x:f>Deployment_36M!AC32*Inputs!C64*Inputs!C65*(1+Inputs!C18)^2/12</x:f>
        <x:v>257.25</x:v>
      </x:c>
      <x:c r="AD15" s="1286" t="n">
        <x:f>Deployment_36M!AD32*Inputs!C64*Inputs!C65*(1+Inputs!C18)^2/12</x:f>
        <x:v>257.25</x:v>
      </x:c>
      <x:c r="AE15" s="1286" t="n">
        <x:f>Deployment_36M!AE32*Inputs!C64*Inputs!C65*(1+Inputs!C18)^2/12</x:f>
        <x:v>257.25</x:v>
      </x:c>
      <x:c r="AF15" s="1286" t="n">
        <x:f>Deployment_36M!AF32*Inputs!C64*Inputs!C65*(1+Inputs!C18)^2/12</x:f>
        <x:v>257.25</x:v>
      </x:c>
      <x:c r="AG15" s="1286" t="n">
        <x:f>Deployment_36M!AG32*Inputs!C64*Inputs!C65*(1+Inputs!C18)^2/12</x:f>
        <x:v>257.25</x:v>
      </x:c>
      <x:c r="AH15" s="1286" t="n">
        <x:f>Deployment_36M!AH32*Inputs!C64*Inputs!C65*(1+Inputs!C18)^2/12</x:f>
        <x:v>257.25</x:v>
      </x:c>
      <x:c r="AI15" s="1286" t="n">
        <x:f>Deployment_36M!AI32*Inputs!C64*Inputs!C65*(1+Inputs!C18)^2/12</x:f>
        <x:v>257.25</x:v>
      </x:c>
      <x:c r="AJ15" s="1286" t="n">
        <x:f>Deployment_36M!AJ32*Inputs!C64*Inputs!C65*(1+Inputs!C18)^2/12</x:f>
        <x:v>257.25</x:v>
      </x:c>
      <x:c r="AK15" s="1286" t="n">
        <x:f>Deployment_36M!AK32*Inputs!C64*Inputs!C65*(1+Inputs!C18)^2/12</x:f>
        <x:v>257.25</x:v>
      </x:c>
      <x:c r="AL15" s="1286" t="n">
        <x:f>Deployment_36M!AL32*Inputs!C64*Inputs!C65*(1+Inputs!C18)^2/12</x:f>
        <x:v>257.25</x:v>
      </x:c>
      <x:c r="AM15" s="1287" t="n">
        <x:f>Deployment_36M!AM32*Inputs!C64*Inputs!C65*(1+Inputs!C18)^2/12</x:f>
        <x:v>257.25</x:v>
      </x:c>
    </x:row>
    <x:row r="16">
      <x:c r="A16" s="147" t="str">
        <x:v>Technician payroll</x:v>
      </x:c>
      <x:c r="B16" s="148" t="str">
        <x:v>ZAR'000</x:v>
      </x:c>
      <x:c r="C16" s="149" t="str">
        <x:v>Variable with average MW</x:v>
      </x:c>
      <x:c r="D16" s="1285" t="n">
        <x:f>Deployment_36M!D21*Inputs!C66*Inputs!C67*(1+Inputs!C18)^0/12</x:f>
        <x:v>0</x:v>
      </x:c>
      <x:c r="E16" s="1286" t="n">
        <x:f>Deployment_36M!E21*Inputs!C66*Inputs!C67*(1+Inputs!C18)^0/12</x:f>
        <x:v>0</x:v>
      </x:c>
      <x:c r="F16" s="1286" t="n">
        <x:f>Deployment_36M!F21*Inputs!C66*Inputs!C67*(1+Inputs!C18)^0/12</x:f>
        <x:v>25.520833333333332</x:v>
      </x:c>
      <x:c r="G16" s="1286" t="n">
        <x:f>Deployment_36M!G21*Inputs!C66*Inputs!C67*(1+Inputs!C18)^0/12</x:f>
        <x:v>76.5625</x:v>
      </x:c>
      <x:c r="H16" s="1286" t="n">
        <x:f>Deployment_36M!H21*Inputs!C66*Inputs!C67*(1+Inputs!C18)^0/12</x:f>
        <x:v>127.60416666666667</x:v>
      </x:c>
      <x:c r="I16" s="1286" t="n">
        <x:f>Deployment_36M!I21*Inputs!C66*Inputs!C67*(1+Inputs!C18)^0/12</x:f>
        <x:v>178.64583333333334</x:v>
      </x:c>
      <x:c r="J16" s="1286" t="n">
        <x:f>Deployment_36M!J21*Inputs!C66*Inputs!C67*(1+Inputs!C18)^0/12</x:f>
        <x:v>204.16666666666666</x:v>
      </x:c>
      <x:c r="K16" s="1286" t="n">
        <x:f>Deployment_36M!K21*Inputs!C66*Inputs!C67*(1+Inputs!C18)^0/12</x:f>
        <x:v>204.16666666666666</x:v>
      </x:c>
      <x:c r="L16" s="1286" t="n">
        <x:f>Deployment_36M!L21*Inputs!C66*Inputs!C67*(1+Inputs!C18)^0/12</x:f>
        <x:v>204.16666666666666</x:v>
      </x:c>
      <x:c r="M16" s="1286" t="n">
        <x:f>Deployment_36M!M21*Inputs!C66*Inputs!C67*(1+Inputs!C18)^0/12</x:f>
        <x:v>204.16666666666666</x:v>
      </x:c>
      <x:c r="N16" s="1286" t="n">
        <x:f>Deployment_36M!N21*Inputs!C66*Inputs!C67*(1+Inputs!C18)^0/12</x:f>
        <x:v>204.16666666666666</x:v>
      </x:c>
      <x:c r="O16" s="1286" t="n">
        <x:f>Deployment_36M!O21*Inputs!C66*Inputs!C67*(1+Inputs!C18)^0/12</x:f>
        <x:v>204.16666666666666</x:v>
      </x:c>
      <x:c r="P16" s="1286" t="n">
        <x:f>Deployment_36M!P21*Inputs!C66*Inputs!C67*(1+Inputs!C18)^1/12</x:f>
        <x:v>214.375</x:v>
      </x:c>
      <x:c r="Q16" s="1286" t="n">
        <x:f>Deployment_36M!Q21*Inputs!C66*Inputs!C67*(1+Inputs!C18)^1/12</x:f>
        <x:v>214.375</x:v>
      </x:c>
      <x:c r="R16" s="1286" t="n">
        <x:f>Deployment_36M!R21*Inputs!C66*Inputs!C67*(1+Inputs!C18)^1/12</x:f>
        <x:v>214.375</x:v>
      </x:c>
      <x:c r="S16" s="1286" t="n">
        <x:f>Deployment_36M!S21*Inputs!C66*Inputs!C67*(1+Inputs!C18)^1/12</x:f>
        <x:v>214.375</x:v>
      </x:c>
      <x:c r="T16" s="1286" t="n">
        <x:f>Deployment_36M!T21*Inputs!C66*Inputs!C67*(1+Inputs!C18)^1/12</x:f>
        <x:v>214.375</x:v>
      </x:c>
      <x:c r="U16" s="1286" t="n">
        <x:f>Deployment_36M!U21*Inputs!C66*Inputs!C67*(1+Inputs!C18)^1/12</x:f>
        <x:v>214.375</x:v>
      </x:c>
      <x:c r="V16" s="1286" t="n">
        <x:f>Deployment_36M!V21*Inputs!C66*Inputs!C67*(1+Inputs!C18)^1/12</x:f>
        <x:v>214.375</x:v>
      </x:c>
      <x:c r="W16" s="1286" t="n">
        <x:f>Deployment_36M!W21*Inputs!C66*Inputs!C67*(1+Inputs!C18)^1/12</x:f>
        <x:v>214.375</x:v>
      </x:c>
      <x:c r="X16" s="1286" t="n">
        <x:f>Deployment_36M!X21*Inputs!C66*Inputs!C67*(1+Inputs!C18)^1/12</x:f>
        <x:v>214.375</x:v>
      </x:c>
      <x:c r="Y16" s="1286" t="n">
        <x:f>Deployment_36M!Y21*Inputs!C66*Inputs!C67*(1+Inputs!C18)^1/12</x:f>
        <x:v>214.375</x:v>
      </x:c>
      <x:c r="Z16" s="1286" t="n">
        <x:f>Deployment_36M!Z21*Inputs!C66*Inputs!C67*(1+Inputs!C18)^1/12</x:f>
        <x:v>214.375</x:v>
      </x:c>
      <x:c r="AA16" s="1286" t="n">
        <x:f>Deployment_36M!AA21*Inputs!C66*Inputs!C67*(1+Inputs!C18)^1/12</x:f>
        <x:v>214.375</x:v>
      </x:c>
      <x:c r="AB16" s="1286" t="n">
        <x:f>Deployment_36M!AB21*Inputs!C66*Inputs!C67*(1+Inputs!C18)^2/12</x:f>
        <x:v>225.09375</x:v>
      </x:c>
      <x:c r="AC16" s="1286" t="n">
        <x:f>Deployment_36M!AC21*Inputs!C66*Inputs!C67*(1+Inputs!C18)^2/12</x:f>
        <x:v>225.09375</x:v>
      </x:c>
      <x:c r="AD16" s="1286" t="n">
        <x:f>Deployment_36M!AD21*Inputs!C66*Inputs!C67*(1+Inputs!C18)^2/12</x:f>
        <x:v>225.09375</x:v>
      </x:c>
      <x:c r="AE16" s="1286" t="n">
        <x:f>Deployment_36M!AE21*Inputs!C66*Inputs!C67*(1+Inputs!C18)^2/12</x:f>
        <x:v>225.09375</x:v>
      </x:c>
      <x:c r="AF16" s="1286" t="n">
        <x:f>Deployment_36M!AF21*Inputs!C66*Inputs!C67*(1+Inputs!C18)^2/12</x:f>
        <x:v>225.09375</x:v>
      </x:c>
      <x:c r="AG16" s="1286" t="n">
        <x:f>Deployment_36M!AG21*Inputs!C66*Inputs!C67*(1+Inputs!C18)^2/12</x:f>
        <x:v>225.09375</x:v>
      </x:c>
      <x:c r="AH16" s="1286" t="n">
        <x:f>Deployment_36M!AH21*Inputs!C66*Inputs!C67*(1+Inputs!C18)^2/12</x:f>
        <x:v>225.09375</x:v>
      </x:c>
      <x:c r="AI16" s="1286" t="n">
        <x:f>Deployment_36M!AI21*Inputs!C66*Inputs!C67*(1+Inputs!C18)^2/12</x:f>
        <x:v>225.09375</x:v>
      </x:c>
      <x:c r="AJ16" s="1286" t="n">
        <x:f>Deployment_36M!AJ21*Inputs!C66*Inputs!C67*(1+Inputs!C18)^2/12</x:f>
        <x:v>225.09375</x:v>
      </x:c>
      <x:c r="AK16" s="1286" t="n">
        <x:f>Deployment_36M!AK21*Inputs!C66*Inputs!C67*(1+Inputs!C18)^2/12</x:f>
        <x:v>225.09375</x:v>
      </x:c>
      <x:c r="AL16" s="1286" t="n">
        <x:f>Deployment_36M!AL21*Inputs!C66*Inputs!C67*(1+Inputs!C18)^2/12</x:f>
        <x:v>225.09375</x:v>
      </x:c>
      <x:c r="AM16" s="1287" t="n">
        <x:f>Deployment_36M!AM21*Inputs!C66*Inputs!C67*(1+Inputs!C18)^2/12</x:f>
        <x:v>225.09375</x:v>
      </x:c>
    </x:row>
    <x:row r="17">
      <x:c r="A17" s="147" t="str">
        <x:v>Electrician payroll</x:v>
      </x:c>
      <x:c r="B17" s="148" t="str">
        <x:v>ZAR'000</x:v>
      </x:c>
      <x:c r="C17" s="149" t="str">
        <x:v>Variable with average MW</x:v>
      </x:c>
      <x:c r="D17" s="1285" t="n">
        <x:f>Deployment_36M!D21*Inputs!C68*Inputs!C69*(1+Inputs!C18)^0/12</x:f>
        <x:v>0</x:v>
      </x:c>
      <x:c r="E17" s="1286" t="n">
        <x:f>Deployment_36M!E21*Inputs!C68*Inputs!C69*(1+Inputs!C18)^0/12</x:f>
        <x:v>0</x:v>
      </x:c>
      <x:c r="F17" s="1286" t="n">
        <x:f>Deployment_36M!F21*Inputs!C68*Inputs!C69*(1+Inputs!C18)^0/12</x:f>
        <x:v>7.5</x:v>
      </x:c>
      <x:c r="G17" s="1286" t="n">
        <x:f>Deployment_36M!G21*Inputs!C68*Inputs!C69*(1+Inputs!C18)^0/12</x:f>
        <x:v>22.5</x:v>
      </x:c>
      <x:c r="H17" s="1286" t="n">
        <x:f>Deployment_36M!H21*Inputs!C68*Inputs!C69*(1+Inputs!C18)^0/12</x:f>
        <x:v>37.5</x:v>
      </x:c>
      <x:c r="I17" s="1286" t="n">
        <x:f>Deployment_36M!I21*Inputs!C68*Inputs!C69*(1+Inputs!C18)^0/12</x:f>
        <x:v>52.50000000000001</x:v>
      </x:c>
      <x:c r="J17" s="1286" t="n">
        <x:f>Deployment_36M!J21*Inputs!C68*Inputs!C69*(1+Inputs!C18)^0/12</x:f>
        <x:v>60</x:v>
      </x:c>
      <x:c r="K17" s="1286" t="n">
        <x:f>Deployment_36M!K21*Inputs!C68*Inputs!C69*(1+Inputs!C18)^0/12</x:f>
        <x:v>60</x:v>
      </x:c>
      <x:c r="L17" s="1286" t="n">
        <x:f>Deployment_36M!L21*Inputs!C68*Inputs!C69*(1+Inputs!C18)^0/12</x:f>
        <x:v>60</x:v>
      </x:c>
      <x:c r="M17" s="1286" t="n">
        <x:f>Deployment_36M!M21*Inputs!C68*Inputs!C69*(1+Inputs!C18)^0/12</x:f>
        <x:v>60</x:v>
      </x:c>
      <x:c r="N17" s="1286" t="n">
        <x:f>Deployment_36M!N21*Inputs!C68*Inputs!C69*(1+Inputs!C18)^0/12</x:f>
        <x:v>60</x:v>
      </x:c>
      <x:c r="O17" s="1286" t="n">
        <x:f>Deployment_36M!O21*Inputs!C68*Inputs!C69*(1+Inputs!C18)^0/12</x:f>
        <x:v>60</x:v>
      </x:c>
      <x:c r="P17" s="1286" t="n">
        <x:f>Deployment_36M!P21*Inputs!C68*Inputs!C69*(1+Inputs!C18)^1/12</x:f>
        <x:v>63</x:v>
      </x:c>
      <x:c r="Q17" s="1286" t="n">
        <x:f>Deployment_36M!Q21*Inputs!C68*Inputs!C69*(1+Inputs!C18)^1/12</x:f>
        <x:v>63</x:v>
      </x:c>
      <x:c r="R17" s="1286" t="n">
        <x:f>Deployment_36M!R21*Inputs!C68*Inputs!C69*(1+Inputs!C18)^1/12</x:f>
        <x:v>63</x:v>
      </x:c>
      <x:c r="S17" s="1286" t="n">
        <x:f>Deployment_36M!S21*Inputs!C68*Inputs!C69*(1+Inputs!C18)^1/12</x:f>
        <x:v>63</x:v>
      </x:c>
      <x:c r="T17" s="1286" t="n">
        <x:f>Deployment_36M!T21*Inputs!C68*Inputs!C69*(1+Inputs!C18)^1/12</x:f>
        <x:v>63</x:v>
      </x:c>
      <x:c r="U17" s="1286" t="n">
        <x:f>Deployment_36M!U21*Inputs!C68*Inputs!C69*(1+Inputs!C18)^1/12</x:f>
        <x:v>63</x:v>
      </x:c>
      <x:c r="V17" s="1286" t="n">
        <x:f>Deployment_36M!V21*Inputs!C68*Inputs!C69*(1+Inputs!C18)^1/12</x:f>
        <x:v>63</x:v>
      </x:c>
      <x:c r="W17" s="1286" t="n">
        <x:f>Deployment_36M!W21*Inputs!C68*Inputs!C69*(1+Inputs!C18)^1/12</x:f>
        <x:v>63</x:v>
      </x:c>
      <x:c r="X17" s="1286" t="n">
        <x:f>Deployment_36M!X21*Inputs!C68*Inputs!C69*(1+Inputs!C18)^1/12</x:f>
        <x:v>63</x:v>
      </x:c>
      <x:c r="Y17" s="1286" t="n">
        <x:f>Deployment_36M!Y21*Inputs!C68*Inputs!C69*(1+Inputs!C18)^1/12</x:f>
        <x:v>63</x:v>
      </x:c>
      <x:c r="Z17" s="1286" t="n">
        <x:f>Deployment_36M!Z21*Inputs!C68*Inputs!C69*(1+Inputs!C18)^1/12</x:f>
        <x:v>63</x:v>
      </x:c>
      <x:c r="AA17" s="1286" t="n">
        <x:f>Deployment_36M!AA21*Inputs!C68*Inputs!C69*(1+Inputs!C18)^1/12</x:f>
        <x:v>63</x:v>
      </x:c>
      <x:c r="AB17" s="1286" t="n">
        <x:f>Deployment_36M!AB21*Inputs!C68*Inputs!C69*(1+Inputs!C18)^2/12</x:f>
        <x:v>66.15</x:v>
      </x:c>
      <x:c r="AC17" s="1286" t="n">
        <x:f>Deployment_36M!AC21*Inputs!C68*Inputs!C69*(1+Inputs!C18)^2/12</x:f>
        <x:v>66.15</x:v>
      </x:c>
      <x:c r="AD17" s="1286" t="n">
        <x:f>Deployment_36M!AD21*Inputs!C68*Inputs!C69*(1+Inputs!C18)^2/12</x:f>
        <x:v>66.15</x:v>
      </x:c>
      <x:c r="AE17" s="1286" t="n">
        <x:f>Deployment_36M!AE21*Inputs!C68*Inputs!C69*(1+Inputs!C18)^2/12</x:f>
        <x:v>66.15</x:v>
      </x:c>
      <x:c r="AF17" s="1286" t="n">
        <x:f>Deployment_36M!AF21*Inputs!C68*Inputs!C69*(1+Inputs!C18)^2/12</x:f>
        <x:v>66.15</x:v>
      </x:c>
      <x:c r="AG17" s="1286" t="n">
        <x:f>Deployment_36M!AG21*Inputs!C68*Inputs!C69*(1+Inputs!C18)^2/12</x:f>
        <x:v>66.15</x:v>
      </x:c>
      <x:c r="AH17" s="1286" t="n">
        <x:f>Deployment_36M!AH21*Inputs!C68*Inputs!C69*(1+Inputs!C18)^2/12</x:f>
        <x:v>66.15</x:v>
      </x:c>
      <x:c r="AI17" s="1286" t="n">
        <x:f>Deployment_36M!AI21*Inputs!C68*Inputs!C69*(1+Inputs!C18)^2/12</x:f>
        <x:v>66.15</x:v>
      </x:c>
      <x:c r="AJ17" s="1286" t="n">
        <x:f>Deployment_36M!AJ21*Inputs!C68*Inputs!C69*(1+Inputs!C18)^2/12</x:f>
        <x:v>66.15</x:v>
      </x:c>
      <x:c r="AK17" s="1286" t="n">
        <x:f>Deployment_36M!AK21*Inputs!C68*Inputs!C69*(1+Inputs!C18)^2/12</x:f>
        <x:v>66.15</x:v>
      </x:c>
      <x:c r="AL17" s="1286" t="n">
        <x:f>Deployment_36M!AL21*Inputs!C68*Inputs!C69*(1+Inputs!C18)^2/12</x:f>
        <x:v>66.15</x:v>
      </x:c>
      <x:c r="AM17" s="1287" t="n">
        <x:f>Deployment_36M!AM21*Inputs!C68*Inputs!C69*(1+Inputs!C18)^2/12</x:f>
        <x:v>66.15</x:v>
      </x:c>
    </x:row>
    <x:row r="18">
      <x:c r="A18" s="147" t="str">
        <x:v>Gross payroll</x:v>
      </x:c>
      <x:c r="B18" s="148" t="str">
        <x:v>ZAR'000</x:v>
      </x:c>
      <x:c r="C18" s="149" t="str">
        <x:v>Sum of payroll lines</x:v>
      </x:c>
      <x:c r="D18" s="1285" t="n">
        <x:f>D14+D15+D16+D17</x:f>
        <x:v>333.3333333333333</x:v>
      </x:c>
      <x:c r="E18" s="1286" t="n">
        <x:f>E14+E15+E16+E17</x:f>
        <x:v>333.3333333333333</x:v>
      </x:c>
      <x:c r="F18" s="1286" t="n">
        <x:f>F14+F15+F16+F17</x:f>
        <x:v>483.0208333333333</x:v>
      </x:c>
      <x:c r="G18" s="1286" t="n">
        <x:f>G14+G15+G16+G17</x:f>
        <x:v>549.0625</x:v>
      </x:c>
      <x:c r="H18" s="1286" t="n">
        <x:f>H14+H15+H16+H17</x:f>
        <x:v>615.1041666666666</x:v>
      </x:c>
      <x:c r="I18" s="1286" t="n">
        <x:f>I14+I15+I16+I17</x:f>
        <x:v>797.8125</x:v>
      </x:c>
      <x:c r="J18" s="1286" t="n">
        <x:f>J14+J15+J16+J17</x:f>
        <x:v>830.8333333333333</x:v>
      </x:c>
      <x:c r="K18" s="1286" t="n">
        <x:f>K14+K15+K16+K17</x:f>
        <x:v>830.8333333333333</x:v>
      </x:c>
      <x:c r="L18" s="1286" t="n">
        <x:f>L14+L15+L16+L17</x:f>
        <x:v>830.8333333333333</x:v>
      </x:c>
      <x:c r="M18" s="1286" t="n">
        <x:f>M14+M15+M16+M17</x:f>
        <x:v>830.8333333333333</x:v>
      </x:c>
      <x:c r="N18" s="1286" t="n">
        <x:f>N14+N15+N16+N17</x:f>
        <x:v>830.8333333333333</x:v>
      </x:c>
      <x:c r="O18" s="1286" t="n">
        <x:f>O14+O15+O16+O17</x:f>
        <x:v>830.8333333333333</x:v>
      </x:c>
      <x:c r="P18" s="1286" t="n">
        <x:f>P14+P15+P16+P17</x:f>
        <x:v>872.375</x:v>
      </x:c>
      <x:c r="Q18" s="1286" t="n">
        <x:f>Q14+Q15+Q16+Q17</x:f>
        <x:v>872.375</x:v>
      </x:c>
      <x:c r="R18" s="1286" t="n">
        <x:f>R14+R15+R16+R17</x:f>
        <x:v>872.375</x:v>
      </x:c>
      <x:c r="S18" s="1286" t="n">
        <x:f>S14+S15+S16+S17</x:f>
        <x:v>872.375</x:v>
      </x:c>
      <x:c r="T18" s="1286" t="n">
        <x:f>T14+T15+T16+T17</x:f>
        <x:v>872.375</x:v>
      </x:c>
      <x:c r="U18" s="1286" t="n">
        <x:f>U14+U15+U16+U17</x:f>
        <x:v>872.375</x:v>
      </x:c>
      <x:c r="V18" s="1286" t="n">
        <x:f>V14+V15+V16+V17</x:f>
        <x:v>872.375</x:v>
      </x:c>
      <x:c r="W18" s="1286" t="n">
        <x:f>W14+W15+W16+W17</x:f>
        <x:v>872.375</x:v>
      </x:c>
      <x:c r="X18" s="1286" t="n">
        <x:f>X14+X15+X16+X17</x:f>
        <x:v>872.375</x:v>
      </x:c>
      <x:c r="Y18" s="1286" t="n">
        <x:f>Y14+Y15+Y16+Y17</x:f>
        <x:v>872.375</x:v>
      </x:c>
      <x:c r="Z18" s="1286" t="n">
        <x:f>Z14+Z15+Z16+Z17</x:f>
        <x:v>872.375</x:v>
      </x:c>
      <x:c r="AA18" s="1286" t="n">
        <x:f>AA14+AA15+AA16+AA17</x:f>
        <x:v>872.375</x:v>
      </x:c>
      <x:c r="AB18" s="1286" t="n">
        <x:f>AB14+AB15+AB16+AB17</x:f>
        <x:v>915.99375</x:v>
      </x:c>
      <x:c r="AC18" s="1286" t="n">
        <x:f>AC14+AC15+AC16+AC17</x:f>
        <x:v>915.99375</x:v>
      </x:c>
      <x:c r="AD18" s="1286" t="n">
        <x:f>AD14+AD15+AD16+AD17</x:f>
        <x:v>915.99375</x:v>
      </x:c>
      <x:c r="AE18" s="1286" t="n">
        <x:f>AE14+AE15+AE16+AE17</x:f>
        <x:v>915.99375</x:v>
      </x:c>
      <x:c r="AF18" s="1286" t="n">
        <x:f>AF14+AF15+AF16+AF17</x:f>
        <x:v>915.99375</x:v>
      </x:c>
      <x:c r="AG18" s="1286" t="n">
        <x:f>AG14+AG15+AG16+AG17</x:f>
        <x:v>915.99375</x:v>
      </x:c>
      <x:c r="AH18" s="1286" t="n">
        <x:f>AH14+AH15+AH16+AH17</x:f>
        <x:v>915.99375</x:v>
      </x:c>
      <x:c r="AI18" s="1286" t="n">
        <x:f>AI14+AI15+AI16+AI17</x:f>
        <x:v>915.99375</x:v>
      </x:c>
      <x:c r="AJ18" s="1286" t="n">
        <x:f>AJ14+AJ15+AJ16+AJ17</x:f>
        <x:v>915.99375</x:v>
      </x:c>
      <x:c r="AK18" s="1286" t="n">
        <x:f>AK14+AK15+AK16+AK17</x:f>
        <x:v>915.99375</x:v>
      </x:c>
      <x:c r="AL18" s="1286" t="n">
        <x:f>AL14+AL15+AL16+AL17</x:f>
        <x:v>915.99375</x:v>
      </x:c>
      <x:c r="AM18" s="1287" t="n">
        <x:f>AM14+AM15+AM16+AM17</x:f>
        <x:v>915.99375</x:v>
      </x:c>
    </x:row>
    <x:row r="19">
      <x:c r="A19" s="147" t="str">
        <x:v>Benefits</x:v>
      </x:c>
      <x:c r="B19" s="148" t="str">
        <x:v>ZAR'000</x:v>
      </x:c>
      <x:c r="C19" s="149" t="str">
        <x:v>Benefits load on gross payroll</x:v>
      </x:c>
      <x:c r="D19" s="1285" t="n">
        <x:f>D18*Inputs!C70</x:f>
        <x:v>66.66666666666667</x:v>
      </x:c>
      <x:c r="E19" s="1286" t="n">
        <x:f>E18*Inputs!C70</x:f>
        <x:v>66.66666666666667</x:v>
      </x:c>
      <x:c r="F19" s="1286" t="n">
        <x:f>F18*Inputs!C70</x:f>
        <x:v>96.60416666666667</x:v>
      </x:c>
      <x:c r="G19" s="1286" t="n">
        <x:f>G18*Inputs!C70</x:f>
        <x:v>109.8125</x:v>
      </x:c>
      <x:c r="H19" s="1286" t="n">
        <x:f>H18*Inputs!C70</x:f>
        <x:v>123.02083333333333</x:v>
      </x:c>
      <x:c r="I19" s="1286" t="n">
        <x:f>I18*Inputs!C70</x:f>
        <x:v>159.5625</x:v>
      </x:c>
      <x:c r="J19" s="1286" t="n">
        <x:f>J18*Inputs!C70</x:f>
        <x:v>166.16666666666666</x:v>
      </x:c>
      <x:c r="K19" s="1286" t="n">
        <x:f>K18*Inputs!C70</x:f>
        <x:v>166.16666666666666</x:v>
      </x:c>
      <x:c r="L19" s="1286" t="n">
        <x:f>L18*Inputs!C70</x:f>
        <x:v>166.16666666666666</x:v>
      </x:c>
      <x:c r="M19" s="1286" t="n">
        <x:f>M18*Inputs!C70</x:f>
        <x:v>166.16666666666666</x:v>
      </x:c>
      <x:c r="N19" s="1286" t="n">
        <x:f>N18*Inputs!C70</x:f>
        <x:v>166.16666666666666</x:v>
      </x:c>
      <x:c r="O19" s="1286" t="n">
        <x:f>O18*Inputs!C70</x:f>
        <x:v>166.16666666666666</x:v>
      </x:c>
      <x:c r="P19" s="1286" t="n">
        <x:f>P18*Inputs!C70</x:f>
        <x:v>174.47500000000002</x:v>
      </x:c>
      <x:c r="Q19" s="1286" t="n">
        <x:f>Q18*Inputs!C70</x:f>
        <x:v>174.47500000000002</x:v>
      </x:c>
      <x:c r="R19" s="1286" t="n">
        <x:f>R18*Inputs!C70</x:f>
        <x:v>174.47500000000002</x:v>
      </x:c>
      <x:c r="S19" s="1286" t="n">
        <x:f>S18*Inputs!C70</x:f>
        <x:v>174.47500000000002</x:v>
      </x:c>
      <x:c r="T19" s="1286" t="n">
        <x:f>T18*Inputs!C70</x:f>
        <x:v>174.47500000000002</x:v>
      </x:c>
      <x:c r="U19" s="1286" t="n">
        <x:f>U18*Inputs!C70</x:f>
        <x:v>174.47500000000002</x:v>
      </x:c>
      <x:c r="V19" s="1286" t="n">
        <x:f>V18*Inputs!C70</x:f>
        <x:v>174.47500000000002</x:v>
      </x:c>
      <x:c r="W19" s="1286" t="n">
        <x:f>W18*Inputs!C70</x:f>
        <x:v>174.47500000000002</x:v>
      </x:c>
      <x:c r="X19" s="1286" t="n">
        <x:f>X18*Inputs!C70</x:f>
        <x:v>174.47500000000002</x:v>
      </x:c>
      <x:c r="Y19" s="1286" t="n">
        <x:f>Y18*Inputs!C70</x:f>
        <x:v>174.47500000000002</x:v>
      </x:c>
      <x:c r="Z19" s="1286" t="n">
        <x:f>Z18*Inputs!C70</x:f>
        <x:v>174.47500000000002</x:v>
      </x:c>
      <x:c r="AA19" s="1286" t="n">
        <x:f>AA18*Inputs!C70</x:f>
        <x:v>174.47500000000002</x:v>
      </x:c>
      <x:c r="AB19" s="1286" t="n">
        <x:f>AB18*Inputs!C70</x:f>
        <x:v>183.19875000000002</x:v>
      </x:c>
      <x:c r="AC19" s="1286" t="n">
        <x:f>AC18*Inputs!C70</x:f>
        <x:v>183.19875000000002</x:v>
      </x:c>
      <x:c r="AD19" s="1286" t="n">
        <x:f>AD18*Inputs!C70</x:f>
        <x:v>183.19875000000002</x:v>
      </x:c>
      <x:c r="AE19" s="1286" t="n">
        <x:f>AE18*Inputs!C70</x:f>
        <x:v>183.19875000000002</x:v>
      </x:c>
      <x:c r="AF19" s="1286" t="n">
        <x:f>AF18*Inputs!C70</x:f>
        <x:v>183.19875000000002</x:v>
      </x:c>
      <x:c r="AG19" s="1286" t="n">
        <x:f>AG18*Inputs!C70</x:f>
        <x:v>183.19875000000002</x:v>
      </x:c>
      <x:c r="AH19" s="1286" t="n">
        <x:f>AH18*Inputs!C70</x:f>
        <x:v>183.19875000000002</x:v>
      </x:c>
      <x:c r="AI19" s="1286" t="n">
        <x:f>AI18*Inputs!C70</x:f>
        <x:v>183.19875000000002</x:v>
      </x:c>
      <x:c r="AJ19" s="1286" t="n">
        <x:f>AJ18*Inputs!C70</x:f>
        <x:v>183.19875000000002</x:v>
      </x:c>
      <x:c r="AK19" s="1286" t="n">
        <x:f>AK18*Inputs!C70</x:f>
        <x:v>183.19875000000002</x:v>
      </x:c>
      <x:c r="AL19" s="1286" t="n">
        <x:f>AL18*Inputs!C70</x:f>
        <x:v>183.19875000000002</x:v>
      </x:c>
      <x:c r="AM19" s="1287" t="n">
        <x:f>AM18*Inputs!C70</x:f>
        <x:v>183.19875000000002</x:v>
      </x:c>
    </x:row>
    <x:row r="20">
      <x:c r="A20" s="243" t="str">
        <x:v>Salaries &amp; benefits</x:v>
      </x:c>
      <x:c r="B20" s="244" t="str">
        <x:v>ZAR'000</x:v>
      </x:c>
      <x:c r="C20" s="245" t="str">
        <x:v>Gross payroll + benefits</x:v>
      </x:c>
      <x:c r="D20" s="1297" t="n">
        <x:f>D18+D19</x:f>
        <x:v>400</x:v>
      </x:c>
      <x:c r="E20" s="1298" t="n">
        <x:f>E18+E19</x:f>
        <x:v>400</x:v>
      </x:c>
      <x:c r="F20" s="1298" t="n">
        <x:f>F18+F19</x:f>
        <x:v>579.625</x:v>
      </x:c>
      <x:c r="G20" s="1298" t="n">
        <x:f>G18+G19</x:f>
        <x:v>658.875</x:v>
      </x:c>
      <x:c r="H20" s="1298" t="n">
        <x:f>H18+H19</x:f>
        <x:v>738.125</x:v>
      </x:c>
      <x:c r="I20" s="1298" t="n">
        <x:f>I18+I19</x:f>
        <x:v>957.375</x:v>
      </x:c>
      <x:c r="J20" s="1298" t="n">
        <x:f>J18+J19</x:f>
        <x:v>996.9999999999999</x:v>
      </x:c>
      <x:c r="K20" s="1298" t="n">
        <x:f>K18+K19</x:f>
        <x:v>996.9999999999999</x:v>
      </x:c>
      <x:c r="L20" s="1298" t="n">
        <x:f>L18+L19</x:f>
        <x:v>996.9999999999999</x:v>
      </x:c>
      <x:c r="M20" s="1298" t="n">
        <x:f>M18+M19</x:f>
        <x:v>996.9999999999999</x:v>
      </x:c>
      <x:c r="N20" s="1298" t="n">
        <x:f>N18+N19</x:f>
        <x:v>996.9999999999999</x:v>
      </x:c>
      <x:c r="O20" s="1298" t="n">
        <x:f>O18+O19</x:f>
        <x:v>996.9999999999999</x:v>
      </x:c>
      <x:c r="P20" s="1298" t="n">
        <x:f>P18+P19</x:f>
        <x:v>1046.85</x:v>
      </x:c>
      <x:c r="Q20" s="1298" t="n">
        <x:f>Q18+Q19</x:f>
        <x:v>1046.85</x:v>
      </x:c>
      <x:c r="R20" s="1298" t="n">
        <x:f>R18+R19</x:f>
        <x:v>1046.85</x:v>
      </x:c>
      <x:c r="S20" s="1298" t="n">
        <x:f>S18+S19</x:f>
        <x:v>1046.85</x:v>
      </x:c>
      <x:c r="T20" s="1298" t="n">
        <x:f>T18+T19</x:f>
        <x:v>1046.85</x:v>
      </x:c>
      <x:c r="U20" s="1298" t="n">
        <x:f>U18+U19</x:f>
        <x:v>1046.85</x:v>
      </x:c>
      <x:c r="V20" s="1298" t="n">
        <x:f>V18+V19</x:f>
        <x:v>1046.85</x:v>
      </x:c>
      <x:c r="W20" s="1298" t="n">
        <x:f>W18+W19</x:f>
        <x:v>1046.85</x:v>
      </x:c>
      <x:c r="X20" s="1298" t="n">
        <x:f>X18+X19</x:f>
        <x:v>1046.85</x:v>
      </x:c>
      <x:c r="Y20" s="1298" t="n">
        <x:f>Y18+Y19</x:f>
        <x:v>1046.85</x:v>
      </x:c>
      <x:c r="Z20" s="1298" t="n">
        <x:f>Z18+Z19</x:f>
        <x:v>1046.85</x:v>
      </x:c>
      <x:c r="AA20" s="1298" t="n">
        <x:f>AA18+AA19</x:f>
        <x:v>1046.85</x:v>
      </x:c>
      <x:c r="AB20" s="1298" t="n">
        <x:f>AB18+AB19</x:f>
        <x:v>1099.1925</x:v>
      </x:c>
      <x:c r="AC20" s="1298" t="n">
        <x:f>AC18+AC19</x:f>
        <x:v>1099.1925</x:v>
      </x:c>
      <x:c r="AD20" s="1298" t="n">
        <x:f>AD18+AD19</x:f>
        <x:v>1099.1925</x:v>
      </x:c>
      <x:c r="AE20" s="1298" t="n">
        <x:f>AE18+AE19</x:f>
        <x:v>1099.1925</x:v>
      </x:c>
      <x:c r="AF20" s="1298" t="n">
        <x:f>AF18+AF19</x:f>
        <x:v>1099.1925</x:v>
      </x:c>
      <x:c r="AG20" s="1298" t="n">
        <x:f>AG18+AG19</x:f>
        <x:v>1099.1925</x:v>
      </x:c>
      <x:c r="AH20" s="1298" t="n">
        <x:f>AH18+AH19</x:f>
        <x:v>1099.1925</x:v>
      </x:c>
      <x:c r="AI20" s="1298" t="n">
        <x:f>AI18+AI19</x:f>
        <x:v>1099.1925</x:v>
      </x:c>
      <x:c r="AJ20" s="1298" t="n">
        <x:f>AJ18+AJ19</x:f>
        <x:v>1099.1925</x:v>
      </x:c>
      <x:c r="AK20" s="1298" t="n">
        <x:f>AK18+AK19</x:f>
        <x:v>1099.1925</x:v>
      </x:c>
      <x:c r="AL20" s="1298" t="n">
        <x:f>AL18+AL19</x:f>
        <x:v>1099.1925</x:v>
      </x:c>
      <x:c r="AM20" s="1299" t="n">
        <x:f>AM18+AM19</x:f>
        <x:v>1099.1925</x:v>
      </x:c>
    </x:row>
    <x:row r="21">
      <x:c r="A21" s="147" t="str">
        <x:v>Travel / accommodation</x:v>
      </x:c>
      <x:c r="B21" s="148" t="str">
        <x:v>ZAR'000</x:v>
      </x:c>
      <x:c r="C21" s="149" t="str">
        <x:v>Recurring % plus site-start mobilization</x:v>
      </x:c>
      <x:c r="D21" s="1285" t="n">
        <x:f>D18*Inputs!C71+Deployment_36M!D37*Inputs!C72</x:f>
        <x:v>19.999999999999996</x:v>
      </x:c>
      <x:c r="E21" s="1286" t="n">
        <x:f>E18*Inputs!C71+Deployment_36M!E37*Inputs!C72</x:f>
        <x:v>19.999999999999996</x:v>
      </x:c>
      <x:c r="F21" s="1286" t="n">
        <x:f>F18*Inputs!C71+Deployment_36M!F37*Inputs!C72</x:f>
        <x:v>278.98125</x:v>
      </x:c>
      <x:c r="G21" s="1286" t="n">
        <x:f>G18*Inputs!C71+Deployment_36M!G37*Inputs!C72</x:f>
        <x:v>32.94375</x:v>
      </x:c>
      <x:c r="H21" s="1286" t="n">
        <x:f>H18*Inputs!C71+Deployment_36M!H37*Inputs!C72</x:f>
        <x:v>36.90624999999999</x:v>
      </x:c>
      <x:c r="I21" s="1286" t="n">
        <x:f>I18*Inputs!C71+Deployment_36M!I37*Inputs!C72</x:f>
        <x:v>297.86875</x:v>
      </x:c>
      <x:c r="J21" s="1286" t="n">
        <x:f>J18*Inputs!C71+Deployment_36M!J37*Inputs!C72</x:f>
        <x:v>49.849999999999994</x:v>
      </x:c>
      <x:c r="K21" s="1286" t="n">
        <x:f>K18*Inputs!C71+Deployment_36M!K37*Inputs!C72</x:f>
        <x:v>49.849999999999994</x:v>
      </x:c>
      <x:c r="L21" s="1286" t="n">
        <x:f>L18*Inputs!C71+Deployment_36M!L37*Inputs!C72</x:f>
        <x:v>49.849999999999994</x:v>
      </x:c>
      <x:c r="M21" s="1286" t="n">
        <x:f>M18*Inputs!C71+Deployment_36M!M37*Inputs!C72</x:f>
        <x:v>49.849999999999994</x:v>
      </x:c>
      <x:c r="N21" s="1286" t="n">
        <x:f>N18*Inputs!C71+Deployment_36M!N37*Inputs!C72</x:f>
        <x:v>49.849999999999994</x:v>
      </x:c>
      <x:c r="O21" s="1286" t="n">
        <x:f>O18*Inputs!C71+Deployment_36M!O37*Inputs!C72</x:f>
        <x:v>49.849999999999994</x:v>
      </x:c>
      <x:c r="P21" s="1286" t="n">
        <x:f>P18*Inputs!C71+Deployment_36M!P37*Inputs!C72</x:f>
        <x:v>52.3425</x:v>
      </x:c>
      <x:c r="Q21" s="1286" t="n">
        <x:f>Q18*Inputs!C71+Deployment_36M!Q37*Inputs!C72</x:f>
        <x:v>52.3425</x:v>
      </x:c>
      <x:c r="R21" s="1286" t="n">
        <x:f>R18*Inputs!C71+Deployment_36M!R37*Inputs!C72</x:f>
        <x:v>52.3425</x:v>
      </x:c>
      <x:c r="S21" s="1286" t="n">
        <x:f>S18*Inputs!C71+Deployment_36M!S37*Inputs!C72</x:f>
        <x:v>52.3425</x:v>
      </x:c>
      <x:c r="T21" s="1286" t="n">
        <x:f>T18*Inputs!C71+Deployment_36M!T37*Inputs!C72</x:f>
        <x:v>52.3425</x:v>
      </x:c>
      <x:c r="U21" s="1286" t="n">
        <x:f>U18*Inputs!C71+Deployment_36M!U37*Inputs!C72</x:f>
        <x:v>52.3425</x:v>
      </x:c>
      <x:c r="V21" s="1286" t="n">
        <x:f>V18*Inputs!C71+Deployment_36M!V37*Inputs!C72</x:f>
        <x:v>52.3425</x:v>
      </x:c>
      <x:c r="W21" s="1286" t="n">
        <x:f>W18*Inputs!C71+Deployment_36M!W37*Inputs!C72</x:f>
        <x:v>52.3425</x:v>
      </x:c>
      <x:c r="X21" s="1286" t="n">
        <x:f>X18*Inputs!C71+Deployment_36M!X37*Inputs!C72</x:f>
        <x:v>52.3425</x:v>
      </x:c>
      <x:c r="Y21" s="1286" t="n">
        <x:f>Y18*Inputs!C71+Deployment_36M!Y37*Inputs!C72</x:f>
        <x:v>52.3425</x:v>
      </x:c>
      <x:c r="Z21" s="1286" t="n">
        <x:f>Z18*Inputs!C71+Deployment_36M!Z37*Inputs!C72</x:f>
        <x:v>52.3425</x:v>
      </x:c>
      <x:c r="AA21" s="1286" t="n">
        <x:f>AA18*Inputs!C71+Deployment_36M!AA37*Inputs!C72</x:f>
        <x:v>52.3425</x:v>
      </x:c>
      <x:c r="AB21" s="1286" t="n">
        <x:f>AB18*Inputs!C71+Deployment_36M!AB37*Inputs!C72</x:f>
        <x:v>54.959624999999996</x:v>
      </x:c>
      <x:c r="AC21" s="1286" t="n">
        <x:f>AC18*Inputs!C71+Deployment_36M!AC37*Inputs!C72</x:f>
        <x:v>54.959624999999996</x:v>
      </x:c>
      <x:c r="AD21" s="1286" t="n">
        <x:f>AD18*Inputs!C71+Deployment_36M!AD37*Inputs!C72</x:f>
        <x:v>54.959624999999996</x:v>
      </x:c>
      <x:c r="AE21" s="1286" t="n">
        <x:f>AE18*Inputs!C71+Deployment_36M!AE37*Inputs!C72</x:f>
        <x:v>54.959624999999996</x:v>
      </x:c>
      <x:c r="AF21" s="1286" t="n">
        <x:f>AF18*Inputs!C71+Deployment_36M!AF37*Inputs!C72</x:f>
        <x:v>54.959624999999996</x:v>
      </x:c>
      <x:c r="AG21" s="1286" t="n">
        <x:f>AG18*Inputs!C71+Deployment_36M!AG37*Inputs!C72</x:f>
        <x:v>54.959624999999996</x:v>
      </x:c>
      <x:c r="AH21" s="1286" t="n">
        <x:f>AH18*Inputs!C71+Deployment_36M!AH37*Inputs!C72</x:f>
        <x:v>54.959624999999996</x:v>
      </x:c>
      <x:c r="AI21" s="1286" t="n">
        <x:f>AI18*Inputs!C71+Deployment_36M!AI37*Inputs!C72</x:f>
        <x:v>54.959624999999996</x:v>
      </x:c>
      <x:c r="AJ21" s="1286" t="n">
        <x:f>AJ18*Inputs!C71+Deployment_36M!AJ37*Inputs!C72</x:f>
        <x:v>54.959624999999996</x:v>
      </x:c>
      <x:c r="AK21" s="1286" t="n">
        <x:f>AK18*Inputs!C71+Deployment_36M!AK37*Inputs!C72</x:f>
        <x:v>54.959624999999996</x:v>
      </x:c>
      <x:c r="AL21" s="1286" t="n">
        <x:f>AL18*Inputs!C71+Deployment_36M!AL37*Inputs!C72</x:f>
        <x:v>54.959624999999996</x:v>
      </x:c>
      <x:c r="AM21" s="1287" t="n">
        <x:f>AM18*Inputs!C71+Deployment_36M!AM37*Inputs!C72</x:f>
        <x:v>54.959624999999996</x:v>
      </x:c>
    </x:row>
    <x:row r="22">
      <x:c r="A22" s="147" t="str">
        <x:v>Software / storage / monitoring</x:v>
      </x:c>
      <x:c r="B22" s="148" t="str">
        <x:v>ZAR'000</x:v>
      </x:c>
      <x:c r="C22" s="149" t="str">
        <x:v>SaaS + site monitoring + cloud</x:v>
      </x:c>
      <x:c r="D22" s="1285" t="n">
        <x:f>((Inputs!C62+Deployment_36M!D56)*Inputs!C73+Deployment_36M!D32*Inputs!C74+Inputs!C75)*(1+Inputs!C17)^0</x:f>
        <x:v>18</x:v>
      </x:c>
      <x:c r="E22" s="1286" t="n">
        <x:f>((Inputs!C62+Deployment_36M!E56)*Inputs!C73+Deployment_36M!E32*Inputs!C74+Inputs!C75)*(1+Inputs!C17)^0</x:f>
        <x:v>18</x:v>
      </x:c>
      <x:c r="F22" s="1286" t="n">
        <x:f>((Inputs!C62+Deployment_36M!F56)*Inputs!C73+Deployment_36M!F32*Inputs!C74+Inputs!C75)*(1+Inputs!C17)^0</x:f>
        <x:v>72.525</x:v>
      </x:c>
      <x:c r="G22" s="1286" t="n">
        <x:f>((Inputs!C62+Deployment_36M!G56)*Inputs!C73+Deployment_36M!G32*Inputs!C74+Inputs!C75)*(1+Inputs!C17)^0</x:f>
        <x:v>80.05000000000001</x:v>
      </x:c>
      <x:c r="H22" s="1286" t="n">
        <x:f>((Inputs!C62+Deployment_36M!H56)*Inputs!C73+Deployment_36M!H32*Inputs!C74+Inputs!C75)*(1+Inputs!C17)^0</x:f>
        <x:v>87.575</x:v>
      </x:c>
      <x:c r="I22" s="1286" t="n">
        <x:f>((Inputs!C62+Deployment_36M!I56)*Inputs!C73+Deployment_36M!I32*Inputs!C74+Inputs!C75)*(1+Inputs!C17)^0</x:f>
        <x:v>142.10000000000002</x:v>
      </x:c>
      <x:c r="J22" s="1286" t="n">
        <x:f>((Inputs!C62+Deployment_36M!J56)*Inputs!C73+Deployment_36M!J32*Inputs!C74+Inputs!C75)*(1+Inputs!C17)^0</x:f>
        <x:v>142.10000000000002</x:v>
      </x:c>
      <x:c r="K22" s="1286" t="n">
        <x:f>((Inputs!C62+Deployment_36M!K56)*Inputs!C73+Deployment_36M!K32*Inputs!C74+Inputs!C75)*(1+Inputs!C17)^0</x:f>
        <x:v>142.10000000000002</x:v>
      </x:c>
      <x:c r="L22" s="1286" t="n">
        <x:f>((Inputs!C62+Deployment_36M!L56)*Inputs!C73+Deployment_36M!L32*Inputs!C74+Inputs!C75)*(1+Inputs!C17)^0</x:f>
        <x:v>142.10000000000002</x:v>
      </x:c>
      <x:c r="M22" s="1286" t="n">
        <x:f>((Inputs!C62+Deployment_36M!M56)*Inputs!C73+Deployment_36M!M32*Inputs!C74+Inputs!C75)*(1+Inputs!C17)^0</x:f>
        <x:v>142.10000000000002</x:v>
      </x:c>
      <x:c r="N22" s="1286" t="n">
        <x:f>((Inputs!C62+Deployment_36M!N56)*Inputs!C73+Deployment_36M!N32*Inputs!C74+Inputs!C75)*(1+Inputs!C17)^0</x:f>
        <x:v>142.10000000000002</x:v>
      </x:c>
      <x:c r="O22" s="1286" t="n">
        <x:f>((Inputs!C62+Deployment_36M!O56)*Inputs!C73+Deployment_36M!O32*Inputs!C74+Inputs!C75)*(1+Inputs!C17)^0</x:f>
        <x:v>142.10000000000002</x:v>
      </x:c>
      <x:c r="P22" s="1286" t="n">
        <x:f>((Inputs!C62+Deployment_36M!P56)*Inputs!C73+Deployment_36M!P32*Inputs!C74+Inputs!C75)*(1+Inputs!C17)^1</x:f>
        <x:v>149.20500000000004</x:v>
      </x:c>
      <x:c r="Q22" s="1286" t="n">
        <x:f>((Inputs!C62+Deployment_36M!Q56)*Inputs!C73+Deployment_36M!Q32*Inputs!C74+Inputs!C75)*(1+Inputs!C17)^1</x:f>
        <x:v>149.20500000000004</x:v>
      </x:c>
      <x:c r="R22" s="1286" t="n">
        <x:f>((Inputs!C62+Deployment_36M!R56)*Inputs!C73+Deployment_36M!R32*Inputs!C74+Inputs!C75)*(1+Inputs!C17)^1</x:f>
        <x:v>149.20500000000004</x:v>
      </x:c>
      <x:c r="S22" s="1286" t="n">
        <x:f>((Inputs!C62+Deployment_36M!S56)*Inputs!C73+Deployment_36M!S32*Inputs!C74+Inputs!C75)*(1+Inputs!C17)^1</x:f>
        <x:v>149.20500000000004</x:v>
      </x:c>
      <x:c r="T22" s="1286" t="n">
        <x:f>((Inputs!C62+Deployment_36M!T56)*Inputs!C73+Deployment_36M!T32*Inputs!C74+Inputs!C75)*(1+Inputs!C17)^1</x:f>
        <x:v>149.20500000000004</x:v>
      </x:c>
      <x:c r="U22" s="1286" t="n">
        <x:f>((Inputs!C62+Deployment_36M!U56)*Inputs!C73+Deployment_36M!U32*Inputs!C74+Inputs!C75)*(1+Inputs!C17)^1</x:f>
        <x:v>149.20500000000004</x:v>
      </x:c>
      <x:c r="V22" s="1286" t="n">
        <x:f>((Inputs!C62+Deployment_36M!V56)*Inputs!C73+Deployment_36M!V32*Inputs!C74+Inputs!C75)*(1+Inputs!C17)^1</x:f>
        <x:v>149.20500000000004</x:v>
      </x:c>
      <x:c r="W22" s="1286" t="n">
        <x:f>((Inputs!C62+Deployment_36M!W56)*Inputs!C73+Deployment_36M!W32*Inputs!C74+Inputs!C75)*(1+Inputs!C17)^1</x:f>
        <x:v>149.20500000000004</x:v>
      </x:c>
      <x:c r="X22" s="1286" t="n">
        <x:f>((Inputs!C62+Deployment_36M!X56)*Inputs!C73+Deployment_36M!X32*Inputs!C74+Inputs!C75)*(1+Inputs!C17)^1</x:f>
        <x:v>149.20500000000004</x:v>
      </x:c>
      <x:c r="Y22" s="1286" t="n">
        <x:f>((Inputs!C62+Deployment_36M!Y56)*Inputs!C73+Deployment_36M!Y32*Inputs!C74+Inputs!C75)*(1+Inputs!C17)^1</x:f>
        <x:v>149.20500000000004</x:v>
      </x:c>
      <x:c r="Z22" s="1286" t="n">
        <x:f>((Inputs!C62+Deployment_36M!Z56)*Inputs!C73+Deployment_36M!Z32*Inputs!C74+Inputs!C75)*(1+Inputs!C17)^1</x:f>
        <x:v>149.20500000000004</x:v>
      </x:c>
      <x:c r="AA22" s="1286" t="n">
        <x:f>((Inputs!C62+Deployment_36M!AA56)*Inputs!C73+Deployment_36M!AA32*Inputs!C74+Inputs!C75)*(1+Inputs!C17)^1</x:f>
        <x:v>149.20500000000004</x:v>
      </x:c>
      <x:c r="AB22" s="1286" t="n">
        <x:f>((Inputs!C62+Deployment_36M!AB56)*Inputs!C73+Deployment_36M!AB32*Inputs!C74+Inputs!C75)*(1+Inputs!C17)^2</x:f>
        <x:v>156.66525000000004</x:v>
      </x:c>
      <x:c r="AC22" s="1286" t="n">
        <x:f>((Inputs!C62+Deployment_36M!AC56)*Inputs!C73+Deployment_36M!AC32*Inputs!C74+Inputs!C75)*(1+Inputs!C17)^2</x:f>
        <x:v>156.66525000000004</x:v>
      </x:c>
      <x:c r="AD22" s="1286" t="n">
        <x:f>((Inputs!C62+Deployment_36M!AD56)*Inputs!C73+Deployment_36M!AD32*Inputs!C74+Inputs!C75)*(1+Inputs!C17)^2</x:f>
        <x:v>156.66525000000004</x:v>
      </x:c>
      <x:c r="AE22" s="1286" t="n">
        <x:f>((Inputs!C62+Deployment_36M!AE56)*Inputs!C73+Deployment_36M!AE32*Inputs!C74+Inputs!C75)*(1+Inputs!C17)^2</x:f>
        <x:v>156.66525000000004</x:v>
      </x:c>
      <x:c r="AF22" s="1286" t="n">
        <x:f>((Inputs!C62+Deployment_36M!AF56)*Inputs!C73+Deployment_36M!AF32*Inputs!C74+Inputs!C75)*(1+Inputs!C17)^2</x:f>
        <x:v>156.66525000000004</x:v>
      </x:c>
      <x:c r="AG22" s="1286" t="n">
        <x:f>((Inputs!C62+Deployment_36M!AG56)*Inputs!C73+Deployment_36M!AG32*Inputs!C74+Inputs!C75)*(1+Inputs!C17)^2</x:f>
        <x:v>156.66525000000004</x:v>
      </x:c>
      <x:c r="AH22" s="1286" t="n">
        <x:f>((Inputs!C62+Deployment_36M!AH56)*Inputs!C73+Deployment_36M!AH32*Inputs!C74+Inputs!C75)*(1+Inputs!C17)^2</x:f>
        <x:v>156.66525000000004</x:v>
      </x:c>
      <x:c r="AI22" s="1286" t="n">
        <x:f>((Inputs!C62+Deployment_36M!AI56)*Inputs!C73+Deployment_36M!AI32*Inputs!C74+Inputs!C75)*(1+Inputs!C17)^2</x:f>
        <x:v>156.66525000000004</x:v>
      </x:c>
      <x:c r="AJ22" s="1286" t="n">
        <x:f>((Inputs!C62+Deployment_36M!AJ56)*Inputs!C73+Deployment_36M!AJ32*Inputs!C74+Inputs!C75)*(1+Inputs!C17)^2</x:f>
        <x:v>156.66525000000004</x:v>
      </x:c>
      <x:c r="AK22" s="1286" t="n">
        <x:f>((Inputs!C62+Deployment_36M!AK56)*Inputs!C73+Deployment_36M!AK32*Inputs!C74+Inputs!C75)*(1+Inputs!C17)^2</x:f>
        <x:v>156.66525000000004</x:v>
      </x:c>
      <x:c r="AL22" s="1286" t="n">
        <x:f>((Inputs!C62+Deployment_36M!AL56)*Inputs!C73+Deployment_36M!AL32*Inputs!C74+Inputs!C75)*(1+Inputs!C17)^2</x:f>
        <x:v>156.66525000000004</x:v>
      </x:c>
      <x:c r="AM22" s="1287" t="n">
        <x:f>((Inputs!C62+Deployment_36M!AM56)*Inputs!C73+Deployment_36M!AM32*Inputs!C74+Inputs!C75)*(1+Inputs!C17)^2</x:f>
        <x:v>156.66525000000004</x:v>
      </x:c>
    </x:row>
    <x:row r="23">
      <x:c r="A23" s="147" t="str">
        <x:v>Legal fees</x:v>
      </x:c>
      <x:c r="B23" s="148" t="str">
        <x:v>ZAR'000</x:v>
      </x:c>
      <x:c r="C23" s="149" t="str">
        <x:v>Recurring retainer</x:v>
      </x:c>
      <x:c r="D23" s="1285" t="n">
        <x:f>Inputs!C76*(1+Inputs!C17)^0</x:f>
        <x:v>75</x:v>
      </x:c>
      <x:c r="E23" s="1286" t="n">
        <x:f>Inputs!C76*(1+Inputs!C17)^0</x:f>
        <x:v>75</x:v>
      </x:c>
      <x:c r="F23" s="1286" t="n">
        <x:f>Inputs!C76*(1+Inputs!C17)^0</x:f>
        <x:v>75</x:v>
      </x:c>
      <x:c r="G23" s="1286" t="n">
        <x:f>Inputs!C76*(1+Inputs!C17)^0</x:f>
        <x:v>75</x:v>
      </x:c>
      <x:c r="H23" s="1286" t="n">
        <x:f>Inputs!C76*(1+Inputs!C17)^0</x:f>
        <x:v>75</x:v>
      </x:c>
      <x:c r="I23" s="1286" t="n">
        <x:f>Inputs!C76*(1+Inputs!C17)^0</x:f>
        <x:v>75</x:v>
      </x:c>
      <x:c r="J23" s="1286" t="n">
        <x:f>Inputs!C76*(1+Inputs!C17)^0</x:f>
        <x:v>75</x:v>
      </x:c>
      <x:c r="K23" s="1286" t="n">
        <x:f>Inputs!C76*(1+Inputs!C17)^0</x:f>
        <x:v>75</x:v>
      </x:c>
      <x:c r="L23" s="1286" t="n">
        <x:f>Inputs!C76*(1+Inputs!C17)^0</x:f>
        <x:v>75</x:v>
      </x:c>
      <x:c r="M23" s="1286" t="n">
        <x:f>Inputs!C76*(1+Inputs!C17)^0</x:f>
        <x:v>75</x:v>
      </x:c>
      <x:c r="N23" s="1286" t="n">
        <x:f>Inputs!C76*(1+Inputs!C17)^0</x:f>
        <x:v>75</x:v>
      </x:c>
      <x:c r="O23" s="1286" t="n">
        <x:f>Inputs!C76*(1+Inputs!C17)^0</x:f>
        <x:v>75</x:v>
      </x:c>
      <x:c r="P23" s="1286" t="n">
        <x:f>Inputs!C76*(1+Inputs!C17)^1</x:f>
        <x:v>78.75</x:v>
      </x:c>
      <x:c r="Q23" s="1286" t="n">
        <x:f>Inputs!C76*(1+Inputs!C17)^1</x:f>
        <x:v>78.75</x:v>
      </x:c>
      <x:c r="R23" s="1286" t="n">
        <x:f>Inputs!C76*(1+Inputs!C17)^1</x:f>
        <x:v>78.75</x:v>
      </x:c>
      <x:c r="S23" s="1286" t="n">
        <x:f>Inputs!C76*(1+Inputs!C17)^1</x:f>
        <x:v>78.75</x:v>
      </x:c>
      <x:c r="T23" s="1286" t="n">
        <x:f>Inputs!C76*(1+Inputs!C17)^1</x:f>
        <x:v>78.75</x:v>
      </x:c>
      <x:c r="U23" s="1286" t="n">
        <x:f>Inputs!C76*(1+Inputs!C17)^1</x:f>
        <x:v>78.75</x:v>
      </x:c>
      <x:c r="V23" s="1286" t="n">
        <x:f>Inputs!C76*(1+Inputs!C17)^1</x:f>
        <x:v>78.75</x:v>
      </x:c>
      <x:c r="W23" s="1286" t="n">
        <x:f>Inputs!C76*(1+Inputs!C17)^1</x:f>
        <x:v>78.75</x:v>
      </x:c>
      <x:c r="X23" s="1286" t="n">
        <x:f>Inputs!C76*(1+Inputs!C17)^1</x:f>
        <x:v>78.75</x:v>
      </x:c>
      <x:c r="Y23" s="1286" t="n">
        <x:f>Inputs!C76*(1+Inputs!C17)^1</x:f>
        <x:v>78.75</x:v>
      </x:c>
      <x:c r="Z23" s="1286" t="n">
        <x:f>Inputs!C76*(1+Inputs!C17)^1</x:f>
        <x:v>78.75</x:v>
      </x:c>
      <x:c r="AA23" s="1286" t="n">
        <x:f>Inputs!C76*(1+Inputs!C17)^1</x:f>
        <x:v>78.75</x:v>
      </x:c>
      <x:c r="AB23" s="1286" t="n">
        <x:f>Inputs!C76*(1+Inputs!C17)^2</x:f>
        <x:v>82.6875</x:v>
      </x:c>
      <x:c r="AC23" s="1286" t="n">
        <x:f>Inputs!C76*(1+Inputs!C17)^2</x:f>
        <x:v>82.6875</x:v>
      </x:c>
      <x:c r="AD23" s="1286" t="n">
        <x:f>Inputs!C76*(1+Inputs!C17)^2</x:f>
        <x:v>82.6875</x:v>
      </x:c>
      <x:c r="AE23" s="1286" t="n">
        <x:f>Inputs!C76*(1+Inputs!C17)^2</x:f>
        <x:v>82.6875</x:v>
      </x:c>
      <x:c r="AF23" s="1286" t="n">
        <x:f>Inputs!C76*(1+Inputs!C17)^2</x:f>
        <x:v>82.6875</x:v>
      </x:c>
      <x:c r="AG23" s="1286" t="n">
        <x:f>Inputs!C76*(1+Inputs!C17)^2</x:f>
        <x:v>82.6875</x:v>
      </x:c>
      <x:c r="AH23" s="1286" t="n">
        <x:f>Inputs!C76*(1+Inputs!C17)^2</x:f>
        <x:v>82.6875</x:v>
      </x:c>
      <x:c r="AI23" s="1286" t="n">
        <x:f>Inputs!C76*(1+Inputs!C17)^2</x:f>
        <x:v>82.6875</x:v>
      </x:c>
      <x:c r="AJ23" s="1286" t="n">
        <x:f>Inputs!C76*(1+Inputs!C17)^2</x:f>
        <x:v>82.6875</x:v>
      </x:c>
      <x:c r="AK23" s="1286" t="n">
        <x:f>Inputs!C76*(1+Inputs!C17)^2</x:f>
        <x:v>82.6875</x:v>
      </x:c>
      <x:c r="AL23" s="1286" t="n">
        <x:f>Inputs!C76*(1+Inputs!C17)^2</x:f>
        <x:v>82.6875</x:v>
      </x:c>
      <x:c r="AM23" s="1287" t="n">
        <x:f>Inputs!C76*(1+Inputs!C17)^2</x:f>
        <x:v>82.6875</x:v>
      </x:c>
    </x:row>
    <x:row r="24">
      <x:c r="A24" s="147" t="str">
        <x:v>Office rent</x:v>
      </x:c>
      <x:c r="B24" s="148" t="str">
        <x:v>ZAR'000</x:v>
      </x:c>
      <x:c r="C24" s="149" t="str">
        <x:v>Recurring office rent</x:v>
      </x:c>
      <x:c r="D24" s="1285" t="n">
        <x:f>Inputs!C77*(1+Inputs!C17)^0</x:f>
        <x:v>10</x:v>
      </x:c>
      <x:c r="E24" s="1286" t="n">
        <x:f>Inputs!C77*(1+Inputs!C17)^0</x:f>
        <x:v>10</x:v>
      </x:c>
      <x:c r="F24" s="1286" t="n">
        <x:f>Inputs!C77*(1+Inputs!C17)^0</x:f>
        <x:v>10</x:v>
      </x:c>
      <x:c r="G24" s="1286" t="n">
        <x:f>Inputs!C77*(1+Inputs!C17)^0</x:f>
        <x:v>10</x:v>
      </x:c>
      <x:c r="H24" s="1286" t="n">
        <x:f>Inputs!C77*(1+Inputs!C17)^0</x:f>
        <x:v>10</x:v>
      </x:c>
      <x:c r="I24" s="1286" t="n">
        <x:f>Inputs!C77*(1+Inputs!C17)^0</x:f>
        <x:v>10</x:v>
      </x:c>
      <x:c r="J24" s="1286" t="n">
        <x:f>Inputs!C77*(1+Inputs!C17)^0</x:f>
        <x:v>10</x:v>
      </x:c>
      <x:c r="K24" s="1286" t="n">
        <x:f>Inputs!C77*(1+Inputs!C17)^0</x:f>
        <x:v>10</x:v>
      </x:c>
      <x:c r="L24" s="1286" t="n">
        <x:f>Inputs!C77*(1+Inputs!C17)^0</x:f>
        <x:v>10</x:v>
      </x:c>
      <x:c r="M24" s="1286" t="n">
        <x:f>Inputs!C77*(1+Inputs!C17)^0</x:f>
        <x:v>10</x:v>
      </x:c>
      <x:c r="N24" s="1286" t="n">
        <x:f>Inputs!C77*(1+Inputs!C17)^0</x:f>
        <x:v>10</x:v>
      </x:c>
      <x:c r="O24" s="1286" t="n">
        <x:f>Inputs!C77*(1+Inputs!C17)^0</x:f>
        <x:v>10</x:v>
      </x:c>
      <x:c r="P24" s="1286" t="n">
        <x:f>Inputs!C77*(1+Inputs!C17)^1</x:f>
        <x:v>10.5</x:v>
      </x:c>
      <x:c r="Q24" s="1286" t="n">
        <x:f>Inputs!C77*(1+Inputs!C17)^1</x:f>
        <x:v>10.5</x:v>
      </x:c>
      <x:c r="R24" s="1286" t="n">
        <x:f>Inputs!C77*(1+Inputs!C17)^1</x:f>
        <x:v>10.5</x:v>
      </x:c>
      <x:c r="S24" s="1286" t="n">
        <x:f>Inputs!C77*(1+Inputs!C17)^1</x:f>
        <x:v>10.5</x:v>
      </x:c>
      <x:c r="T24" s="1286" t="n">
        <x:f>Inputs!C77*(1+Inputs!C17)^1</x:f>
        <x:v>10.5</x:v>
      </x:c>
      <x:c r="U24" s="1286" t="n">
        <x:f>Inputs!C77*(1+Inputs!C17)^1</x:f>
        <x:v>10.5</x:v>
      </x:c>
      <x:c r="V24" s="1286" t="n">
        <x:f>Inputs!C77*(1+Inputs!C17)^1</x:f>
        <x:v>10.5</x:v>
      </x:c>
      <x:c r="W24" s="1286" t="n">
        <x:f>Inputs!C77*(1+Inputs!C17)^1</x:f>
        <x:v>10.5</x:v>
      </x:c>
      <x:c r="X24" s="1286" t="n">
        <x:f>Inputs!C77*(1+Inputs!C17)^1</x:f>
        <x:v>10.5</x:v>
      </x:c>
      <x:c r="Y24" s="1286" t="n">
        <x:f>Inputs!C77*(1+Inputs!C17)^1</x:f>
        <x:v>10.5</x:v>
      </x:c>
      <x:c r="Z24" s="1286" t="n">
        <x:f>Inputs!C77*(1+Inputs!C17)^1</x:f>
        <x:v>10.5</x:v>
      </x:c>
      <x:c r="AA24" s="1286" t="n">
        <x:f>Inputs!C77*(1+Inputs!C17)^1</x:f>
        <x:v>10.5</x:v>
      </x:c>
      <x:c r="AB24" s="1286" t="n">
        <x:f>Inputs!C77*(1+Inputs!C17)^2</x:f>
        <x:v>11.025</x:v>
      </x:c>
      <x:c r="AC24" s="1286" t="n">
        <x:f>Inputs!C77*(1+Inputs!C17)^2</x:f>
        <x:v>11.025</x:v>
      </x:c>
      <x:c r="AD24" s="1286" t="n">
        <x:f>Inputs!C77*(1+Inputs!C17)^2</x:f>
        <x:v>11.025</x:v>
      </x:c>
      <x:c r="AE24" s="1286" t="n">
        <x:f>Inputs!C77*(1+Inputs!C17)^2</x:f>
        <x:v>11.025</x:v>
      </x:c>
      <x:c r="AF24" s="1286" t="n">
        <x:f>Inputs!C77*(1+Inputs!C17)^2</x:f>
        <x:v>11.025</x:v>
      </x:c>
      <x:c r="AG24" s="1286" t="n">
        <x:f>Inputs!C77*(1+Inputs!C17)^2</x:f>
        <x:v>11.025</x:v>
      </x:c>
      <x:c r="AH24" s="1286" t="n">
        <x:f>Inputs!C77*(1+Inputs!C17)^2</x:f>
        <x:v>11.025</x:v>
      </x:c>
      <x:c r="AI24" s="1286" t="n">
        <x:f>Inputs!C77*(1+Inputs!C17)^2</x:f>
        <x:v>11.025</x:v>
      </x:c>
      <x:c r="AJ24" s="1286" t="n">
        <x:f>Inputs!C77*(1+Inputs!C17)^2</x:f>
        <x:v>11.025</x:v>
      </x:c>
      <x:c r="AK24" s="1286" t="n">
        <x:f>Inputs!C77*(1+Inputs!C17)^2</x:f>
        <x:v>11.025</x:v>
      </x:c>
      <x:c r="AL24" s="1286" t="n">
        <x:f>Inputs!C77*(1+Inputs!C17)^2</x:f>
        <x:v>11.025</x:v>
      </x:c>
      <x:c r="AM24" s="1287" t="n">
        <x:f>Inputs!C77*(1+Inputs!C17)^2</x:f>
        <x:v>11.025</x:v>
      </x:c>
    </x:row>
    <x:row r="25">
      <x:c r="A25" s="147" t="str">
        <x:v>Tools / consumables recurring</x:v>
      </x:c>
      <x:c r="B25" s="148" t="str">
        <x:v>ZAR'000</x:v>
      </x:c>
      <x:c r="C25" s="149" t="str">
        <x:v>Filters and consumables</x:v>
      </x:c>
      <x:c r="D25" s="1285" t="n">
        <x:f>Deployment_36M!D21*Inputs!C78*(1+Inputs!C17)^0</x:f>
        <x:v>0</x:v>
      </x:c>
      <x:c r="E25" s="1286" t="n">
        <x:f>Deployment_36M!E21*Inputs!C78*(1+Inputs!C17)^0</x:f>
        <x:v>0</x:v>
      </x:c>
      <x:c r="F25" s="1286" t="n">
        <x:f>Deployment_36M!F21*Inputs!C78*(1+Inputs!C17)^0</x:f>
        <x:v>20</x:v>
      </x:c>
      <x:c r="G25" s="1286" t="n">
        <x:f>Deployment_36M!G21*Inputs!C78*(1+Inputs!C17)^0</x:f>
        <x:v>60</x:v>
      </x:c>
      <x:c r="H25" s="1286" t="n">
        <x:f>Deployment_36M!H21*Inputs!C78*(1+Inputs!C17)^0</x:f>
        <x:v>100</x:v>
      </x:c>
      <x:c r="I25" s="1286" t="n">
        <x:f>Deployment_36M!I21*Inputs!C78*(1+Inputs!C17)^0</x:f>
        <x:v>140</x:v>
      </x:c>
      <x:c r="J25" s="1286" t="n">
        <x:f>Deployment_36M!J21*Inputs!C78*(1+Inputs!C17)^0</x:f>
        <x:v>160</x:v>
      </x:c>
      <x:c r="K25" s="1286" t="n">
        <x:f>Deployment_36M!K21*Inputs!C78*(1+Inputs!C17)^0</x:f>
        <x:v>160</x:v>
      </x:c>
      <x:c r="L25" s="1286" t="n">
        <x:f>Deployment_36M!L21*Inputs!C78*(1+Inputs!C17)^0</x:f>
        <x:v>160</x:v>
      </x:c>
      <x:c r="M25" s="1286" t="n">
        <x:f>Deployment_36M!M21*Inputs!C78*(1+Inputs!C17)^0</x:f>
        <x:v>160</x:v>
      </x:c>
      <x:c r="N25" s="1286" t="n">
        <x:f>Deployment_36M!N21*Inputs!C78*(1+Inputs!C17)^0</x:f>
        <x:v>160</x:v>
      </x:c>
      <x:c r="O25" s="1286" t="n">
        <x:f>Deployment_36M!O21*Inputs!C78*(1+Inputs!C17)^0</x:f>
        <x:v>160</x:v>
      </x:c>
      <x:c r="P25" s="1286" t="n">
        <x:f>Deployment_36M!P21*Inputs!C78*(1+Inputs!C17)^1</x:f>
        <x:v>168</x:v>
      </x:c>
      <x:c r="Q25" s="1286" t="n">
        <x:f>Deployment_36M!Q21*Inputs!C78*(1+Inputs!C17)^1</x:f>
        <x:v>168</x:v>
      </x:c>
      <x:c r="R25" s="1286" t="n">
        <x:f>Deployment_36M!R21*Inputs!C78*(1+Inputs!C17)^1</x:f>
        <x:v>168</x:v>
      </x:c>
      <x:c r="S25" s="1286" t="n">
        <x:f>Deployment_36M!S21*Inputs!C78*(1+Inputs!C17)^1</x:f>
        <x:v>168</x:v>
      </x:c>
      <x:c r="T25" s="1286" t="n">
        <x:f>Deployment_36M!T21*Inputs!C78*(1+Inputs!C17)^1</x:f>
        <x:v>168</x:v>
      </x:c>
      <x:c r="U25" s="1286" t="n">
        <x:f>Deployment_36M!U21*Inputs!C78*(1+Inputs!C17)^1</x:f>
        <x:v>168</x:v>
      </x:c>
      <x:c r="V25" s="1286" t="n">
        <x:f>Deployment_36M!V21*Inputs!C78*(1+Inputs!C17)^1</x:f>
        <x:v>168</x:v>
      </x:c>
      <x:c r="W25" s="1286" t="n">
        <x:f>Deployment_36M!W21*Inputs!C78*(1+Inputs!C17)^1</x:f>
        <x:v>168</x:v>
      </x:c>
      <x:c r="X25" s="1286" t="n">
        <x:f>Deployment_36M!X21*Inputs!C78*(1+Inputs!C17)^1</x:f>
        <x:v>168</x:v>
      </x:c>
      <x:c r="Y25" s="1286" t="n">
        <x:f>Deployment_36M!Y21*Inputs!C78*(1+Inputs!C17)^1</x:f>
        <x:v>168</x:v>
      </x:c>
      <x:c r="Z25" s="1286" t="n">
        <x:f>Deployment_36M!Z21*Inputs!C78*(1+Inputs!C17)^1</x:f>
        <x:v>168</x:v>
      </x:c>
      <x:c r="AA25" s="1286" t="n">
        <x:f>Deployment_36M!AA21*Inputs!C78*(1+Inputs!C17)^1</x:f>
        <x:v>168</x:v>
      </x:c>
      <x:c r="AB25" s="1286" t="n">
        <x:f>Deployment_36M!AB21*Inputs!C78*(1+Inputs!C17)^2</x:f>
        <x:v>176.4</x:v>
      </x:c>
      <x:c r="AC25" s="1286" t="n">
        <x:f>Deployment_36M!AC21*Inputs!C78*(1+Inputs!C17)^2</x:f>
        <x:v>176.4</x:v>
      </x:c>
      <x:c r="AD25" s="1286" t="n">
        <x:f>Deployment_36M!AD21*Inputs!C78*(1+Inputs!C17)^2</x:f>
        <x:v>176.4</x:v>
      </x:c>
      <x:c r="AE25" s="1286" t="n">
        <x:f>Deployment_36M!AE21*Inputs!C78*(1+Inputs!C17)^2</x:f>
        <x:v>176.4</x:v>
      </x:c>
      <x:c r="AF25" s="1286" t="n">
        <x:f>Deployment_36M!AF21*Inputs!C78*(1+Inputs!C17)^2</x:f>
        <x:v>176.4</x:v>
      </x:c>
      <x:c r="AG25" s="1286" t="n">
        <x:f>Deployment_36M!AG21*Inputs!C78*(1+Inputs!C17)^2</x:f>
        <x:v>176.4</x:v>
      </x:c>
      <x:c r="AH25" s="1286" t="n">
        <x:f>Deployment_36M!AH21*Inputs!C78*(1+Inputs!C17)^2</x:f>
        <x:v>176.4</x:v>
      </x:c>
      <x:c r="AI25" s="1286" t="n">
        <x:f>Deployment_36M!AI21*Inputs!C78*(1+Inputs!C17)^2</x:f>
        <x:v>176.4</x:v>
      </x:c>
      <x:c r="AJ25" s="1286" t="n">
        <x:f>Deployment_36M!AJ21*Inputs!C78*(1+Inputs!C17)^2</x:f>
        <x:v>176.4</x:v>
      </x:c>
      <x:c r="AK25" s="1286" t="n">
        <x:f>Deployment_36M!AK21*Inputs!C78*(1+Inputs!C17)^2</x:f>
        <x:v>176.4</x:v>
      </x:c>
      <x:c r="AL25" s="1286" t="n">
        <x:f>Deployment_36M!AL21*Inputs!C78*(1+Inputs!C17)^2</x:f>
        <x:v>176.4</x:v>
      </x:c>
      <x:c r="AM25" s="1287" t="n">
        <x:f>Deployment_36M!AM21*Inputs!C78*(1+Inputs!C17)^2</x:f>
        <x:v>176.4</x:v>
      </x:c>
    </x:row>
    <x:row r="26">
      <x:c r="A26" s="147" t="str">
        <x:v>Security &amp; operating insurance</x:v>
      </x:c>
      <x:c r="B26" s="148" t="str">
        <x:v>ZAR'000</x:v>
      </x:c>
      <x:c r="C26" s="149" t="str">
        <x:v>Per active site</x:v>
      </x:c>
      <x:c r="D26" s="1285" t="n">
        <x:f>Deployment_36M!D32*Inputs!C79*(1+Inputs!C17)^0</x:f>
        <x:v>0</x:v>
      </x:c>
      <x:c r="E26" s="1286" t="n">
        <x:f>Deployment_36M!E32*Inputs!C79*(1+Inputs!C17)^0</x:f>
        <x:v>0</x:v>
      </x:c>
      <x:c r="F26" s="1286" t="n">
        <x:f>Deployment_36M!F32*Inputs!C79*(1+Inputs!C17)^0</x:f>
        <x:v>40</x:v>
      </x:c>
      <x:c r="G26" s="1286" t="n">
        <x:f>Deployment_36M!G32*Inputs!C79*(1+Inputs!C17)^0</x:f>
        <x:v>40</x:v>
      </x:c>
      <x:c r="H26" s="1286" t="n">
        <x:f>Deployment_36M!H32*Inputs!C79*(1+Inputs!C17)^0</x:f>
        <x:v>40</x:v>
      </x:c>
      <x:c r="I26" s="1286" t="n">
        <x:f>Deployment_36M!I32*Inputs!C79*(1+Inputs!C17)^0</x:f>
        <x:v>80</x:v>
      </x:c>
      <x:c r="J26" s="1286" t="n">
        <x:f>Deployment_36M!J32*Inputs!C79*(1+Inputs!C17)^0</x:f>
        <x:v>80</x:v>
      </x:c>
      <x:c r="K26" s="1286" t="n">
        <x:f>Deployment_36M!K32*Inputs!C79*(1+Inputs!C17)^0</x:f>
        <x:v>80</x:v>
      </x:c>
      <x:c r="L26" s="1286" t="n">
        <x:f>Deployment_36M!L32*Inputs!C79*(1+Inputs!C17)^0</x:f>
        <x:v>80</x:v>
      </x:c>
      <x:c r="M26" s="1286" t="n">
        <x:f>Deployment_36M!M32*Inputs!C79*(1+Inputs!C17)^0</x:f>
        <x:v>80</x:v>
      </x:c>
      <x:c r="N26" s="1286" t="n">
        <x:f>Deployment_36M!N32*Inputs!C79*(1+Inputs!C17)^0</x:f>
        <x:v>80</x:v>
      </x:c>
      <x:c r="O26" s="1286" t="n">
        <x:f>Deployment_36M!O32*Inputs!C79*(1+Inputs!C17)^0</x:f>
        <x:v>80</x:v>
      </x:c>
      <x:c r="P26" s="1286" t="n">
        <x:f>Deployment_36M!P32*Inputs!C79*(1+Inputs!C17)^1</x:f>
        <x:v>84</x:v>
      </x:c>
      <x:c r="Q26" s="1286" t="n">
        <x:f>Deployment_36M!Q32*Inputs!C79*(1+Inputs!C17)^1</x:f>
        <x:v>84</x:v>
      </x:c>
      <x:c r="R26" s="1286" t="n">
        <x:f>Deployment_36M!R32*Inputs!C79*(1+Inputs!C17)^1</x:f>
        <x:v>84</x:v>
      </x:c>
      <x:c r="S26" s="1286" t="n">
        <x:f>Deployment_36M!S32*Inputs!C79*(1+Inputs!C17)^1</x:f>
        <x:v>84</x:v>
      </x:c>
      <x:c r="T26" s="1286" t="n">
        <x:f>Deployment_36M!T32*Inputs!C79*(1+Inputs!C17)^1</x:f>
        <x:v>84</x:v>
      </x:c>
      <x:c r="U26" s="1286" t="n">
        <x:f>Deployment_36M!U32*Inputs!C79*(1+Inputs!C17)^1</x:f>
        <x:v>84</x:v>
      </x:c>
      <x:c r="V26" s="1286" t="n">
        <x:f>Deployment_36M!V32*Inputs!C79*(1+Inputs!C17)^1</x:f>
        <x:v>84</x:v>
      </x:c>
      <x:c r="W26" s="1286" t="n">
        <x:f>Deployment_36M!W32*Inputs!C79*(1+Inputs!C17)^1</x:f>
        <x:v>84</x:v>
      </x:c>
      <x:c r="X26" s="1286" t="n">
        <x:f>Deployment_36M!X32*Inputs!C79*(1+Inputs!C17)^1</x:f>
        <x:v>84</x:v>
      </x:c>
      <x:c r="Y26" s="1286" t="n">
        <x:f>Deployment_36M!Y32*Inputs!C79*(1+Inputs!C17)^1</x:f>
        <x:v>84</x:v>
      </x:c>
      <x:c r="Z26" s="1286" t="n">
        <x:f>Deployment_36M!Z32*Inputs!C79*(1+Inputs!C17)^1</x:f>
        <x:v>84</x:v>
      </x:c>
      <x:c r="AA26" s="1286" t="n">
        <x:f>Deployment_36M!AA32*Inputs!C79*(1+Inputs!C17)^1</x:f>
        <x:v>84</x:v>
      </x:c>
      <x:c r="AB26" s="1286" t="n">
        <x:f>Deployment_36M!AB32*Inputs!C79*(1+Inputs!C17)^2</x:f>
        <x:v>88.2</x:v>
      </x:c>
      <x:c r="AC26" s="1286" t="n">
        <x:f>Deployment_36M!AC32*Inputs!C79*(1+Inputs!C17)^2</x:f>
        <x:v>88.2</x:v>
      </x:c>
      <x:c r="AD26" s="1286" t="n">
        <x:f>Deployment_36M!AD32*Inputs!C79*(1+Inputs!C17)^2</x:f>
        <x:v>88.2</x:v>
      </x:c>
      <x:c r="AE26" s="1286" t="n">
        <x:f>Deployment_36M!AE32*Inputs!C79*(1+Inputs!C17)^2</x:f>
        <x:v>88.2</x:v>
      </x:c>
      <x:c r="AF26" s="1286" t="n">
        <x:f>Deployment_36M!AF32*Inputs!C79*(1+Inputs!C17)^2</x:f>
        <x:v>88.2</x:v>
      </x:c>
      <x:c r="AG26" s="1286" t="n">
        <x:f>Deployment_36M!AG32*Inputs!C79*(1+Inputs!C17)^2</x:f>
        <x:v>88.2</x:v>
      </x:c>
      <x:c r="AH26" s="1286" t="n">
        <x:f>Deployment_36M!AH32*Inputs!C79*(1+Inputs!C17)^2</x:f>
        <x:v>88.2</x:v>
      </x:c>
      <x:c r="AI26" s="1286" t="n">
        <x:f>Deployment_36M!AI32*Inputs!C79*(1+Inputs!C17)^2</x:f>
        <x:v>88.2</x:v>
      </x:c>
      <x:c r="AJ26" s="1286" t="n">
        <x:f>Deployment_36M!AJ32*Inputs!C79*(1+Inputs!C17)^2</x:f>
        <x:v>88.2</x:v>
      </x:c>
      <x:c r="AK26" s="1286" t="n">
        <x:f>Deployment_36M!AK32*Inputs!C79*(1+Inputs!C17)^2</x:f>
        <x:v>88.2</x:v>
      </x:c>
      <x:c r="AL26" s="1286" t="n">
        <x:f>Deployment_36M!AL32*Inputs!C79*(1+Inputs!C17)^2</x:f>
        <x:v>88.2</x:v>
      </x:c>
      <x:c r="AM26" s="1287" t="n">
        <x:f>Deployment_36M!AM32*Inputs!C79*(1+Inputs!C17)^2</x:f>
        <x:v>88.2</x:v>
      </x:c>
    </x:row>
    <x:row r="27">
      <x:c r="A27" s="147" t="str">
        <x:v>Other utilities / water</x:v>
      </x:c>
      <x:c r="B27" s="148" t="str">
        <x:v>ZAR'000</x:v>
      </x:c>
      <x:c r="C27" s="149" t="str">
        <x:v>Variable with average MW</x:v>
      </x:c>
      <x:c r="D27" s="1285" t="n">
        <x:f>Deployment_36M!D21*Inputs!C80*(1+Inputs!C17)^0</x:f>
        <x:v>0</x:v>
      </x:c>
      <x:c r="E27" s="1286" t="n">
        <x:f>Deployment_36M!E21*Inputs!C80*(1+Inputs!C17)^0</x:f>
        <x:v>0</x:v>
      </x:c>
      <x:c r="F27" s="1286" t="n">
        <x:f>Deployment_36M!F21*Inputs!C80*(1+Inputs!C17)^0</x:f>
        <x:v>25</x:v>
      </x:c>
      <x:c r="G27" s="1286" t="n">
        <x:f>Deployment_36M!G21*Inputs!C80*(1+Inputs!C17)^0</x:f>
        <x:v>75</x:v>
      </x:c>
      <x:c r="H27" s="1286" t="n">
        <x:f>Deployment_36M!H21*Inputs!C80*(1+Inputs!C17)^0</x:f>
        <x:v>125</x:v>
      </x:c>
      <x:c r="I27" s="1286" t="n">
        <x:f>Deployment_36M!I21*Inputs!C80*(1+Inputs!C17)^0</x:f>
        <x:v>175</x:v>
      </x:c>
      <x:c r="J27" s="1286" t="n">
        <x:f>Deployment_36M!J21*Inputs!C80*(1+Inputs!C17)^0</x:f>
        <x:v>200</x:v>
      </x:c>
      <x:c r="K27" s="1286" t="n">
        <x:f>Deployment_36M!K21*Inputs!C80*(1+Inputs!C17)^0</x:f>
        <x:v>200</x:v>
      </x:c>
      <x:c r="L27" s="1286" t="n">
        <x:f>Deployment_36M!L21*Inputs!C80*(1+Inputs!C17)^0</x:f>
        <x:v>200</x:v>
      </x:c>
      <x:c r="M27" s="1286" t="n">
        <x:f>Deployment_36M!M21*Inputs!C80*(1+Inputs!C17)^0</x:f>
        <x:v>200</x:v>
      </x:c>
      <x:c r="N27" s="1286" t="n">
        <x:f>Deployment_36M!N21*Inputs!C80*(1+Inputs!C17)^0</x:f>
        <x:v>200</x:v>
      </x:c>
      <x:c r="O27" s="1286" t="n">
        <x:f>Deployment_36M!O21*Inputs!C80*(1+Inputs!C17)^0</x:f>
        <x:v>200</x:v>
      </x:c>
      <x:c r="P27" s="1286" t="n">
        <x:f>Deployment_36M!P21*Inputs!C80*(1+Inputs!C17)^1</x:f>
        <x:v>210</x:v>
      </x:c>
      <x:c r="Q27" s="1286" t="n">
        <x:f>Deployment_36M!Q21*Inputs!C80*(1+Inputs!C17)^1</x:f>
        <x:v>210</x:v>
      </x:c>
      <x:c r="R27" s="1286" t="n">
        <x:f>Deployment_36M!R21*Inputs!C80*(1+Inputs!C17)^1</x:f>
        <x:v>210</x:v>
      </x:c>
      <x:c r="S27" s="1286" t="n">
        <x:f>Deployment_36M!S21*Inputs!C80*(1+Inputs!C17)^1</x:f>
        <x:v>210</x:v>
      </x:c>
      <x:c r="T27" s="1286" t="n">
        <x:f>Deployment_36M!T21*Inputs!C80*(1+Inputs!C17)^1</x:f>
        <x:v>210</x:v>
      </x:c>
      <x:c r="U27" s="1286" t="n">
        <x:f>Deployment_36M!U21*Inputs!C80*(1+Inputs!C17)^1</x:f>
        <x:v>210</x:v>
      </x:c>
      <x:c r="V27" s="1286" t="n">
        <x:f>Deployment_36M!V21*Inputs!C80*(1+Inputs!C17)^1</x:f>
        <x:v>210</x:v>
      </x:c>
      <x:c r="W27" s="1286" t="n">
        <x:f>Deployment_36M!W21*Inputs!C80*(1+Inputs!C17)^1</x:f>
        <x:v>210</x:v>
      </x:c>
      <x:c r="X27" s="1286" t="n">
        <x:f>Deployment_36M!X21*Inputs!C80*(1+Inputs!C17)^1</x:f>
        <x:v>210</x:v>
      </x:c>
      <x:c r="Y27" s="1286" t="n">
        <x:f>Deployment_36M!Y21*Inputs!C80*(1+Inputs!C17)^1</x:f>
        <x:v>210</x:v>
      </x:c>
      <x:c r="Z27" s="1286" t="n">
        <x:f>Deployment_36M!Z21*Inputs!C80*(1+Inputs!C17)^1</x:f>
        <x:v>210</x:v>
      </x:c>
      <x:c r="AA27" s="1286" t="n">
        <x:f>Deployment_36M!AA21*Inputs!C80*(1+Inputs!C17)^1</x:f>
        <x:v>210</x:v>
      </x:c>
      <x:c r="AB27" s="1286" t="n">
        <x:f>Deployment_36M!AB21*Inputs!C80*(1+Inputs!C17)^2</x:f>
        <x:v>220.5</x:v>
      </x:c>
      <x:c r="AC27" s="1286" t="n">
        <x:f>Deployment_36M!AC21*Inputs!C80*(1+Inputs!C17)^2</x:f>
        <x:v>220.5</x:v>
      </x:c>
      <x:c r="AD27" s="1286" t="n">
        <x:f>Deployment_36M!AD21*Inputs!C80*(1+Inputs!C17)^2</x:f>
        <x:v>220.5</x:v>
      </x:c>
      <x:c r="AE27" s="1286" t="n">
        <x:f>Deployment_36M!AE21*Inputs!C80*(1+Inputs!C17)^2</x:f>
        <x:v>220.5</x:v>
      </x:c>
      <x:c r="AF27" s="1286" t="n">
        <x:f>Deployment_36M!AF21*Inputs!C80*(1+Inputs!C17)^2</x:f>
        <x:v>220.5</x:v>
      </x:c>
      <x:c r="AG27" s="1286" t="n">
        <x:f>Deployment_36M!AG21*Inputs!C80*(1+Inputs!C17)^2</x:f>
        <x:v>220.5</x:v>
      </x:c>
      <x:c r="AH27" s="1286" t="n">
        <x:f>Deployment_36M!AH21*Inputs!C80*(1+Inputs!C17)^2</x:f>
        <x:v>220.5</x:v>
      </x:c>
      <x:c r="AI27" s="1286" t="n">
        <x:f>Deployment_36M!AI21*Inputs!C80*(1+Inputs!C17)^2</x:f>
        <x:v>220.5</x:v>
      </x:c>
      <x:c r="AJ27" s="1286" t="n">
        <x:f>Deployment_36M!AJ21*Inputs!C80*(1+Inputs!C17)^2</x:f>
        <x:v>220.5</x:v>
      </x:c>
      <x:c r="AK27" s="1286" t="n">
        <x:f>Deployment_36M!AK21*Inputs!C80*(1+Inputs!C17)^2</x:f>
        <x:v>220.5</x:v>
      </x:c>
      <x:c r="AL27" s="1286" t="n">
        <x:f>Deployment_36M!AL21*Inputs!C80*(1+Inputs!C17)^2</x:f>
        <x:v>220.5</x:v>
      </x:c>
      <x:c r="AM27" s="1287" t="n">
        <x:f>Deployment_36M!AM21*Inputs!C80*(1+Inputs!C17)^2</x:f>
        <x:v>220.5</x:v>
      </x:c>
    </x:row>
    <x:row r="28">
      <x:c r="A28" s="243" t="str">
        <x:v>Total cash opex</x:v>
      </x:c>
      <x:c r="B28" s="244" t="str">
        <x:v>ZAR'000</x:v>
      </x:c>
      <x:c r="C28" s="245" t="str">
        <x:v>Operating cash cost</x:v>
      </x:c>
      <x:c r="D28" s="1297" t="n">
        <x:f>D11+D20+D21+D22+D23+D24+D25+D26+D27</x:f>
        <x:v>523</x:v>
      </x:c>
      <x:c r="E28" s="1298" t="n">
        <x:f>E11+E20+E21+E22+E23+E24+E25+E26+E27</x:f>
        <x:v>523</x:v>
      </x:c>
      <x:c r="F28" s="1298" t="n">
        <x:f>F11+F20+F21+F22+F23+F24+F25+F26+F27</x:f>
        <x:v>2718.13125</x:v>
      </x:c>
      <x:c r="G28" s="1298" t="n">
        <x:f>G11+G20+G21+G22+G23+G24+G25+G26+G27</x:f>
        <x:v>6044.56875</x:v>
      </x:c>
      <x:c r="H28" s="1298" t="n">
        <x:f>H11+H20+H21+H22+H23+H24+H25+H26+H27</x:f>
        <x:v>9355.939583333333</x:v>
      </x:c>
      <x:c r="I28" s="1298" t="n">
        <x:f>I11+I20+I21+I22+I23+I24+I25+I26+I27</x:f>
        <x:v>12839.670416666666</x:v>
      </x:c>
      <x:c r="J28" s="1298" t="n">
        <x:f>J11+J20+J21+J22+J23+J24+J25+J26+J27</x:f>
        <x:v>13496.536666666667</x:v>
      </x:c>
      <x:c r="K28" s="1298" t="n">
        <x:f>K11+K20+K21+K22+K23+K24+K25+K26+K27</x:f>
        <x:v>12367.576666666668</x:v>
      </x:c>
      <x:c r="L28" s="1298" t="n">
        <x:f>L11+L20+L21+L22+L23+L24+L25+L26+L27</x:f>
        <x:v>13496.536666666667</x:v>
      </x:c>
      <x:c r="M28" s="1298" t="n">
        <x:f>M11+M20+M21+M22+M23+M24+M25+M26+M27</x:f>
        <x:v>13120.216666666667</x:v>
      </x:c>
      <x:c r="N28" s="1298" t="n">
        <x:f>N11+N20+N21+N22+N23+N24+N25+N26+N27</x:f>
        <x:v>13496.536666666667</x:v>
      </x:c>
      <x:c r="O28" s="1298" t="n">
        <x:f>O11+O20+O21+O22+O23+O24+O25+O26+O27</x:f>
        <x:v>13120.216666666667</x:v>
      </x:c>
      <x:c r="P28" s="1298" t="n">
        <x:f>P11+P20+P21+P22+P23+P24+P25+P26+P27</x:f>
        <x:v>12989.824166666665</x:v>
      </x:c>
      <x:c r="Q28" s="1298" t="n">
        <x:f>Q11+Q20+Q21+Q22+Q23+Q24+Q25+Q26+Q27</x:f>
        <x:v>12989.824166666665</x:v>
      </x:c>
      <x:c r="R28" s="1298" t="n">
        <x:f>R11+R20+R21+R22+R23+R24+R25+R26+R27</x:f>
        <x:v>12632.614166666666</x:v>
      </x:c>
      <x:c r="S28" s="1298" t="n">
        <x:f>S11+S20+S21+S22+S23+S24+S25+S26+S27</x:f>
        <x:v>12989.824166666665</x:v>
      </x:c>
      <x:c r="T28" s="1298" t="n">
        <x:f>T11+T20+T21+T22+T23+T24+T25+T26+T27</x:f>
        <x:v>12632.614166666666</x:v>
      </x:c>
      <x:c r="U28" s="1298" t="n">
        <x:f>U11+U20+U21+U22+U23+U24+U25+U26+U27</x:f>
        <x:v>12989.824166666665</x:v>
      </x:c>
      <x:c r="V28" s="1298" t="n">
        <x:f>V11+V20+V21+V22+V23+V24+V25+V26+V27</x:f>
        <x:v>12989.824166666665</x:v>
      </x:c>
      <x:c r="W28" s="1298" t="n">
        <x:f>W11+W20+W21+W22+W23+W24+W25+W26+W27</x:f>
        <x:v>12275.404166666667</x:v>
      </x:c>
      <x:c r="X28" s="1298" t="n">
        <x:f>X11+X20+X21+X22+X23+X24+X25+X26+X27</x:f>
        <x:v>12989.824166666665</x:v>
      </x:c>
      <x:c r="Y28" s="1298" t="n">
        <x:f>Y11+Y20+Y21+Y22+Y23+Y24+Y25+Y26+Y27</x:f>
        <x:v>12632.614166666666</x:v>
      </x:c>
      <x:c r="Z28" s="1298" t="n">
        <x:f>Z11+Z20+Z21+Z22+Z23+Z24+Z25+Z26+Z27</x:f>
        <x:v>12989.824166666665</x:v>
      </x:c>
      <x:c r="AA28" s="1298" t="n">
        <x:f>AA11+AA20+AA21+AA22+AA23+AA24+AA25+AA26+AA27</x:f>
        <x:v>12632.614166666666</x:v>
      </x:c>
      <x:c r="AB28" s="1298" t="n">
        <x:f>AB11+AB20+AB21+AB22+AB23+AB24+AB25+AB26+AB27</x:f>
        <x:v>12487.396541666667</x:v>
      </x:c>
      <x:c r="AC28" s="1298" t="n">
        <x:f>AC11+AC20+AC21+AC22+AC23+AC24+AC25+AC26+AC27</x:f>
        <x:v>12487.396541666667</x:v>
      </x:c>
      <x:c r="AD28" s="1298" t="n">
        <x:f>AD11+AD20+AD21+AD22+AD23+AD24+AD25+AD26+AD27</x:f>
        <x:v>12149.296541666665</x:v>
      </x:c>
      <x:c r="AE28" s="1298" t="n">
        <x:f>AE11+AE20+AE21+AE22+AE23+AE24+AE25+AE26+AE27</x:f>
        <x:v>12487.396541666667</x:v>
      </x:c>
      <x:c r="AF28" s="1298" t="n">
        <x:f>AF11+AF20+AF21+AF22+AF23+AF24+AF25+AF26+AF27</x:f>
        <x:v>12149.296541666665</x:v>
      </x:c>
      <x:c r="AG28" s="1298" t="n">
        <x:f>AG11+AG20+AG21+AG22+AG23+AG24+AG25+AG26+AG27</x:f>
        <x:v>12487.396541666667</x:v>
      </x:c>
      <x:c r="AH28" s="1298" t="n">
        <x:f>AH11+AH20+AH21+AH22+AH23+AH24+AH25+AH26+AH27</x:f>
        <x:v>12487.396541666667</x:v>
      </x:c>
      <x:c r="AI28" s="1298" t="n">
        <x:f>AI11+AI20+AI21+AI22+AI23+AI24+AI25+AI26+AI27</x:f>
        <x:v>11473.096541666664</x:v>
      </x:c>
      <x:c r="AJ28" s="1298" t="n">
        <x:f>AJ11+AJ20+AJ21+AJ22+AJ23+AJ24+AJ25+AJ26+AJ27</x:f>
        <x:v>12487.396541666667</x:v>
      </x:c>
      <x:c r="AK28" s="1298" t="n">
        <x:f>AK11+AK20+AK21+AK22+AK23+AK24+AK25+AK26+AK27</x:f>
        <x:v>12149.296541666665</x:v>
      </x:c>
      <x:c r="AL28" s="1298" t="n">
        <x:f>AL11+AL20+AL21+AL22+AL23+AL24+AL25+AL26+AL27</x:f>
        <x:v>12487.396541666667</x:v>
      </x:c>
      <x:c r="AM28" s="1299" t="n">
        <x:f>AM11+AM20+AM21+AM22+AM23+AM24+AM25+AM26+AM27</x:f>
        <x:v>12149.296541666665</x:v>
      </x:c>
    </x:row>
    <x:row r="29">
      <x:c r="A29" s="243" t="str">
        <x:v>EBITDA - base case</x:v>
      </x:c>
      <x:c r="B29" s="244" t="str">
        <x:v>ZAR'000</x:v>
      </x:c>
      <x:c r="C29" s="245" t="str">
        <x:v>Base case = BTC only</x:v>
      </x:c>
      <x:c r="D29" s="1297" t="n">
        <x:f>Revenue_36M!D20-D28</x:f>
        <x:v>-523</x:v>
      </x:c>
      <x:c r="E29" s="1298" t="n">
        <x:f>Revenue_36M!E20-E28</x:f>
        <x:v>-523</x:v>
      </x:c>
      <x:c r="F29" s="1298" t="n">
        <x:f>Revenue_36M!F20-F28</x:f>
        <x:v>1063.7503291810558</x:v>
      </x:c>
      <x:c r="G29" s="1298" t="n">
        <x:f>Revenue_36M!G20-G28</x:f>
        <x:v>5722.773434757624</x:v>
      </x:c>
      <x:c r="H29" s="1298" t="n">
        <x:f>Revenue_36M!H20-H28</x:f>
        <x:v>9694.081295680546</x:v>
      </x:c>
      <x:c r="I29" s="1298" t="n">
        <x:f>Revenue_36M!I20-I28</x:f>
        <x:v>14642.017517220722</x:v>
      </x:c>
      <x:c r="J29" s="1298" t="n">
        <x:f>Revenue_36M!J20-J28</x:f>
        <x:v>17873.135792120847</x:v>
      </x:c>
      <x:c r="K29" s="1298" t="n">
        <x:f>Revenue_36M!K20-K28</x:f>
        <x:v>16071.47331743313</x:v>
      </x:c>
      <x:c r="L29" s="1298" t="n">
        <x:f>Revenue_36M!L20-L28</x:f>
        <x:v>18106.405032905754</x:v>
      </x:c>
      <x:c r="M29" s="1298" t="n">
        <x:f>Revenue_36M!M20-M28</x:f>
        <x:v>17576.77623602659</x:v>
      </x:c>
      <x:c r="N29" s="1298" t="n">
        <x:f>Revenue_36M!N20-N28</x:f>
        <x:v>18341.40889615979</x:v>
      </x:c>
      <x:c r="O29" s="1298" t="n">
        <x:f>Revenue_36M!O20-O28</x:f>
        <x:v>17805.043338215768</x:v>
      </x:c>
      <x:c r="P29" s="1298" t="n">
        <x:f>Revenue_36M!P20-P28</x:f>
        <x:v>19084.87278077654</x:v>
      </x:c>
      <x:c r="Q29" s="1298" t="n">
        <x:f>Revenue_36M!Q20-Q28</x:f>
        <x:v>19203.907850708267</x:v>
      </x:c>
      <x:c r="R29" s="1298" t="n">
        <x:f>Revenue_36M!R20-R28</x:f>
        <x:v>18638.23310581803</x:v>
      </x:c>
      <x:c r="S29" s="1298" t="n">
        <x:f>Revenue_36M!S20-S28</x:f>
        <x:v>19443.304912809952</x:v>
      </x:c>
      <x:c r="T29" s="1298" t="n">
        <x:f>Revenue_36M!T20-T28</x:f>
        <x:v>18870.767468793514</x:v>
      </x:c>
      <x:c r="U29" s="1298" t="n">
        <x:f>Revenue_36M!U20-U28</x:f>
        <x:v>19684.482164711066</x:v>
      </x:c>
      <x:c r="V29" s="1298" t="n">
        <x:f>Revenue_36M!V20-V28</x:f>
        <x:v>19805.742494793034</x:v>
      </x:c>
      <x:c r="W29" s="1298" t="n">
        <x:f>Revenue_36M!W20-W28</x:f>
        <x:v>18518.17755312973</x:v>
      </x:c>
      <x:c r="X29" s="1298" t="n">
        <x:f>Revenue_36M!X20-X28</x:f>
        <x:v>20049.614882886344</x:v>
      </x:c>
      <x:c r="Y29" s="1298" t="n">
        <x:f>Revenue_36M!Y20-Y28</x:f>
        <x:v>19459.69659523996</x:v>
      </x:c>
      <x:c r="Z29" s="1298" t="n">
        <x:f>Revenue_36M!Z20-Z28</x:f>
        <x:v>20295.300739924664</x:v>
      </x:c>
      <x:c r="AA29" s="1298" t="n">
        <x:f>Revenue_36M!AA20-AA28</x:f>
        <x:v>19698.33947480136</x:v>
      </x:c>
      <x:c r="AB29" s="1298" t="n">
        <x:f>Revenue_36M!AB20-AB28</x:f>
        <x:v>21045.241176114883</x:v>
      </x:c>
      <x:c r="AC29" s="1298" t="n">
        <x:f>Revenue_36M!AC20-AC28</x:f>
        <x:v>21169.686931043514</x:v>
      </x:c>
      <x:c r="AD29" s="1298" t="n">
        <x:f>Revenue_36M!AD20-AD28</x:f>
        <x:v>20542.95287956737</x:v>
      </x:c>
      <x:c r="AE29" s="1298" t="n">
        <x:f>Revenue_36M!AE20-AE28</x:f>
        <x:v>21419.965677786182</x:v>
      </x:c>
      <x:c r="AF29" s="1298" t="n">
        <x:f>Revenue_36M!AF20-AF28</x:f>
        <x:v>20786.05698631444</x:v>
      </x:c>
      <x:c r="AG29" s="1298" t="n">
        <x:f>Revenue_36M!AG20-AG28</x:f>
        <x:v>21672.10553204643</x:v>
      </x:c>
      <x:c r="AH29" s="1298" t="n">
        <x:f>Revenue_36M!AH20-AH28</x:f>
        <x:v>21798.877695313953</x:v>
      </x:c>
      <x:c r="AI29" s="1298" t="n">
        <x:f>Revenue_36M!AI20-AI28</x:f>
        <x:v>19610.079990541628</x:v>
      </x:c>
      <x:c r="AJ29" s="1298" t="n">
        <x:f>Revenue_36M!AJ20-AJ28</x:f>
        <x:v>22053.835191956947</x:v>
      </x:c>
      <x:c r="AK29" s="1298" t="n">
        <x:f>Revenue_36M!AK20-AK28</x:f>
        <x:v>21401.755618508447</x:v>
      </x:c>
      <x:c r="AL29" s="1298" t="n">
        <x:f>Revenue_36M!AL20-AL28</x:f>
        <x:v>22310.68858795156</x:v>
      </x:c>
      <x:c r="AM29" s="1299" t="n">
        <x:f>Revenue_36M!AM20-AM28</x:f>
        <x:v>21651.245901686285</x:v>
      </x:c>
    </x:row>
    <x:row r="30">
      <x:c r="A30" s="261" t="str">
        <x:v>EBITDA - with optionality</x:v>
      </x:c>
      <x:c r="B30" s="262" t="str">
        <x:v>ZAR'000</x:v>
      </x:c>
      <x:c r="C30" s="263" t="str">
        <x:v>BTC + toggled optionality</x:v>
      </x:c>
      <x:c r="D30" s="1303" t="n">
        <x:f>Revenue_36M!D21-D28</x:f>
        <x:v>-523</x:v>
      </x:c>
      <x:c r="E30" s="1304" t="n">
        <x:f>Revenue_36M!E21-E28</x:f>
        <x:v>-523</x:v>
      </x:c>
      <x:c r="F30" s="1304" t="n">
        <x:f>Revenue_36M!F21-F28</x:f>
        <x:v>1063.7503291810558</x:v>
      </x:c>
      <x:c r="G30" s="1304" t="n">
        <x:f>Revenue_36M!G21-G28</x:f>
        <x:v>5722.773434757624</x:v>
      </x:c>
      <x:c r="H30" s="1304" t="n">
        <x:f>Revenue_36M!H21-H28</x:f>
        <x:v>9694.081295680546</x:v>
      </x:c>
      <x:c r="I30" s="1304" t="n">
        <x:f>Revenue_36M!I21-I28</x:f>
        <x:v>14642.017517220722</x:v>
      </x:c>
      <x:c r="J30" s="1304" t="n">
        <x:f>Revenue_36M!J21-J28</x:f>
        <x:v>17873.135792120847</x:v>
      </x:c>
      <x:c r="K30" s="1304" t="n">
        <x:f>Revenue_36M!K21-K28</x:f>
        <x:v>16071.47331743313</x:v>
      </x:c>
      <x:c r="L30" s="1304" t="n">
        <x:f>Revenue_36M!L21-L28</x:f>
        <x:v>18106.405032905754</x:v>
      </x:c>
      <x:c r="M30" s="1304" t="n">
        <x:f>Revenue_36M!M21-M28</x:f>
        <x:v>17576.77623602659</x:v>
      </x:c>
      <x:c r="N30" s="1304" t="n">
        <x:f>Revenue_36M!N21-N28</x:f>
        <x:v>18341.40889615979</x:v>
      </x:c>
      <x:c r="O30" s="1304" t="n">
        <x:f>Revenue_36M!O21-O28</x:f>
        <x:v>17805.043338215768</x:v>
      </x:c>
      <x:c r="P30" s="1304" t="n">
        <x:f>Revenue_36M!P21-P28</x:f>
        <x:v>19084.87278077654</x:v>
      </x:c>
      <x:c r="Q30" s="1304" t="n">
        <x:f>Revenue_36M!Q21-Q28</x:f>
        <x:v>19203.907850708267</x:v>
      </x:c>
      <x:c r="R30" s="1304" t="n">
        <x:f>Revenue_36M!R21-R28</x:f>
        <x:v>18638.23310581803</x:v>
      </x:c>
      <x:c r="S30" s="1304" t="n">
        <x:f>Revenue_36M!S21-S28</x:f>
        <x:v>19443.304912809952</x:v>
      </x:c>
      <x:c r="T30" s="1304" t="n">
        <x:f>Revenue_36M!T21-T28</x:f>
        <x:v>18870.767468793514</x:v>
      </x:c>
      <x:c r="U30" s="1304" t="n">
        <x:f>Revenue_36M!U21-U28</x:f>
        <x:v>19684.482164711066</x:v>
      </x:c>
      <x:c r="V30" s="1304" t="n">
        <x:f>Revenue_36M!V21-V28</x:f>
        <x:v>19805.742494793034</x:v>
      </x:c>
      <x:c r="W30" s="1304" t="n">
        <x:f>Revenue_36M!W21-W28</x:f>
        <x:v>18518.17755312973</x:v>
      </x:c>
      <x:c r="X30" s="1304" t="n">
        <x:f>Revenue_36M!X21-X28</x:f>
        <x:v>20049.614882886344</x:v>
      </x:c>
      <x:c r="Y30" s="1304" t="n">
        <x:f>Revenue_36M!Y21-Y28</x:f>
        <x:v>19459.69659523996</x:v>
      </x:c>
      <x:c r="Z30" s="1304" t="n">
        <x:f>Revenue_36M!Z21-Z28</x:f>
        <x:v>20295.300739924664</x:v>
      </x:c>
      <x:c r="AA30" s="1304" t="n">
        <x:f>Revenue_36M!AA21-AA28</x:f>
        <x:v>19698.33947480136</x:v>
      </x:c>
      <x:c r="AB30" s="1304" t="n">
        <x:f>Revenue_36M!AB21-AB28</x:f>
        <x:v>21045.241176114883</x:v>
      </x:c>
      <x:c r="AC30" s="1304" t="n">
        <x:f>Revenue_36M!AC21-AC28</x:f>
        <x:v>21169.686931043514</x:v>
      </x:c>
      <x:c r="AD30" s="1304" t="n">
        <x:f>Revenue_36M!AD21-AD28</x:f>
        <x:v>20542.95287956737</x:v>
      </x:c>
      <x:c r="AE30" s="1304" t="n">
        <x:f>Revenue_36M!AE21-AE28</x:f>
        <x:v>21419.965677786182</x:v>
      </x:c>
      <x:c r="AF30" s="1304" t="n">
        <x:f>Revenue_36M!AF21-AF28</x:f>
        <x:v>20786.05698631444</x:v>
      </x:c>
      <x:c r="AG30" s="1304" t="n">
        <x:f>Revenue_36M!AG21-AG28</x:f>
        <x:v>21672.10553204643</x:v>
      </x:c>
      <x:c r="AH30" s="1304" t="n">
        <x:f>Revenue_36M!AH21-AH28</x:f>
        <x:v>21798.877695313953</x:v>
      </x:c>
      <x:c r="AI30" s="1304" t="n">
        <x:f>Revenue_36M!AI21-AI28</x:f>
        <x:v>19610.079990541628</x:v>
      </x:c>
      <x:c r="AJ30" s="1304" t="n">
        <x:f>Revenue_36M!AJ21-AJ28</x:f>
        <x:v>22053.835191956947</x:v>
      </x:c>
      <x:c r="AK30" s="1304" t="n">
        <x:f>Revenue_36M!AK21-AK28</x:f>
        <x:v>21401.755618508447</x:v>
      </x:c>
      <x:c r="AL30" s="1304" t="n">
        <x:f>Revenue_36M!AL21-AL28</x:f>
        <x:v>22310.68858795156</x:v>
      </x:c>
      <x:c r="AM30" s="1305" t="n">
        <x:f>Revenue_36M!AM21-AM28</x:f>
        <x:v>21651.245901686285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3.56999969482422" hidden="0" customWidth="1"/>
    <x:col min="2" max="2" width="12.140000343322754" hidden="0" customWidth="1"/>
    <x:col min="3" max="3" width="30.709999084472656" hidden="0" customWidth="1"/>
    <x:col min="4" max="4" width="10.710000038146973" hidden="0" customWidth="1"/>
    <x:col min="5" max="5" width="10.710000038146973" hidden="0" customWidth="1"/>
    <x:col min="6" max="6" width="10.710000038146973" hidden="0" customWidth="1"/>
    <x:col min="7" max="7" width="10.710000038146973" hidden="0" customWidth="1"/>
    <x:col min="8" max="8" width="10.710000038146973" hidden="0" customWidth="1"/>
    <x:col min="9" max="9" width="10.710000038146973" hidden="0" customWidth="1"/>
    <x:col min="10" max="10" width="10.710000038146973" hidden="0" customWidth="1"/>
    <x:col min="11" max="11" width="10.710000038146973" hidden="0" customWidth="1"/>
    <x:col min="12" max="12" width="10.710000038146973" hidden="0" customWidth="1"/>
    <x:col min="13" max="13" width="10.710000038146973" hidden="0" customWidth="1"/>
    <x:col min="14" max="14" width="10.710000038146973" hidden="0" customWidth="1"/>
    <x:col min="15" max="15" width="10.710000038146973" hidden="0" customWidth="1"/>
    <x:col min="16" max="16" width="10.710000038146973" hidden="0" customWidth="1"/>
    <x:col min="17" max="17" width="10.710000038146973" hidden="0" customWidth="1"/>
    <x:col min="18" max="18" width="10.710000038146973" hidden="0" customWidth="1"/>
    <x:col min="19" max="19" width="10.710000038146973" hidden="0" customWidth="1"/>
    <x:col min="20" max="20" width="10.710000038146973" hidden="0" customWidth="1"/>
    <x:col min="21" max="21" width="10.710000038146973" hidden="0" customWidth="1"/>
    <x:col min="22" max="22" width="10.710000038146973" hidden="0" customWidth="1"/>
    <x:col min="23" max="23" width="10.710000038146973" hidden="0" customWidth="1"/>
    <x:col min="24" max="24" width="10.710000038146973" hidden="0" customWidth="1"/>
    <x:col min="25" max="25" width="10.710000038146973" hidden="0" customWidth="1"/>
    <x:col min="26" max="26" width="10.710000038146973" hidden="0" customWidth="1"/>
    <x:col min="27" max="27" width="10.710000038146973" hidden="0" customWidth="1"/>
    <x:col min="28" max="28" width="10.710000038146973" hidden="0" customWidth="1"/>
    <x:col min="29" max="29" width="10.710000038146973" hidden="0" customWidth="1"/>
    <x:col min="30" max="30" width="10.710000038146973" hidden="0" customWidth="1"/>
    <x:col min="31" max="31" width="10.710000038146973" hidden="0" customWidth="1"/>
    <x:col min="32" max="32" width="10.710000038146973" hidden="0" customWidth="1"/>
    <x:col min="33" max="33" width="10.710000038146973" hidden="0" customWidth="1"/>
    <x:col min="34" max="34" width="10.710000038146973" hidden="0" customWidth="1"/>
    <x:col min="35" max="35" width="10.710000038146973" hidden="0" customWidth="1"/>
    <x:col min="36" max="36" width="10.710000038146973" hidden="0" customWidth="1"/>
    <x:col min="37" max="37" width="10.710000038146973" hidden="0" customWidth="1"/>
    <x:col min="38" max="38" width="10.710000038146973" hidden="0" customWidth="1"/>
    <x:col min="39" max="39" width="10.710000038146973" hidden="0" customWidth="1"/>
  </x:cols>
  <x:sheetData>
    <x:row r="1">
      <x:c r="A1" s="128" t="str">
        <x:v>Capex_36M | Simplified staged payment model for Phase 1 buildout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  <x:c r="Y1" s="128"/>
      <x:c r="Z1" s="128"/>
      <x:c r="AA1" s="128"/>
      <x:c r="AB1" s="128"/>
      <x:c r="AC1" s="128"/>
      <x:c r="AD1" s="128"/>
      <x:c r="AE1" s="128"/>
      <x:c r="AF1" s="128"/>
      <x:c r="AG1" s="128"/>
      <x:c r="AH1" s="128"/>
      <x:c r="AI1" s="128"/>
      <x:c r="AJ1" s="128"/>
      <x:c r="AK1" s="128"/>
      <x:c r="AL1" s="128"/>
      <x:c r="AM1" s="128"/>
    </x:row>
    <x:row r="2">
      <x:c r="A2" s="133" t="str">
        <x:v>Designed to stay compact. Hardware, container and EPC cash timing uses staged payments rather than the full legal vendor schedule in the detailed master model.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  <x:c r="P2" s="133"/>
      <x:c r="Q2" s="133"/>
      <x:c r="R2" s="133"/>
      <x:c r="S2" s="133"/>
      <x:c r="T2" s="133"/>
      <x:c r="U2" s="133"/>
      <x:c r="V2" s="133"/>
      <x:c r="W2" s="133"/>
      <x:c r="X2" s="133"/>
      <x:c r="Y2" s="133"/>
      <x:c r="Z2" s="133"/>
      <x:c r="AA2" s="133"/>
      <x:c r="AB2" s="133"/>
      <x:c r="AC2" s="133"/>
      <x:c r="AD2" s="133"/>
      <x:c r="AE2" s="133"/>
      <x:c r="AF2" s="133"/>
      <x:c r="AG2" s="133"/>
      <x:c r="AH2" s="133"/>
      <x:c r="AI2" s="133"/>
      <x:c r="AJ2" s="133"/>
      <x:c r="AK2" s="133"/>
      <x:c r="AL2" s="133"/>
      <x:c r="AM2" s="133"/>
    </x:row>
    <x:row r="4">
      <x:c r="A4" s="140" t="str">
        <x:v>Metric</x:v>
      </x:c>
      <x:c r="B4" s="141" t="str">
        <x:v>Unit</x:v>
      </x:c>
      <x:c r="C4" s="142" t="str">
        <x:v>Notes</x:v>
      </x:c>
    </x:row>
    <x:row r="5">
      <x:c r="A5" s="143" t="str">
        <x:v>Date</x:v>
      </x:c>
      <x:c r="B5" s="136" t="str">
        <x:v>date</x:v>
      </x:c>
      <x:c r="C5" s="144" t="str">
        <x:v>Linked from deployment</x:v>
      </x:c>
      <x:c r="D5" s="1249" t="n">
        <x:f>Deployment_36M!D5</x:f>
        <x:v>46204</x:v>
      </x:c>
      <x:c r="E5" s="1250" t="n">
        <x:f>Deployment_36M!E5</x:f>
        <x:v>46235</x:v>
      </x:c>
      <x:c r="F5" s="1250" t="n">
        <x:f>Deployment_36M!F5</x:f>
        <x:v>46266</x:v>
      </x:c>
      <x:c r="G5" s="1250" t="n">
        <x:f>Deployment_36M!G5</x:f>
        <x:v>46296</x:v>
      </x:c>
      <x:c r="H5" s="1250" t="n">
        <x:f>Deployment_36M!H5</x:f>
        <x:v>46327</x:v>
      </x:c>
      <x:c r="I5" s="1250" t="n">
        <x:f>Deployment_36M!I5</x:f>
        <x:v>46357</x:v>
      </x:c>
      <x:c r="J5" s="1250" t="n">
        <x:f>Deployment_36M!J5</x:f>
        <x:v>46388</x:v>
      </x:c>
      <x:c r="K5" s="1250" t="n">
        <x:f>Deployment_36M!K5</x:f>
        <x:v>46419</x:v>
      </x:c>
      <x:c r="L5" s="1250" t="n">
        <x:f>Deployment_36M!L5</x:f>
        <x:v>46447</x:v>
      </x:c>
      <x:c r="M5" s="1250" t="n">
        <x:f>Deployment_36M!M5</x:f>
        <x:v>46478</x:v>
      </x:c>
      <x:c r="N5" s="1250" t="n">
        <x:f>Deployment_36M!N5</x:f>
        <x:v>46508</x:v>
      </x:c>
      <x:c r="O5" s="1250" t="n">
        <x:f>Deployment_36M!O5</x:f>
        <x:v>46539</x:v>
      </x:c>
      <x:c r="P5" s="1250" t="n">
        <x:f>Deployment_36M!P5</x:f>
        <x:v>46569</x:v>
      </x:c>
      <x:c r="Q5" s="1250" t="n">
        <x:f>Deployment_36M!Q5</x:f>
        <x:v>46600</x:v>
      </x:c>
      <x:c r="R5" s="1250" t="n">
        <x:f>Deployment_36M!R5</x:f>
        <x:v>46631</x:v>
      </x:c>
      <x:c r="S5" s="1250" t="n">
        <x:f>Deployment_36M!S5</x:f>
        <x:v>46661</x:v>
      </x:c>
      <x:c r="T5" s="1250" t="n">
        <x:f>Deployment_36M!T5</x:f>
        <x:v>46692</x:v>
      </x:c>
      <x:c r="U5" s="1250" t="n">
        <x:f>Deployment_36M!U5</x:f>
        <x:v>46722</x:v>
      </x:c>
      <x:c r="V5" s="1250" t="n">
        <x:f>Deployment_36M!V5</x:f>
        <x:v>46753</x:v>
      </x:c>
      <x:c r="W5" s="1250" t="n">
        <x:f>Deployment_36M!W5</x:f>
        <x:v>46784</x:v>
      </x:c>
      <x:c r="X5" s="1250" t="n">
        <x:f>Deployment_36M!X5</x:f>
        <x:v>46813</x:v>
      </x:c>
      <x:c r="Y5" s="1250" t="n">
        <x:f>Deployment_36M!Y5</x:f>
        <x:v>46844</x:v>
      </x:c>
      <x:c r="Z5" s="1250" t="n">
        <x:f>Deployment_36M!Z5</x:f>
        <x:v>46874</x:v>
      </x:c>
      <x:c r="AA5" s="1250" t="n">
        <x:f>Deployment_36M!AA5</x:f>
        <x:v>46905</x:v>
      </x:c>
      <x:c r="AB5" s="1250" t="n">
        <x:f>Deployment_36M!AB5</x:f>
        <x:v>46935</x:v>
      </x:c>
      <x:c r="AC5" s="1250" t="n">
        <x:f>Deployment_36M!AC5</x:f>
        <x:v>46966</x:v>
      </x:c>
      <x:c r="AD5" s="1250" t="n">
        <x:f>Deployment_36M!AD5</x:f>
        <x:v>46997</x:v>
      </x:c>
      <x:c r="AE5" s="1250" t="n">
        <x:f>Deployment_36M!AE5</x:f>
        <x:v>47027</x:v>
      </x:c>
      <x:c r="AF5" s="1250" t="n">
        <x:f>Deployment_36M!AF5</x:f>
        <x:v>47058</x:v>
      </x:c>
      <x:c r="AG5" s="1250" t="n">
        <x:f>Deployment_36M!AG5</x:f>
        <x:v>47088</x:v>
      </x:c>
      <x:c r="AH5" s="1250" t="n">
        <x:f>Deployment_36M!AH5</x:f>
        <x:v>47119</x:v>
      </x:c>
      <x:c r="AI5" s="1250" t="n">
        <x:f>Deployment_36M!AI5</x:f>
        <x:v>47150</x:v>
      </x:c>
      <x:c r="AJ5" s="1250" t="n">
        <x:f>Deployment_36M!AJ5</x:f>
        <x:v>47178</x:v>
      </x:c>
      <x:c r="AK5" s="1250" t="n">
        <x:f>Deployment_36M!AK5</x:f>
        <x:v>47209</x:v>
      </x:c>
      <x:c r="AL5" s="1250" t="n">
        <x:f>Deployment_36M!AL5</x:f>
        <x:v>47239</x:v>
      </x:c>
      <x:c r="AM5" s="1251" t="n">
        <x:f>Deployment_36M!AM5</x:f>
        <x:v>47270</x:v>
      </x:c>
    </x:row>
    <x:row r="6">
      <x:c r="A6" s="143" t="str">
        <x:v>Days in month</x:v>
      </x:c>
      <x:c r="B6" s="136" t="str">
        <x:v>days</x:v>
      </x:c>
      <x:c r="C6" s="144" t="str">
        <x:v>Linked from deployment</x:v>
      </x:c>
      <x:c r="D6" s="1252" t="n">
        <x:f>Deployment_36M!D6</x:f>
        <x:v>31</x:v>
      </x:c>
      <x:c r="E6" s="1253" t="n">
        <x:f>Deployment_36M!E6</x:f>
        <x:v>31</x:v>
      </x:c>
      <x:c r="F6" s="1253" t="n">
        <x:f>Deployment_36M!F6</x:f>
        <x:v>30</x:v>
      </x:c>
      <x:c r="G6" s="1253" t="n">
        <x:f>Deployment_36M!G6</x:f>
        <x:v>31</x:v>
      </x:c>
      <x:c r="H6" s="1253" t="n">
        <x:f>Deployment_36M!H6</x:f>
        <x:v>30</x:v>
      </x:c>
      <x:c r="I6" s="1253" t="n">
        <x:f>Deployment_36M!I6</x:f>
        <x:v>31</x:v>
      </x:c>
      <x:c r="J6" s="1253" t="n">
        <x:f>Deployment_36M!J6</x:f>
        <x:v>31</x:v>
      </x:c>
      <x:c r="K6" s="1253" t="n">
        <x:f>Deployment_36M!K6</x:f>
        <x:v>28</x:v>
      </x:c>
      <x:c r="L6" s="1253" t="n">
        <x:f>Deployment_36M!L6</x:f>
        <x:v>31</x:v>
      </x:c>
      <x:c r="M6" s="1253" t="n">
        <x:f>Deployment_36M!M6</x:f>
        <x:v>30</x:v>
      </x:c>
      <x:c r="N6" s="1253" t="n">
        <x:f>Deployment_36M!N6</x:f>
        <x:v>31</x:v>
      </x:c>
      <x:c r="O6" s="1253" t="n">
        <x:f>Deployment_36M!O6</x:f>
        <x:v>30</x:v>
      </x:c>
      <x:c r="P6" s="1253" t="n">
        <x:f>Deployment_36M!P6</x:f>
        <x:v>31</x:v>
      </x:c>
      <x:c r="Q6" s="1253" t="n">
        <x:f>Deployment_36M!Q6</x:f>
        <x:v>31</x:v>
      </x:c>
      <x:c r="R6" s="1253" t="n">
        <x:f>Deployment_36M!R6</x:f>
        <x:v>30</x:v>
      </x:c>
      <x:c r="S6" s="1253" t="n">
        <x:f>Deployment_36M!S6</x:f>
        <x:v>31</x:v>
      </x:c>
      <x:c r="T6" s="1253" t="n">
        <x:f>Deployment_36M!T6</x:f>
        <x:v>30</x:v>
      </x:c>
      <x:c r="U6" s="1253" t="n">
        <x:f>Deployment_36M!U6</x:f>
        <x:v>31</x:v>
      </x:c>
      <x:c r="V6" s="1253" t="n">
        <x:f>Deployment_36M!V6</x:f>
        <x:v>31</x:v>
      </x:c>
      <x:c r="W6" s="1253" t="n">
        <x:f>Deployment_36M!W6</x:f>
        <x:v>29</x:v>
      </x:c>
      <x:c r="X6" s="1253" t="n">
        <x:f>Deployment_36M!X6</x:f>
        <x:v>31</x:v>
      </x:c>
      <x:c r="Y6" s="1253" t="n">
        <x:f>Deployment_36M!Y6</x:f>
        <x:v>30</x:v>
      </x:c>
      <x:c r="Z6" s="1253" t="n">
        <x:f>Deployment_36M!Z6</x:f>
        <x:v>31</x:v>
      </x:c>
      <x:c r="AA6" s="1253" t="n">
        <x:f>Deployment_36M!AA6</x:f>
        <x:v>30</x:v>
      </x:c>
      <x:c r="AB6" s="1253" t="n">
        <x:f>Deployment_36M!AB6</x:f>
        <x:v>31</x:v>
      </x:c>
      <x:c r="AC6" s="1253" t="n">
        <x:f>Deployment_36M!AC6</x:f>
        <x:v>31</x:v>
      </x:c>
      <x:c r="AD6" s="1253" t="n">
        <x:f>Deployment_36M!AD6</x:f>
        <x:v>30</x:v>
      </x:c>
      <x:c r="AE6" s="1253" t="n">
        <x:f>Deployment_36M!AE6</x:f>
        <x:v>31</x:v>
      </x:c>
      <x:c r="AF6" s="1253" t="n">
        <x:f>Deployment_36M!AF6</x:f>
        <x:v>30</x:v>
      </x:c>
      <x:c r="AG6" s="1253" t="n">
        <x:f>Deployment_36M!AG6</x:f>
        <x:v>31</x:v>
      </x:c>
      <x:c r="AH6" s="1253" t="n">
        <x:f>Deployment_36M!AH6</x:f>
        <x:v>31</x:v>
      </x:c>
      <x:c r="AI6" s="1253" t="n">
        <x:f>Deployment_36M!AI6</x:f>
        <x:v>28</x:v>
      </x:c>
      <x:c r="AJ6" s="1253" t="n">
        <x:f>Deployment_36M!AJ6</x:f>
        <x:v>31</x:v>
      </x:c>
      <x:c r="AK6" s="1253" t="n">
        <x:f>Deployment_36M!AK6</x:f>
        <x:v>30</x:v>
      </x:c>
      <x:c r="AL6" s="1253" t="n">
        <x:f>Deployment_36M!AL6</x:f>
        <x:v>31</x:v>
      </x:c>
      <x:c r="AM6" s="1254" t="n">
        <x:f>Deployment_36M!AM6</x:f>
        <x:v>30</x:v>
      </x:c>
    </x:row>
    <x:row r="7">
      <x:c r="A7" s="147"/>
      <x:c r="B7" s="148"/>
      <x:c r="C7" s="149"/>
      <x:c r="D7" s="1165"/>
      <x:c r="E7" s="1166"/>
      <x:c r="F7" s="1166"/>
      <x:c r="G7" s="1166"/>
      <x:c r="H7" s="1166"/>
      <x:c r="I7" s="1166"/>
      <x:c r="J7" s="1166"/>
      <x:c r="K7" s="1166"/>
      <x:c r="L7" s="1166"/>
      <x:c r="M7" s="1166"/>
      <x:c r="N7" s="1166"/>
      <x:c r="O7" s="1166"/>
      <x:c r="P7" s="1166"/>
      <x:c r="Q7" s="1166"/>
      <x:c r="R7" s="1166"/>
      <x:c r="S7" s="1166"/>
      <x:c r="T7" s="1166"/>
      <x:c r="U7" s="1166"/>
      <x:c r="V7" s="1166"/>
      <x:c r="W7" s="1166"/>
      <x:c r="X7" s="1166"/>
      <x:c r="Y7" s="1166"/>
      <x:c r="Z7" s="1166"/>
      <x:c r="AA7" s="1166"/>
      <x:c r="AB7" s="1166"/>
      <x:c r="AC7" s="1166"/>
      <x:c r="AD7" s="1166"/>
      <x:c r="AE7" s="1166"/>
      <x:c r="AF7" s="1166"/>
      <x:c r="AG7" s="1166"/>
      <x:c r="AH7" s="1166"/>
      <x:c r="AI7" s="1166"/>
      <x:c r="AJ7" s="1166"/>
      <x:c r="AK7" s="1166"/>
      <x:c r="AL7" s="1166"/>
      <x:c r="AM7" s="1167"/>
    </x:row>
    <x:row r="8">
      <x:c r="A8" s="147" t="str">
        <x:v>New MW commissioned</x:v>
      </x:c>
      <x:c r="B8" s="148" t="str">
        <x:v>MW</x:v>
      </x:c>
      <x:c r="C8" s="149" t="str">
        <x:v>Linked from deployment</x:v>
      </x:c>
      <x:c r="D8" s="1210" t="n">
        <x:f>Deployment_36M!D27</x:f>
        <x:v>0</x:v>
      </x:c>
      <x:c r="E8" s="1211" t="n">
        <x:f>Deployment_36M!E27</x:f>
        <x:v>0</x:v>
      </x:c>
      <x:c r="F8" s="1211" t="n">
        <x:f>Deployment_36M!F27</x:f>
        <x:v>5</x:v>
      </x:c>
      <x:c r="G8" s="1211" t="n">
        <x:f>Deployment_36M!G27</x:f>
        <x:v>5</x:v>
      </x:c>
      <x:c r="H8" s="1211" t="n">
        <x:f>Deployment_36M!H27</x:f>
        <x:v>5</x:v>
      </x:c>
      <x:c r="I8" s="1211" t="n">
        <x:f>Deployment_36M!I27</x:f>
        <x:v>5</x:v>
      </x:c>
      <x:c r="J8" s="1211" t="n">
        <x:f>Deployment_36M!J27</x:f>
        <x:v>0</x:v>
      </x:c>
      <x:c r="K8" s="1211" t="n">
        <x:f>Deployment_36M!K27</x:f>
        <x:v>0</x:v>
      </x:c>
      <x:c r="L8" s="1211" t="n">
        <x:f>Deployment_36M!L27</x:f>
        <x:v>0</x:v>
      </x:c>
      <x:c r="M8" s="1211" t="n">
        <x:f>Deployment_36M!M27</x:f>
        <x:v>0</x:v>
      </x:c>
      <x:c r="N8" s="1211" t="n">
        <x:f>Deployment_36M!N27</x:f>
        <x:v>0</x:v>
      </x:c>
      <x:c r="O8" s="1211" t="n">
        <x:f>Deployment_36M!O27</x:f>
        <x:v>0</x:v>
      </x:c>
      <x:c r="P8" s="1211" t="n">
        <x:f>Deployment_36M!P27</x:f>
        <x:v>0</x:v>
      </x:c>
      <x:c r="Q8" s="1211" t="n">
        <x:f>Deployment_36M!Q27</x:f>
        <x:v>0</x:v>
      </x:c>
      <x:c r="R8" s="1211" t="n">
        <x:f>Deployment_36M!R27</x:f>
        <x:v>0</x:v>
      </x:c>
      <x:c r="S8" s="1211" t="n">
        <x:f>Deployment_36M!S27</x:f>
        <x:v>0</x:v>
      </x:c>
      <x:c r="T8" s="1211" t="n">
        <x:f>Deployment_36M!T27</x:f>
        <x:v>0</x:v>
      </x:c>
      <x:c r="U8" s="1211" t="n">
        <x:f>Deployment_36M!U27</x:f>
        <x:v>0</x:v>
      </x:c>
      <x:c r="V8" s="1211" t="n">
        <x:f>Deployment_36M!V27</x:f>
        <x:v>0</x:v>
      </x:c>
      <x:c r="W8" s="1211" t="n">
        <x:f>Deployment_36M!W27</x:f>
        <x:v>0</x:v>
      </x:c>
      <x:c r="X8" s="1211" t="n">
        <x:f>Deployment_36M!X27</x:f>
        <x:v>0</x:v>
      </x:c>
      <x:c r="Y8" s="1211" t="n">
        <x:f>Deployment_36M!Y27</x:f>
        <x:v>0</x:v>
      </x:c>
      <x:c r="Z8" s="1211" t="n">
        <x:f>Deployment_36M!Z27</x:f>
        <x:v>0</x:v>
      </x:c>
      <x:c r="AA8" s="1211" t="n">
        <x:f>Deployment_36M!AA27</x:f>
        <x:v>0</x:v>
      </x:c>
      <x:c r="AB8" s="1211" t="n">
        <x:f>Deployment_36M!AB27</x:f>
        <x:v>0</x:v>
      </x:c>
      <x:c r="AC8" s="1211" t="n">
        <x:f>Deployment_36M!AC27</x:f>
        <x:v>0</x:v>
      </x:c>
      <x:c r="AD8" s="1211" t="n">
        <x:f>Deployment_36M!AD27</x:f>
        <x:v>0</x:v>
      </x:c>
      <x:c r="AE8" s="1211" t="n">
        <x:f>Deployment_36M!AE27</x:f>
        <x:v>0</x:v>
      </x:c>
      <x:c r="AF8" s="1211" t="n">
        <x:f>Deployment_36M!AF27</x:f>
        <x:v>0</x:v>
      </x:c>
      <x:c r="AG8" s="1211" t="n">
        <x:f>Deployment_36M!AG27</x:f>
        <x:v>0</x:v>
      </x:c>
      <x:c r="AH8" s="1211" t="n">
        <x:f>Deployment_36M!AH27</x:f>
        <x:v>0</x:v>
      </x:c>
      <x:c r="AI8" s="1211" t="n">
        <x:f>Deployment_36M!AI27</x:f>
        <x:v>0</x:v>
      </x:c>
      <x:c r="AJ8" s="1211" t="n">
        <x:f>Deployment_36M!AJ27</x:f>
        <x:v>0</x:v>
      </x:c>
      <x:c r="AK8" s="1211" t="n">
        <x:f>Deployment_36M!AK27</x:f>
        <x:v>0</x:v>
      </x:c>
      <x:c r="AL8" s="1211" t="n">
        <x:f>Deployment_36M!AL27</x:f>
        <x:v>0</x:v>
      </x:c>
      <x:c r="AM8" s="1212" t="n">
        <x:f>Deployment_36M!AM27</x:f>
        <x:v>0</x:v>
      </x:c>
    </x:row>
    <x:row r="9">
      <x:c r="A9" s="147" t="str">
        <x:v>New containers commissioned</x:v>
      </x:c>
      <x:c r="B9" s="148" t="str">
        <x:v>containers</x:v>
      </x:c>
      <x:c r="C9" s="149" t="str">
        <x:v>Linked from deployment</x:v>
      </x:c>
      <x:c r="D9" s="1243" t="n">
        <x:f>Deployment_36M!D52</x:f>
        <x:v>0</x:v>
      </x:c>
      <x:c r="E9" s="1244" t="n">
        <x:f>Deployment_36M!E52</x:f>
        <x:v>0</x:v>
      </x:c>
      <x:c r="F9" s="1244" t="n">
        <x:f>Deployment_36M!F52</x:f>
        <x:v>3</x:v>
      </x:c>
      <x:c r="G9" s="1244" t="n">
        <x:f>Deployment_36M!G52</x:f>
        <x:v>2</x:v>
      </x:c>
      <x:c r="H9" s="1244" t="n">
        <x:f>Deployment_36M!H52</x:f>
        <x:v>2</x:v>
      </x:c>
      <x:c r="I9" s="1244" t="n">
        <x:f>Deployment_36M!I52</x:f>
        <x:v>3</x:v>
      </x:c>
      <x:c r="J9" s="1244" t="n">
        <x:f>Deployment_36M!J52</x:f>
        <x:v>0</x:v>
      </x:c>
      <x:c r="K9" s="1244" t="n">
        <x:f>Deployment_36M!K52</x:f>
        <x:v>0</x:v>
      </x:c>
      <x:c r="L9" s="1244" t="n">
        <x:f>Deployment_36M!L52</x:f>
        <x:v>0</x:v>
      </x:c>
      <x:c r="M9" s="1244" t="n">
        <x:f>Deployment_36M!M52</x:f>
        <x:v>0</x:v>
      </x:c>
      <x:c r="N9" s="1244" t="n">
        <x:f>Deployment_36M!N52</x:f>
        <x:v>0</x:v>
      </x:c>
      <x:c r="O9" s="1244" t="n">
        <x:f>Deployment_36M!O52</x:f>
        <x:v>0</x:v>
      </x:c>
      <x:c r="P9" s="1244" t="n">
        <x:f>Deployment_36M!P52</x:f>
        <x:v>0</x:v>
      </x:c>
      <x:c r="Q9" s="1244" t="n">
        <x:f>Deployment_36M!Q52</x:f>
        <x:v>0</x:v>
      </x:c>
      <x:c r="R9" s="1244" t="n">
        <x:f>Deployment_36M!R52</x:f>
        <x:v>0</x:v>
      </x:c>
      <x:c r="S9" s="1244" t="n">
        <x:f>Deployment_36M!S52</x:f>
        <x:v>0</x:v>
      </x:c>
      <x:c r="T9" s="1244" t="n">
        <x:f>Deployment_36M!T52</x:f>
        <x:v>0</x:v>
      </x:c>
      <x:c r="U9" s="1244" t="n">
        <x:f>Deployment_36M!U52</x:f>
        <x:v>0</x:v>
      </x:c>
      <x:c r="V9" s="1244" t="n">
        <x:f>Deployment_36M!V52</x:f>
        <x:v>0</x:v>
      </x:c>
      <x:c r="W9" s="1244" t="n">
        <x:f>Deployment_36M!W52</x:f>
        <x:v>0</x:v>
      </x:c>
      <x:c r="X9" s="1244" t="n">
        <x:f>Deployment_36M!X52</x:f>
        <x:v>0</x:v>
      </x:c>
      <x:c r="Y9" s="1244" t="n">
        <x:f>Deployment_36M!Y52</x:f>
        <x:v>0</x:v>
      </x:c>
      <x:c r="Z9" s="1244" t="n">
        <x:f>Deployment_36M!Z52</x:f>
        <x:v>0</x:v>
      </x:c>
      <x:c r="AA9" s="1244" t="n">
        <x:f>Deployment_36M!AA52</x:f>
        <x:v>0</x:v>
      </x:c>
      <x:c r="AB9" s="1244" t="n">
        <x:f>Deployment_36M!AB52</x:f>
        <x:v>0</x:v>
      </x:c>
      <x:c r="AC9" s="1244" t="n">
        <x:f>Deployment_36M!AC52</x:f>
        <x:v>0</x:v>
      </x:c>
      <x:c r="AD9" s="1244" t="n">
        <x:f>Deployment_36M!AD52</x:f>
        <x:v>0</x:v>
      </x:c>
      <x:c r="AE9" s="1244" t="n">
        <x:f>Deployment_36M!AE52</x:f>
        <x:v>0</x:v>
      </x:c>
      <x:c r="AF9" s="1244" t="n">
        <x:f>Deployment_36M!AF52</x:f>
        <x:v>0</x:v>
      </x:c>
      <x:c r="AG9" s="1244" t="n">
        <x:f>Deployment_36M!AG52</x:f>
        <x:v>0</x:v>
      </x:c>
      <x:c r="AH9" s="1244" t="n">
        <x:f>Deployment_36M!AH52</x:f>
        <x:v>0</x:v>
      </x:c>
      <x:c r="AI9" s="1244" t="n">
        <x:f>Deployment_36M!AI52</x:f>
        <x:v>0</x:v>
      </x:c>
      <x:c r="AJ9" s="1244" t="n">
        <x:f>Deployment_36M!AJ52</x:f>
        <x:v>0</x:v>
      </x:c>
      <x:c r="AK9" s="1244" t="n">
        <x:f>Deployment_36M!AK52</x:f>
        <x:v>0</x:v>
      </x:c>
      <x:c r="AL9" s="1244" t="n">
        <x:f>Deployment_36M!AL52</x:f>
        <x:v>0</x:v>
      </x:c>
      <x:c r="AM9" s="1245" t="n">
        <x:f>Deployment_36M!AM52</x:f>
        <x:v>0</x:v>
      </x:c>
    </x:row>
    <x:row r="10">
      <x:c r="A10" s="147" t="str">
        <x:v>New solar MW</x:v>
      </x:c>
      <x:c r="B10" s="148" t="str">
        <x:v>MW</x:v>
      </x:c>
      <x:c r="C10" s="149" t="str">
        <x:v>Linked from deployment</x:v>
      </x:c>
      <x:c r="D10" s="1210" t="n">
        <x:f>Deployment_36M!D26</x:f>
        <x:v>0</x:v>
      </x:c>
      <x:c r="E10" s="1211" t="n">
        <x:f>Deployment_36M!E26</x:f>
        <x:v>0</x:v>
      </x:c>
      <x:c r="F10" s="1211" t="n">
        <x:f>Deployment_36M!F26</x:f>
        <x:v>0</x:v>
      </x:c>
      <x:c r="G10" s="1211" t="n">
        <x:f>Deployment_36M!G26</x:f>
        <x:v>0</x:v>
      </x:c>
      <x:c r="H10" s="1211" t="n">
        <x:f>Deployment_36M!H26</x:f>
        <x:v>10</x:v>
      </x:c>
      <x:c r="I10" s="1211" t="n">
        <x:f>Deployment_36M!I26</x:f>
        <x:v>0</x:v>
      </x:c>
      <x:c r="J10" s="1211" t="n">
        <x:f>Deployment_36M!J26</x:f>
        <x:v>0</x:v>
      </x:c>
      <x:c r="K10" s="1211" t="n">
        <x:f>Deployment_36M!K26</x:f>
        <x:v>0</x:v>
      </x:c>
      <x:c r="L10" s="1211" t="n">
        <x:f>Deployment_36M!L26</x:f>
        <x:v>0</x:v>
      </x:c>
      <x:c r="M10" s="1211" t="n">
        <x:f>Deployment_36M!M26</x:f>
        <x:v>0</x:v>
      </x:c>
      <x:c r="N10" s="1211" t="n">
        <x:f>Deployment_36M!N26</x:f>
        <x:v>0</x:v>
      </x:c>
      <x:c r="O10" s="1211" t="n">
        <x:f>Deployment_36M!O26</x:f>
        <x:v>0</x:v>
      </x:c>
      <x:c r="P10" s="1211" t="n">
        <x:f>Deployment_36M!P26</x:f>
        <x:v>0</x:v>
      </x:c>
      <x:c r="Q10" s="1211" t="n">
        <x:f>Deployment_36M!Q26</x:f>
        <x:v>0</x:v>
      </x:c>
      <x:c r="R10" s="1211" t="n">
        <x:f>Deployment_36M!R26</x:f>
        <x:v>0</x:v>
      </x:c>
      <x:c r="S10" s="1211" t="n">
        <x:f>Deployment_36M!S26</x:f>
        <x:v>0</x:v>
      </x:c>
      <x:c r="T10" s="1211" t="n">
        <x:f>Deployment_36M!T26</x:f>
        <x:v>0</x:v>
      </x:c>
      <x:c r="U10" s="1211" t="n">
        <x:f>Deployment_36M!U26</x:f>
        <x:v>0</x:v>
      </x:c>
      <x:c r="V10" s="1211" t="n">
        <x:f>Deployment_36M!V26</x:f>
        <x:v>0</x:v>
      </x:c>
      <x:c r="W10" s="1211" t="n">
        <x:f>Deployment_36M!W26</x:f>
        <x:v>0</x:v>
      </x:c>
      <x:c r="X10" s="1211" t="n">
        <x:f>Deployment_36M!X26</x:f>
        <x:v>0</x:v>
      </x:c>
      <x:c r="Y10" s="1211" t="n">
        <x:f>Deployment_36M!Y26</x:f>
        <x:v>0</x:v>
      </x:c>
      <x:c r="Z10" s="1211" t="n">
        <x:f>Deployment_36M!Z26</x:f>
        <x:v>0</x:v>
      </x:c>
      <x:c r="AA10" s="1211" t="n">
        <x:f>Deployment_36M!AA26</x:f>
        <x:v>0</x:v>
      </x:c>
      <x:c r="AB10" s="1211" t="n">
        <x:f>Deployment_36M!AB26</x:f>
        <x:v>0</x:v>
      </x:c>
      <x:c r="AC10" s="1211" t="n">
        <x:f>Deployment_36M!AC26</x:f>
        <x:v>0</x:v>
      </x:c>
      <x:c r="AD10" s="1211" t="n">
        <x:f>Deployment_36M!AD26</x:f>
        <x:v>0</x:v>
      </x:c>
      <x:c r="AE10" s="1211" t="n">
        <x:f>Deployment_36M!AE26</x:f>
        <x:v>0</x:v>
      </x:c>
      <x:c r="AF10" s="1211" t="n">
        <x:f>Deployment_36M!AF26</x:f>
        <x:v>0</x:v>
      </x:c>
      <x:c r="AG10" s="1211" t="n">
        <x:f>Deployment_36M!AG26</x:f>
        <x:v>0</x:v>
      </x:c>
      <x:c r="AH10" s="1211" t="n">
        <x:f>Deployment_36M!AH26</x:f>
        <x:v>0</x:v>
      </x:c>
      <x:c r="AI10" s="1211" t="n">
        <x:f>Deployment_36M!AI26</x:f>
        <x:v>0</x:v>
      </x:c>
      <x:c r="AJ10" s="1211" t="n">
        <x:f>Deployment_36M!AJ26</x:f>
        <x:v>0</x:v>
      </x:c>
      <x:c r="AK10" s="1211" t="n">
        <x:f>Deployment_36M!AK26</x:f>
        <x:v>0</x:v>
      </x:c>
      <x:c r="AL10" s="1211" t="n">
        <x:f>Deployment_36M!AL26</x:f>
        <x:v>0</x:v>
      </x:c>
      <x:c r="AM10" s="1212" t="n">
        <x:f>Deployment_36M!AM26</x:f>
        <x:v>0</x:v>
      </x:c>
    </x:row>
    <x:row r="11">
      <x:c r="A11" s="147" t="str">
        <x:v>New site FTE onboarded</x:v>
      </x:c>
      <x:c r="B11" s="148" t="str">
        <x:v>FTE</x:v>
      </x:c>
      <x:c r="C11" s="149" t="str">
        <x:v>Linked from deployment</x:v>
      </x:c>
      <x:c r="D11" s="1210" t="n">
        <x:f>Deployment_36M!D55</x:f>
        <x:v>0</x:v>
      </x:c>
      <x:c r="E11" s="1211" t="n">
        <x:f>Deployment_36M!E55</x:f>
        <x:v>0</x:v>
      </x:c>
      <x:c r="F11" s="1211" t="n">
        <x:f>Deployment_36M!F55</x:f>
        <x:v>4.15</x:v>
      </x:c>
      <x:c r="G11" s="1211" t="n">
        <x:f>Deployment_36M!G55</x:f>
        <x:v>2.15</x:v>
      </x:c>
      <x:c r="H11" s="1211" t="n">
        <x:f>Deployment_36M!H55</x:f>
        <x:v>2.15</x:v>
      </x:c>
      <x:c r="I11" s="1211" t="n">
        <x:f>Deployment_36M!I55</x:f>
        <x:v>4.15</x:v>
      </x:c>
      <x:c r="J11" s="1211" t="n">
        <x:f>Deployment_36M!J55</x:f>
        <x:v>0</x:v>
      </x:c>
      <x:c r="K11" s="1211" t="n">
        <x:f>Deployment_36M!K55</x:f>
        <x:v>0</x:v>
      </x:c>
      <x:c r="L11" s="1211" t="n">
        <x:f>Deployment_36M!L55</x:f>
        <x:v>0</x:v>
      </x:c>
      <x:c r="M11" s="1211" t="n">
        <x:f>Deployment_36M!M55</x:f>
        <x:v>0</x:v>
      </x:c>
      <x:c r="N11" s="1211" t="n">
        <x:f>Deployment_36M!N55</x:f>
        <x:v>0</x:v>
      </x:c>
      <x:c r="O11" s="1211" t="n">
        <x:f>Deployment_36M!O55</x:f>
        <x:v>0</x:v>
      </x:c>
      <x:c r="P11" s="1211" t="n">
        <x:f>Deployment_36M!P55</x:f>
        <x:v>0</x:v>
      </x:c>
      <x:c r="Q11" s="1211" t="n">
        <x:f>Deployment_36M!Q55</x:f>
        <x:v>0</x:v>
      </x:c>
      <x:c r="R11" s="1211" t="n">
        <x:f>Deployment_36M!R55</x:f>
        <x:v>0</x:v>
      </x:c>
      <x:c r="S11" s="1211" t="n">
        <x:f>Deployment_36M!S55</x:f>
        <x:v>0</x:v>
      </x:c>
      <x:c r="T11" s="1211" t="n">
        <x:f>Deployment_36M!T55</x:f>
        <x:v>0</x:v>
      </x:c>
      <x:c r="U11" s="1211" t="n">
        <x:f>Deployment_36M!U55</x:f>
        <x:v>0</x:v>
      </x:c>
      <x:c r="V11" s="1211" t="n">
        <x:f>Deployment_36M!V55</x:f>
        <x:v>0</x:v>
      </x:c>
      <x:c r="W11" s="1211" t="n">
        <x:f>Deployment_36M!W55</x:f>
        <x:v>0</x:v>
      </x:c>
      <x:c r="X11" s="1211" t="n">
        <x:f>Deployment_36M!X55</x:f>
        <x:v>0</x:v>
      </x:c>
      <x:c r="Y11" s="1211" t="n">
        <x:f>Deployment_36M!Y55</x:f>
        <x:v>0</x:v>
      </x:c>
      <x:c r="Z11" s="1211" t="n">
        <x:f>Deployment_36M!Z55</x:f>
        <x:v>0</x:v>
      </x:c>
      <x:c r="AA11" s="1211" t="n">
        <x:f>Deployment_36M!AA55</x:f>
        <x:v>0</x:v>
      </x:c>
      <x:c r="AB11" s="1211" t="n">
        <x:f>Deployment_36M!AB55</x:f>
        <x:v>0</x:v>
      </x:c>
      <x:c r="AC11" s="1211" t="n">
        <x:f>Deployment_36M!AC55</x:f>
        <x:v>0</x:v>
      </x:c>
      <x:c r="AD11" s="1211" t="n">
        <x:f>Deployment_36M!AD55</x:f>
        <x:v>0</x:v>
      </x:c>
      <x:c r="AE11" s="1211" t="n">
        <x:f>Deployment_36M!AE55</x:f>
        <x:v>0</x:v>
      </x:c>
      <x:c r="AF11" s="1211" t="n">
        <x:f>Deployment_36M!AF55</x:f>
        <x:v>0</x:v>
      </x:c>
      <x:c r="AG11" s="1211" t="n">
        <x:f>Deployment_36M!AG55</x:f>
        <x:v>0</x:v>
      </x:c>
      <x:c r="AH11" s="1211" t="n">
        <x:f>Deployment_36M!AH55</x:f>
        <x:v>0</x:v>
      </x:c>
      <x:c r="AI11" s="1211" t="n">
        <x:f>Deployment_36M!AI55</x:f>
        <x:v>0</x:v>
      </x:c>
      <x:c r="AJ11" s="1211" t="n">
        <x:f>Deployment_36M!AJ55</x:f>
        <x:v>0</x:v>
      </x:c>
      <x:c r="AK11" s="1211" t="n">
        <x:f>Deployment_36M!AK55</x:f>
        <x:v>0</x:v>
      </x:c>
      <x:c r="AL11" s="1211" t="n">
        <x:f>Deployment_36M!AL55</x:f>
        <x:v>0</x:v>
      </x:c>
      <x:c r="AM11" s="1212" t="n">
        <x:f>Deployment_36M!AM55</x:f>
        <x:v>0</x:v>
      </x:c>
    </x:row>
    <x:row r="12">
      <x:c r="A12" s="147"/>
      <x:c r="B12" s="148"/>
      <x:c r="C12" s="149"/>
      <x:c r="D12" s="1309"/>
      <x:c r="E12" s="1310"/>
      <x:c r="F12" s="1310"/>
      <x:c r="G12" s="1310"/>
      <x:c r="H12" s="1310"/>
      <x:c r="I12" s="1310"/>
      <x:c r="J12" s="1310"/>
      <x:c r="K12" s="1310"/>
      <x:c r="L12" s="1310"/>
      <x:c r="M12" s="1310"/>
      <x:c r="N12" s="1310"/>
      <x:c r="O12" s="1310"/>
      <x:c r="P12" s="1310"/>
      <x:c r="Q12" s="1310"/>
      <x:c r="R12" s="1310"/>
      <x:c r="S12" s="1310"/>
      <x:c r="T12" s="1310"/>
      <x:c r="U12" s="1310"/>
      <x:c r="V12" s="1310"/>
      <x:c r="W12" s="1310"/>
      <x:c r="X12" s="1310"/>
      <x:c r="Y12" s="1310"/>
      <x:c r="Z12" s="1310"/>
      <x:c r="AA12" s="1310"/>
      <x:c r="AB12" s="1310"/>
      <x:c r="AC12" s="1310"/>
      <x:c r="AD12" s="1310"/>
      <x:c r="AE12" s="1310"/>
      <x:c r="AF12" s="1310"/>
      <x:c r="AG12" s="1310"/>
      <x:c r="AH12" s="1310"/>
      <x:c r="AI12" s="1310"/>
      <x:c r="AJ12" s="1310"/>
      <x:c r="AK12" s="1310"/>
      <x:c r="AL12" s="1310"/>
      <x:c r="AM12" s="1311"/>
    </x:row>
    <x:row r="13">
      <x:c r="A13" s="147"/>
      <x:c r="B13" s="148"/>
      <x:c r="C13" s="149"/>
      <x:c r="D13" s="1309"/>
      <x:c r="E13" s="1310"/>
      <x:c r="F13" s="1310"/>
      <x:c r="G13" s="1310"/>
      <x:c r="H13" s="1310"/>
      <x:c r="I13" s="1310"/>
      <x:c r="J13" s="1310"/>
      <x:c r="K13" s="1310"/>
      <x:c r="L13" s="1310"/>
      <x:c r="M13" s="1310"/>
      <x:c r="N13" s="1310"/>
      <x:c r="O13" s="1310"/>
      <x:c r="P13" s="1310"/>
      <x:c r="Q13" s="1310"/>
      <x:c r="R13" s="1310"/>
      <x:c r="S13" s="1310"/>
      <x:c r="T13" s="1310"/>
      <x:c r="U13" s="1310"/>
      <x:c r="V13" s="1310"/>
      <x:c r="W13" s="1310"/>
      <x:c r="X13" s="1310"/>
      <x:c r="Y13" s="1310"/>
      <x:c r="Z13" s="1310"/>
      <x:c r="AA13" s="1310"/>
      <x:c r="AB13" s="1310"/>
      <x:c r="AC13" s="1310"/>
      <x:c r="AD13" s="1310"/>
      <x:c r="AE13" s="1310"/>
      <x:c r="AF13" s="1310"/>
      <x:c r="AG13" s="1310"/>
      <x:c r="AH13" s="1310"/>
      <x:c r="AI13" s="1310"/>
      <x:c r="AJ13" s="1310"/>
      <x:c r="AK13" s="1310"/>
      <x:c r="AL13" s="1310"/>
      <x:c r="AM13" s="1311"/>
    </x:row>
    <x:row r="14">
      <x:c r="A14" s="243" t="str">
        <x:v>ASIC hardware capex basis</x:v>
      </x:c>
      <x:c r="B14" s="244" t="str">
        <x:v>ZAR'000</x:v>
      </x:c>
      <x:c r="C14" s="245" t="str">
        <x:v>Per new commissioned MW</x:v>
      </x:c>
      <x:c r="D14" s="1297" t="n">
        <x:f>D8*(1-Inputs!C11)*1000000/Inputs!C40*Inputs!C41*Inputs!C20/1000</x:f>
        <x:v>0</x:v>
      </x:c>
      <x:c r="E14" s="1298" t="n">
        <x:f>E8*(1-Inputs!C11)*1000000/Inputs!C40*Inputs!C41*Inputs!C20/1000</x:f>
        <x:v>0</x:v>
      </x:c>
      <x:c r="F14" s="1298" t="n">
        <x:f>F8*(1-Inputs!C11)*1000000/Inputs!C40*Inputs!C41*Inputs!C20/1000</x:f>
        <x:v>54587</x:v>
      </x:c>
      <x:c r="G14" s="1298" t="n">
        <x:f>G8*(1-Inputs!C11)*1000000/Inputs!C40*Inputs!C41*Inputs!C20/1000</x:f>
        <x:v>54587</x:v>
      </x:c>
      <x:c r="H14" s="1298" t="n">
        <x:f>H8*(1-Inputs!C11)*1000000/Inputs!C40*Inputs!C41*Inputs!C20/1000</x:f>
        <x:v>54587</x:v>
      </x:c>
      <x:c r="I14" s="1298" t="n">
        <x:f>I8*(1-Inputs!C11)*1000000/Inputs!C40*Inputs!C41*Inputs!C20/1000</x:f>
        <x:v>54587</x:v>
      </x:c>
      <x:c r="J14" s="1298" t="n">
        <x:f>J8*(1-Inputs!C11)*1000000/Inputs!C40*Inputs!C41*Inputs!C20/1000</x:f>
        <x:v>0</x:v>
      </x:c>
      <x:c r="K14" s="1298" t="n">
        <x:f>K8*(1-Inputs!C11)*1000000/Inputs!C40*Inputs!C41*Inputs!C20/1000</x:f>
        <x:v>0</x:v>
      </x:c>
      <x:c r="L14" s="1298" t="n">
        <x:f>L8*(1-Inputs!C11)*1000000/Inputs!C40*Inputs!C41*Inputs!C20/1000</x:f>
        <x:v>0</x:v>
      </x:c>
      <x:c r="M14" s="1298" t="n">
        <x:f>M8*(1-Inputs!C11)*1000000/Inputs!C40*Inputs!C41*Inputs!C20/1000</x:f>
        <x:v>0</x:v>
      </x:c>
      <x:c r="N14" s="1298" t="n">
        <x:f>N8*(1-Inputs!C11)*1000000/Inputs!C40*Inputs!C41*Inputs!C20/1000</x:f>
        <x:v>0</x:v>
      </x:c>
      <x:c r="O14" s="1298" t="n">
        <x:f>O8*(1-Inputs!C11)*1000000/Inputs!C40*Inputs!C41*Inputs!C20/1000</x:f>
        <x:v>0</x:v>
      </x:c>
      <x:c r="P14" s="1298" t="n">
        <x:f>P8*(1-Inputs!C11)*1000000/Inputs!C40*Inputs!C41*Inputs!C20/1000</x:f>
        <x:v>0</x:v>
      </x:c>
      <x:c r="Q14" s="1298" t="n">
        <x:f>Q8*(1-Inputs!C11)*1000000/Inputs!C40*Inputs!C41*Inputs!C20/1000</x:f>
        <x:v>0</x:v>
      </x:c>
      <x:c r="R14" s="1298" t="n">
        <x:f>R8*(1-Inputs!C11)*1000000/Inputs!C40*Inputs!C41*Inputs!C20/1000</x:f>
        <x:v>0</x:v>
      </x:c>
      <x:c r="S14" s="1298" t="n">
        <x:f>S8*(1-Inputs!C11)*1000000/Inputs!C40*Inputs!C41*Inputs!C20/1000</x:f>
        <x:v>0</x:v>
      </x:c>
      <x:c r="T14" s="1298" t="n">
        <x:f>T8*(1-Inputs!C11)*1000000/Inputs!C40*Inputs!C41*Inputs!C20/1000</x:f>
        <x:v>0</x:v>
      </x:c>
      <x:c r="U14" s="1298" t="n">
        <x:f>U8*(1-Inputs!C11)*1000000/Inputs!C40*Inputs!C41*Inputs!C20/1000</x:f>
        <x:v>0</x:v>
      </x:c>
      <x:c r="V14" s="1298" t="n">
        <x:f>V8*(1-Inputs!C11)*1000000/Inputs!C40*Inputs!C41*Inputs!C20/1000</x:f>
        <x:v>0</x:v>
      </x:c>
      <x:c r="W14" s="1298" t="n">
        <x:f>W8*(1-Inputs!C11)*1000000/Inputs!C40*Inputs!C41*Inputs!C20/1000</x:f>
        <x:v>0</x:v>
      </x:c>
      <x:c r="X14" s="1298" t="n">
        <x:f>X8*(1-Inputs!C11)*1000000/Inputs!C40*Inputs!C41*Inputs!C20/1000</x:f>
        <x:v>0</x:v>
      </x:c>
      <x:c r="Y14" s="1298" t="n">
        <x:f>Y8*(1-Inputs!C11)*1000000/Inputs!C40*Inputs!C41*Inputs!C20/1000</x:f>
        <x:v>0</x:v>
      </x:c>
      <x:c r="Z14" s="1298" t="n">
        <x:f>Z8*(1-Inputs!C11)*1000000/Inputs!C40*Inputs!C41*Inputs!C20/1000</x:f>
        <x:v>0</x:v>
      </x:c>
      <x:c r="AA14" s="1298" t="n">
        <x:f>AA8*(1-Inputs!C11)*1000000/Inputs!C40*Inputs!C41*Inputs!C20/1000</x:f>
        <x:v>0</x:v>
      </x:c>
      <x:c r="AB14" s="1298" t="n">
        <x:f>AB8*(1-Inputs!C11)*1000000/Inputs!C40*Inputs!C41*Inputs!C20/1000</x:f>
        <x:v>0</x:v>
      </x:c>
      <x:c r="AC14" s="1298" t="n">
        <x:f>AC8*(1-Inputs!C11)*1000000/Inputs!C40*Inputs!C41*Inputs!C20/1000</x:f>
        <x:v>0</x:v>
      </x:c>
      <x:c r="AD14" s="1298" t="n">
        <x:f>AD8*(1-Inputs!C11)*1000000/Inputs!C40*Inputs!C41*Inputs!C20/1000</x:f>
        <x:v>0</x:v>
      </x:c>
      <x:c r="AE14" s="1298" t="n">
        <x:f>AE8*(1-Inputs!C11)*1000000/Inputs!C40*Inputs!C41*Inputs!C20/1000</x:f>
        <x:v>0</x:v>
      </x:c>
      <x:c r="AF14" s="1298" t="n">
        <x:f>AF8*(1-Inputs!C11)*1000000/Inputs!C40*Inputs!C41*Inputs!C20/1000</x:f>
        <x:v>0</x:v>
      </x:c>
      <x:c r="AG14" s="1298" t="n">
        <x:f>AG8*(1-Inputs!C11)*1000000/Inputs!C40*Inputs!C41*Inputs!C20/1000</x:f>
        <x:v>0</x:v>
      </x:c>
      <x:c r="AH14" s="1298" t="n">
        <x:f>AH8*(1-Inputs!C11)*1000000/Inputs!C40*Inputs!C41*Inputs!C20/1000</x:f>
        <x:v>0</x:v>
      </x:c>
      <x:c r="AI14" s="1298" t="n">
        <x:f>AI8*(1-Inputs!C11)*1000000/Inputs!C40*Inputs!C41*Inputs!C20/1000</x:f>
        <x:v>0</x:v>
      </x:c>
      <x:c r="AJ14" s="1298" t="n">
        <x:f>AJ8*(1-Inputs!C11)*1000000/Inputs!C40*Inputs!C41*Inputs!C20/1000</x:f>
        <x:v>0</x:v>
      </x:c>
      <x:c r="AK14" s="1298" t="n">
        <x:f>AK8*(1-Inputs!C11)*1000000/Inputs!C40*Inputs!C41*Inputs!C20/1000</x:f>
        <x:v>0</x:v>
      </x:c>
      <x:c r="AL14" s="1298" t="n">
        <x:f>AL8*(1-Inputs!C11)*1000000/Inputs!C40*Inputs!C41*Inputs!C20/1000</x:f>
        <x:v>0</x:v>
      </x:c>
      <x:c r="AM14" s="1299" t="n">
        <x:f>AM8*(1-Inputs!C11)*1000000/Inputs!C40*Inputs!C41*Inputs!C20/1000</x:f>
        <x:v>0</x:v>
      </x:c>
    </x:row>
    <x:row r="15">
      <x:c r="A15" s="243" t="str">
        <x:v>Hydro container capex basis</x:v>
      </x:c>
      <x:c r="B15" s="244" t="str">
        <x:v>ZAR'000</x:v>
      </x:c>
      <x:c r="C15" s="245" t="str">
        <x:v>Per new commissioned container</x:v>
      </x:c>
      <x:c r="D15" s="1297" t="n">
        <x:f>D9*Inputs!C44*Inputs!C20/1000</x:f>
        <x:v>0</x:v>
      </x:c>
      <x:c r="E15" s="1298" t="n">
        <x:f>E9*Inputs!C44*Inputs!C20/1000</x:f>
        <x:v>0</x:v>
      </x:c>
      <x:c r="F15" s="1298" t="n">
        <x:f>F9*Inputs!C44*Inputs!C20/1000</x:f>
        <x:v>17850</x:v>
      </x:c>
      <x:c r="G15" s="1298" t="n">
        <x:f>G9*Inputs!C44*Inputs!C20/1000</x:f>
        <x:v>11900</x:v>
      </x:c>
      <x:c r="H15" s="1298" t="n">
        <x:f>H9*Inputs!C44*Inputs!C20/1000</x:f>
        <x:v>11900</x:v>
      </x:c>
      <x:c r="I15" s="1298" t="n">
        <x:f>I9*Inputs!C44*Inputs!C20/1000</x:f>
        <x:v>17850</x:v>
      </x:c>
      <x:c r="J15" s="1298" t="n">
        <x:f>J9*Inputs!C44*Inputs!C20/1000</x:f>
        <x:v>0</x:v>
      </x:c>
      <x:c r="K15" s="1298" t="n">
        <x:f>K9*Inputs!C44*Inputs!C20/1000</x:f>
        <x:v>0</x:v>
      </x:c>
      <x:c r="L15" s="1298" t="n">
        <x:f>L9*Inputs!C44*Inputs!C20/1000</x:f>
        <x:v>0</x:v>
      </x:c>
      <x:c r="M15" s="1298" t="n">
        <x:f>M9*Inputs!C44*Inputs!C20/1000</x:f>
        <x:v>0</x:v>
      </x:c>
      <x:c r="N15" s="1298" t="n">
        <x:f>N9*Inputs!C44*Inputs!C20/1000</x:f>
        <x:v>0</x:v>
      </x:c>
      <x:c r="O15" s="1298" t="n">
        <x:f>O9*Inputs!C44*Inputs!C20/1000</x:f>
        <x:v>0</x:v>
      </x:c>
      <x:c r="P15" s="1298" t="n">
        <x:f>P9*Inputs!C44*Inputs!C20/1000</x:f>
        <x:v>0</x:v>
      </x:c>
      <x:c r="Q15" s="1298" t="n">
        <x:f>Q9*Inputs!C44*Inputs!C20/1000</x:f>
        <x:v>0</x:v>
      </x:c>
      <x:c r="R15" s="1298" t="n">
        <x:f>R9*Inputs!C44*Inputs!C20/1000</x:f>
        <x:v>0</x:v>
      </x:c>
      <x:c r="S15" s="1298" t="n">
        <x:f>S9*Inputs!C44*Inputs!C20/1000</x:f>
        <x:v>0</x:v>
      </x:c>
      <x:c r="T15" s="1298" t="n">
        <x:f>T9*Inputs!C44*Inputs!C20/1000</x:f>
        <x:v>0</x:v>
      </x:c>
      <x:c r="U15" s="1298" t="n">
        <x:f>U9*Inputs!C44*Inputs!C20/1000</x:f>
        <x:v>0</x:v>
      </x:c>
      <x:c r="V15" s="1298" t="n">
        <x:f>V9*Inputs!C44*Inputs!C20/1000</x:f>
        <x:v>0</x:v>
      </x:c>
      <x:c r="W15" s="1298" t="n">
        <x:f>W9*Inputs!C44*Inputs!C20/1000</x:f>
        <x:v>0</x:v>
      </x:c>
      <x:c r="X15" s="1298" t="n">
        <x:f>X9*Inputs!C44*Inputs!C20/1000</x:f>
        <x:v>0</x:v>
      </x:c>
      <x:c r="Y15" s="1298" t="n">
        <x:f>Y9*Inputs!C44*Inputs!C20/1000</x:f>
        <x:v>0</x:v>
      </x:c>
      <x:c r="Z15" s="1298" t="n">
        <x:f>Z9*Inputs!C44*Inputs!C20/1000</x:f>
        <x:v>0</x:v>
      </x:c>
      <x:c r="AA15" s="1298" t="n">
        <x:f>AA9*Inputs!C44*Inputs!C20/1000</x:f>
        <x:v>0</x:v>
      </x:c>
      <x:c r="AB15" s="1298" t="n">
        <x:f>AB9*Inputs!C44*Inputs!C20/1000</x:f>
        <x:v>0</x:v>
      </x:c>
      <x:c r="AC15" s="1298" t="n">
        <x:f>AC9*Inputs!C44*Inputs!C20/1000</x:f>
        <x:v>0</x:v>
      </x:c>
      <x:c r="AD15" s="1298" t="n">
        <x:f>AD9*Inputs!C44*Inputs!C20/1000</x:f>
        <x:v>0</x:v>
      </x:c>
      <x:c r="AE15" s="1298" t="n">
        <x:f>AE9*Inputs!C44*Inputs!C20/1000</x:f>
        <x:v>0</x:v>
      </x:c>
      <x:c r="AF15" s="1298" t="n">
        <x:f>AF9*Inputs!C44*Inputs!C20/1000</x:f>
        <x:v>0</x:v>
      </x:c>
      <x:c r="AG15" s="1298" t="n">
        <x:f>AG9*Inputs!C44*Inputs!C20/1000</x:f>
        <x:v>0</x:v>
      </x:c>
      <x:c r="AH15" s="1298" t="n">
        <x:f>AH9*Inputs!C44*Inputs!C20/1000</x:f>
        <x:v>0</x:v>
      </x:c>
      <x:c r="AI15" s="1298" t="n">
        <x:f>AI9*Inputs!C44*Inputs!C20/1000</x:f>
        <x:v>0</x:v>
      </x:c>
      <x:c r="AJ15" s="1298" t="n">
        <x:f>AJ9*Inputs!C44*Inputs!C20/1000</x:f>
        <x:v>0</x:v>
      </x:c>
      <x:c r="AK15" s="1298" t="n">
        <x:f>AK9*Inputs!C44*Inputs!C20/1000</x:f>
        <x:v>0</x:v>
      </x:c>
      <x:c r="AL15" s="1298" t="n">
        <x:f>AL9*Inputs!C44*Inputs!C20/1000</x:f>
        <x:v>0</x:v>
      </x:c>
      <x:c r="AM15" s="1299" t="n">
        <x:f>AM9*Inputs!C44*Inputs!C20/1000</x:f>
        <x:v>0</x:v>
      </x:c>
    </x:row>
    <x:row r="16">
      <x:c r="A16" s="243" t="str">
        <x:v>Electrical EPC basis</x:v>
      </x:c>
      <x:c r="B16" s="244" t="str">
        <x:v>ZAR'000</x:v>
      </x:c>
      <x:c r="C16" s="245" t="str">
        <x:v>Site-fixed + variable/MW</x:v>
      </x:c>
      <x:c r="D16" s="1297" t="n">
        <x:f>D8*Inputs!C48+Deployment_36M!D37*Inputs!C47</x:f>
        <x:v>0</x:v>
      </x:c>
      <x:c r="E16" s="1298" t="n">
        <x:f>E8*Inputs!C48+Deployment_36M!E37*Inputs!C47</x:f>
        <x:v>0</x:v>
      </x:c>
      <x:c r="F16" s="1298" t="n">
        <x:f>F8*Inputs!C48+Deployment_36M!F37*Inputs!C47</x:f>
        <x:v>44407.5771007</x:v>
      </x:c>
      <x:c r="G16" s="1298" t="n">
        <x:f>G8*Inputs!C48+Deployment_36M!G37*Inputs!C47</x:f>
        <x:v>19031.8187577</x:v>
      </x:c>
      <x:c r="H16" s="1298" t="n">
        <x:f>H8*Inputs!C48+Deployment_36M!H37*Inputs!C47</x:f>
        <x:v>19031.8187577</x:v>
      </x:c>
      <x:c r="I16" s="1298" t="n">
        <x:f>I8*Inputs!C48+Deployment_36M!I37*Inputs!C47</x:f>
        <x:v>44407.5771007</x:v>
      </x:c>
      <x:c r="J16" s="1298" t="n">
        <x:f>J8*Inputs!C48+Deployment_36M!J37*Inputs!C47</x:f>
        <x:v>0</x:v>
      </x:c>
      <x:c r="K16" s="1298" t="n">
        <x:f>K8*Inputs!C48+Deployment_36M!K37*Inputs!C47</x:f>
        <x:v>0</x:v>
      </x:c>
      <x:c r="L16" s="1298" t="n">
        <x:f>L8*Inputs!C48+Deployment_36M!L37*Inputs!C47</x:f>
        <x:v>0</x:v>
      </x:c>
      <x:c r="M16" s="1298" t="n">
        <x:f>M8*Inputs!C48+Deployment_36M!M37*Inputs!C47</x:f>
        <x:v>0</x:v>
      </x:c>
      <x:c r="N16" s="1298" t="n">
        <x:f>N8*Inputs!C48+Deployment_36M!N37*Inputs!C47</x:f>
        <x:v>0</x:v>
      </x:c>
      <x:c r="O16" s="1298" t="n">
        <x:f>O8*Inputs!C48+Deployment_36M!O37*Inputs!C47</x:f>
        <x:v>0</x:v>
      </x:c>
      <x:c r="P16" s="1298" t="n">
        <x:f>P8*Inputs!C48+Deployment_36M!P37*Inputs!C47</x:f>
        <x:v>0</x:v>
      </x:c>
      <x:c r="Q16" s="1298" t="n">
        <x:f>Q8*Inputs!C48+Deployment_36M!Q37*Inputs!C47</x:f>
        <x:v>0</x:v>
      </x:c>
      <x:c r="R16" s="1298" t="n">
        <x:f>R8*Inputs!C48+Deployment_36M!R37*Inputs!C47</x:f>
        <x:v>0</x:v>
      </x:c>
      <x:c r="S16" s="1298" t="n">
        <x:f>S8*Inputs!C48+Deployment_36M!S37*Inputs!C47</x:f>
        <x:v>0</x:v>
      </x:c>
      <x:c r="T16" s="1298" t="n">
        <x:f>T8*Inputs!C48+Deployment_36M!T37*Inputs!C47</x:f>
        <x:v>0</x:v>
      </x:c>
      <x:c r="U16" s="1298" t="n">
        <x:f>U8*Inputs!C48+Deployment_36M!U37*Inputs!C47</x:f>
        <x:v>0</x:v>
      </x:c>
      <x:c r="V16" s="1298" t="n">
        <x:f>V8*Inputs!C48+Deployment_36M!V37*Inputs!C47</x:f>
        <x:v>0</x:v>
      </x:c>
      <x:c r="W16" s="1298" t="n">
        <x:f>W8*Inputs!C48+Deployment_36M!W37*Inputs!C47</x:f>
        <x:v>0</x:v>
      </x:c>
      <x:c r="X16" s="1298" t="n">
        <x:f>X8*Inputs!C48+Deployment_36M!X37*Inputs!C47</x:f>
        <x:v>0</x:v>
      </x:c>
      <x:c r="Y16" s="1298" t="n">
        <x:f>Y8*Inputs!C48+Deployment_36M!Y37*Inputs!C47</x:f>
        <x:v>0</x:v>
      </x:c>
      <x:c r="Z16" s="1298" t="n">
        <x:f>Z8*Inputs!C48+Deployment_36M!Z37*Inputs!C47</x:f>
        <x:v>0</x:v>
      </x:c>
      <x:c r="AA16" s="1298" t="n">
        <x:f>AA8*Inputs!C48+Deployment_36M!AA37*Inputs!C47</x:f>
        <x:v>0</x:v>
      </x:c>
      <x:c r="AB16" s="1298" t="n">
        <x:f>AB8*Inputs!C48+Deployment_36M!AB37*Inputs!C47</x:f>
        <x:v>0</x:v>
      </x:c>
      <x:c r="AC16" s="1298" t="n">
        <x:f>AC8*Inputs!C48+Deployment_36M!AC37*Inputs!C47</x:f>
        <x:v>0</x:v>
      </x:c>
      <x:c r="AD16" s="1298" t="n">
        <x:f>AD8*Inputs!C48+Deployment_36M!AD37*Inputs!C47</x:f>
        <x:v>0</x:v>
      </x:c>
      <x:c r="AE16" s="1298" t="n">
        <x:f>AE8*Inputs!C48+Deployment_36M!AE37*Inputs!C47</x:f>
        <x:v>0</x:v>
      </x:c>
      <x:c r="AF16" s="1298" t="n">
        <x:f>AF8*Inputs!C48+Deployment_36M!AF37*Inputs!C47</x:f>
        <x:v>0</x:v>
      </x:c>
      <x:c r="AG16" s="1298" t="n">
        <x:f>AG8*Inputs!C48+Deployment_36M!AG37*Inputs!C47</x:f>
        <x:v>0</x:v>
      </x:c>
      <x:c r="AH16" s="1298" t="n">
        <x:f>AH8*Inputs!C48+Deployment_36M!AH37*Inputs!C47</x:f>
        <x:v>0</x:v>
      </x:c>
      <x:c r="AI16" s="1298" t="n">
        <x:f>AI8*Inputs!C48+Deployment_36M!AI37*Inputs!C47</x:f>
        <x:v>0</x:v>
      </x:c>
      <x:c r="AJ16" s="1298" t="n">
        <x:f>AJ8*Inputs!C48+Deployment_36M!AJ37*Inputs!C47</x:f>
        <x:v>0</x:v>
      </x:c>
      <x:c r="AK16" s="1298" t="n">
        <x:f>AK8*Inputs!C48+Deployment_36M!AK37*Inputs!C47</x:f>
        <x:v>0</x:v>
      </x:c>
      <x:c r="AL16" s="1298" t="n">
        <x:f>AL8*Inputs!C48+Deployment_36M!AL37*Inputs!C47</x:f>
        <x:v>0</x:v>
      </x:c>
      <x:c r="AM16" s="1299" t="n">
        <x:f>AM8*Inputs!C48+Deployment_36M!AM37*Inputs!C47</x:f>
        <x:v>0</x:v>
      </x:c>
    </x:row>
    <x:row r="17">
      <x:c r="A17" s="243" t="str">
        <x:v>Solar PV capex basis</x:v>
      </x:c>
      <x:c r="B17" s="244" t="str">
        <x:v>ZAR'000</x:v>
      </x:c>
      <x:c r="C17" s="245" t="str">
        <x:v>Per new solar MW</x:v>
      </x:c>
      <x:c r="D17" s="1297" t="n">
        <x:f>D10*Inputs!C35</x:f>
        <x:v>0</x:v>
      </x:c>
      <x:c r="E17" s="1298" t="n">
        <x:f>E10*Inputs!C35</x:f>
        <x:v>0</x:v>
      </x:c>
      <x:c r="F17" s="1298" t="n">
        <x:f>F10*Inputs!C35</x:f>
        <x:v>0</x:v>
      </x:c>
      <x:c r="G17" s="1298" t="n">
        <x:f>G10*Inputs!C35</x:f>
        <x:v>0</x:v>
      </x:c>
      <x:c r="H17" s="1298" t="n">
        <x:f>H10*Inputs!C35</x:f>
        <x:v>70000</x:v>
      </x:c>
      <x:c r="I17" s="1298" t="n">
        <x:f>I10*Inputs!C35</x:f>
        <x:v>0</x:v>
      </x:c>
      <x:c r="J17" s="1298" t="n">
        <x:f>J10*Inputs!C35</x:f>
        <x:v>0</x:v>
      </x:c>
      <x:c r="K17" s="1298" t="n">
        <x:f>K10*Inputs!C35</x:f>
        <x:v>0</x:v>
      </x:c>
      <x:c r="L17" s="1298" t="n">
        <x:f>L10*Inputs!C35</x:f>
        <x:v>0</x:v>
      </x:c>
      <x:c r="M17" s="1298" t="n">
        <x:f>M10*Inputs!C35</x:f>
        <x:v>0</x:v>
      </x:c>
      <x:c r="N17" s="1298" t="n">
        <x:f>N10*Inputs!C35</x:f>
        <x:v>0</x:v>
      </x:c>
      <x:c r="O17" s="1298" t="n">
        <x:f>O10*Inputs!C35</x:f>
        <x:v>0</x:v>
      </x:c>
      <x:c r="P17" s="1298" t="n">
        <x:f>P10*Inputs!C35</x:f>
        <x:v>0</x:v>
      </x:c>
      <x:c r="Q17" s="1298" t="n">
        <x:f>Q10*Inputs!C35</x:f>
        <x:v>0</x:v>
      </x:c>
      <x:c r="R17" s="1298" t="n">
        <x:f>R10*Inputs!C35</x:f>
        <x:v>0</x:v>
      </x:c>
      <x:c r="S17" s="1298" t="n">
        <x:f>S10*Inputs!C35</x:f>
        <x:v>0</x:v>
      </x:c>
      <x:c r="T17" s="1298" t="n">
        <x:f>T10*Inputs!C35</x:f>
        <x:v>0</x:v>
      </x:c>
      <x:c r="U17" s="1298" t="n">
        <x:f>U10*Inputs!C35</x:f>
        <x:v>0</x:v>
      </x:c>
      <x:c r="V17" s="1298" t="n">
        <x:f>V10*Inputs!C35</x:f>
        <x:v>0</x:v>
      </x:c>
      <x:c r="W17" s="1298" t="n">
        <x:f>W10*Inputs!C35</x:f>
        <x:v>0</x:v>
      </x:c>
      <x:c r="X17" s="1298" t="n">
        <x:f>X10*Inputs!C35</x:f>
        <x:v>0</x:v>
      </x:c>
      <x:c r="Y17" s="1298" t="n">
        <x:f>Y10*Inputs!C35</x:f>
        <x:v>0</x:v>
      </x:c>
      <x:c r="Z17" s="1298" t="n">
        <x:f>Z10*Inputs!C35</x:f>
        <x:v>0</x:v>
      </x:c>
      <x:c r="AA17" s="1298" t="n">
        <x:f>AA10*Inputs!C35</x:f>
        <x:v>0</x:v>
      </x:c>
      <x:c r="AB17" s="1298" t="n">
        <x:f>AB10*Inputs!C35</x:f>
        <x:v>0</x:v>
      </x:c>
      <x:c r="AC17" s="1298" t="n">
        <x:f>AC10*Inputs!C35</x:f>
        <x:v>0</x:v>
      </x:c>
      <x:c r="AD17" s="1298" t="n">
        <x:f>AD10*Inputs!C35</x:f>
        <x:v>0</x:v>
      </x:c>
      <x:c r="AE17" s="1298" t="n">
        <x:f>AE10*Inputs!C35</x:f>
        <x:v>0</x:v>
      </x:c>
      <x:c r="AF17" s="1298" t="n">
        <x:f>AF10*Inputs!C35</x:f>
        <x:v>0</x:v>
      </x:c>
      <x:c r="AG17" s="1298" t="n">
        <x:f>AG10*Inputs!C35</x:f>
        <x:v>0</x:v>
      </x:c>
      <x:c r="AH17" s="1298" t="n">
        <x:f>AH10*Inputs!C35</x:f>
        <x:v>0</x:v>
      </x:c>
      <x:c r="AI17" s="1298" t="n">
        <x:f>AI10*Inputs!C35</x:f>
        <x:v>0</x:v>
      </x:c>
      <x:c r="AJ17" s="1298" t="n">
        <x:f>AJ10*Inputs!C35</x:f>
        <x:v>0</x:v>
      </x:c>
      <x:c r="AK17" s="1298" t="n">
        <x:f>AK10*Inputs!C35</x:f>
        <x:v>0</x:v>
      </x:c>
      <x:c r="AL17" s="1298" t="n">
        <x:f>AL10*Inputs!C35</x:f>
        <x:v>0</x:v>
      </x:c>
      <x:c r="AM17" s="1299" t="n">
        <x:f>AM10*Inputs!C35</x:f>
        <x:v>0</x:v>
      </x:c>
    </x:row>
    <x:row r="18">
      <x:c r="A18" s="243" t="str">
        <x:v>Initial spare parts basis</x:v>
      </x:c>
      <x:c r="B18" s="244" t="str">
        <x:v>ZAR'000</x:v>
      </x:c>
      <x:c r="C18" s="245" t="str">
        <x:v>% of hardware + containers</x:v>
      </x:c>
      <x:c r="D18" s="1297" t="n">
        <x:f>(D14+D15)*Inputs!C49</x:f>
        <x:v>0</x:v>
      </x:c>
      <x:c r="E18" s="1298" t="n">
        <x:f>(E14+E15)*Inputs!C49</x:f>
        <x:v>0</x:v>
      </x:c>
      <x:c r="F18" s="1298" t="n">
        <x:f>(F14+F15)*Inputs!C49</x:f>
        <x:v>1448.74</x:v>
      </x:c>
      <x:c r="G18" s="1298" t="n">
        <x:f>(G14+G15)*Inputs!C49</x:f>
        <x:v>1329.74</x:v>
      </x:c>
      <x:c r="H18" s="1298" t="n">
        <x:f>(H14+H15)*Inputs!C49</x:f>
        <x:v>1329.74</x:v>
      </x:c>
      <x:c r="I18" s="1298" t="n">
        <x:f>(I14+I15)*Inputs!C49</x:f>
        <x:v>1448.74</x:v>
      </x:c>
      <x:c r="J18" s="1298" t="n">
        <x:f>(J14+J15)*Inputs!C49</x:f>
        <x:v>0</x:v>
      </x:c>
      <x:c r="K18" s="1298" t="n">
        <x:f>(K14+K15)*Inputs!C49</x:f>
        <x:v>0</x:v>
      </x:c>
      <x:c r="L18" s="1298" t="n">
        <x:f>(L14+L15)*Inputs!C49</x:f>
        <x:v>0</x:v>
      </x:c>
      <x:c r="M18" s="1298" t="n">
        <x:f>(M14+M15)*Inputs!C49</x:f>
        <x:v>0</x:v>
      </x:c>
      <x:c r="N18" s="1298" t="n">
        <x:f>(N14+N15)*Inputs!C49</x:f>
        <x:v>0</x:v>
      </x:c>
      <x:c r="O18" s="1298" t="n">
        <x:f>(O14+O15)*Inputs!C49</x:f>
        <x:v>0</x:v>
      </x:c>
      <x:c r="P18" s="1298" t="n">
        <x:f>(P14+P15)*Inputs!C49</x:f>
        <x:v>0</x:v>
      </x:c>
      <x:c r="Q18" s="1298" t="n">
        <x:f>(Q14+Q15)*Inputs!C49</x:f>
        <x:v>0</x:v>
      </x:c>
      <x:c r="R18" s="1298" t="n">
        <x:f>(R14+R15)*Inputs!C49</x:f>
        <x:v>0</x:v>
      </x:c>
      <x:c r="S18" s="1298" t="n">
        <x:f>(S14+S15)*Inputs!C49</x:f>
        <x:v>0</x:v>
      </x:c>
      <x:c r="T18" s="1298" t="n">
        <x:f>(T14+T15)*Inputs!C49</x:f>
        <x:v>0</x:v>
      </x:c>
      <x:c r="U18" s="1298" t="n">
        <x:f>(U14+U15)*Inputs!C49</x:f>
        <x:v>0</x:v>
      </x:c>
      <x:c r="V18" s="1298" t="n">
        <x:f>(V14+V15)*Inputs!C49</x:f>
        <x:v>0</x:v>
      </x:c>
      <x:c r="W18" s="1298" t="n">
        <x:f>(W14+W15)*Inputs!C49</x:f>
        <x:v>0</x:v>
      </x:c>
      <x:c r="X18" s="1298" t="n">
        <x:f>(X14+X15)*Inputs!C49</x:f>
        <x:v>0</x:v>
      </x:c>
      <x:c r="Y18" s="1298" t="n">
        <x:f>(Y14+Y15)*Inputs!C49</x:f>
        <x:v>0</x:v>
      </x:c>
      <x:c r="Z18" s="1298" t="n">
        <x:f>(Z14+Z15)*Inputs!C49</x:f>
        <x:v>0</x:v>
      </x:c>
      <x:c r="AA18" s="1298" t="n">
        <x:f>(AA14+AA15)*Inputs!C49</x:f>
        <x:v>0</x:v>
      </x:c>
      <x:c r="AB18" s="1298" t="n">
        <x:f>(AB14+AB15)*Inputs!C49</x:f>
        <x:v>0</x:v>
      </x:c>
      <x:c r="AC18" s="1298" t="n">
        <x:f>(AC14+AC15)*Inputs!C49</x:f>
        <x:v>0</x:v>
      </x:c>
      <x:c r="AD18" s="1298" t="n">
        <x:f>(AD14+AD15)*Inputs!C49</x:f>
        <x:v>0</x:v>
      </x:c>
      <x:c r="AE18" s="1298" t="n">
        <x:f>(AE14+AE15)*Inputs!C49</x:f>
        <x:v>0</x:v>
      </x:c>
      <x:c r="AF18" s="1298" t="n">
        <x:f>(AF14+AF15)*Inputs!C49</x:f>
        <x:v>0</x:v>
      </x:c>
      <x:c r="AG18" s="1298" t="n">
        <x:f>(AG14+AG15)*Inputs!C49</x:f>
        <x:v>0</x:v>
      </x:c>
      <x:c r="AH18" s="1298" t="n">
        <x:f>(AH14+AH15)*Inputs!C49</x:f>
        <x:v>0</x:v>
      </x:c>
      <x:c r="AI18" s="1298" t="n">
        <x:f>(AI14+AI15)*Inputs!C49</x:f>
        <x:v>0</x:v>
      </x:c>
      <x:c r="AJ18" s="1298" t="n">
        <x:f>(AJ14+AJ15)*Inputs!C49</x:f>
        <x:v>0</x:v>
      </x:c>
      <x:c r="AK18" s="1298" t="n">
        <x:f>(AK14+AK15)*Inputs!C49</x:f>
        <x:v>0</x:v>
      </x:c>
      <x:c r="AL18" s="1298" t="n">
        <x:f>(AL14+AL15)*Inputs!C49</x:f>
        <x:v>0</x:v>
      </x:c>
      <x:c r="AM18" s="1299" t="n">
        <x:f>(AM14+AM15)*Inputs!C49</x:f>
        <x:v>0</x:v>
      </x:c>
    </x:row>
    <x:row r="19">
      <x:c r="A19" s="147" t="str">
        <x:v>Tools / equipment initial basis</x:v>
      </x:c>
      <x:c r="B19" s="148" t="str">
        <x:v>ZAR'000</x:v>
      </x:c>
      <x:c r="C19" s="149" t="str">
        <x:v>Per site start</x:v>
      </x:c>
      <x:c r="D19" s="1285" t="n">
        <x:f>Deployment_36M!D37*Inputs!C50</x:f>
        <x:v>0</x:v>
      </x:c>
      <x:c r="E19" s="1286" t="n">
        <x:f>Deployment_36M!E37*Inputs!C50</x:f>
        <x:v>0</x:v>
      </x:c>
      <x:c r="F19" s="1286" t="n">
        <x:f>Deployment_36M!F37*Inputs!C50</x:f>
        <x:v>750</x:v>
      </x:c>
      <x:c r="G19" s="1286" t="n">
        <x:f>Deployment_36M!G37*Inputs!C50</x:f>
        <x:v>0</x:v>
      </x:c>
      <x:c r="H19" s="1286" t="n">
        <x:f>Deployment_36M!H37*Inputs!C50</x:f>
        <x:v>0</x:v>
      </x:c>
      <x:c r="I19" s="1286" t="n">
        <x:f>Deployment_36M!I37*Inputs!C50</x:f>
        <x:v>750</x:v>
      </x:c>
      <x:c r="J19" s="1286" t="n">
        <x:f>Deployment_36M!J37*Inputs!C50</x:f>
        <x:v>0</x:v>
      </x:c>
      <x:c r="K19" s="1286" t="n">
        <x:f>Deployment_36M!K37*Inputs!C50</x:f>
        <x:v>0</x:v>
      </x:c>
      <x:c r="L19" s="1286" t="n">
        <x:f>Deployment_36M!L37*Inputs!C50</x:f>
        <x:v>0</x:v>
      </x:c>
      <x:c r="M19" s="1286" t="n">
        <x:f>Deployment_36M!M37*Inputs!C50</x:f>
        <x:v>0</x:v>
      </x:c>
      <x:c r="N19" s="1286" t="n">
        <x:f>Deployment_36M!N37*Inputs!C50</x:f>
        <x:v>0</x:v>
      </x:c>
      <x:c r="O19" s="1286" t="n">
        <x:f>Deployment_36M!O37*Inputs!C50</x:f>
        <x:v>0</x:v>
      </x:c>
      <x:c r="P19" s="1286" t="n">
        <x:f>Deployment_36M!P37*Inputs!C50</x:f>
        <x:v>0</x:v>
      </x:c>
      <x:c r="Q19" s="1286" t="n">
        <x:f>Deployment_36M!Q37*Inputs!C50</x:f>
        <x:v>0</x:v>
      </x:c>
      <x:c r="R19" s="1286" t="n">
        <x:f>Deployment_36M!R37*Inputs!C50</x:f>
        <x:v>0</x:v>
      </x:c>
      <x:c r="S19" s="1286" t="n">
        <x:f>Deployment_36M!S37*Inputs!C50</x:f>
        <x:v>0</x:v>
      </x:c>
      <x:c r="T19" s="1286" t="n">
        <x:f>Deployment_36M!T37*Inputs!C50</x:f>
        <x:v>0</x:v>
      </x:c>
      <x:c r="U19" s="1286" t="n">
        <x:f>Deployment_36M!U37*Inputs!C50</x:f>
        <x:v>0</x:v>
      </x:c>
      <x:c r="V19" s="1286" t="n">
        <x:f>Deployment_36M!V37*Inputs!C50</x:f>
        <x:v>0</x:v>
      </x:c>
      <x:c r="W19" s="1286" t="n">
        <x:f>Deployment_36M!W37*Inputs!C50</x:f>
        <x:v>0</x:v>
      </x:c>
      <x:c r="X19" s="1286" t="n">
        <x:f>Deployment_36M!X37*Inputs!C50</x:f>
        <x:v>0</x:v>
      </x:c>
      <x:c r="Y19" s="1286" t="n">
        <x:f>Deployment_36M!Y37*Inputs!C50</x:f>
        <x:v>0</x:v>
      </x:c>
      <x:c r="Z19" s="1286" t="n">
        <x:f>Deployment_36M!Z37*Inputs!C50</x:f>
        <x:v>0</x:v>
      </x:c>
      <x:c r="AA19" s="1286" t="n">
        <x:f>Deployment_36M!AA37*Inputs!C50</x:f>
        <x:v>0</x:v>
      </x:c>
      <x:c r="AB19" s="1286" t="n">
        <x:f>Deployment_36M!AB37*Inputs!C50</x:f>
        <x:v>0</x:v>
      </x:c>
      <x:c r="AC19" s="1286" t="n">
        <x:f>Deployment_36M!AC37*Inputs!C50</x:f>
        <x:v>0</x:v>
      </x:c>
      <x:c r="AD19" s="1286" t="n">
        <x:f>Deployment_36M!AD37*Inputs!C50</x:f>
        <x:v>0</x:v>
      </x:c>
      <x:c r="AE19" s="1286" t="n">
        <x:f>Deployment_36M!AE37*Inputs!C50</x:f>
        <x:v>0</x:v>
      </x:c>
      <x:c r="AF19" s="1286" t="n">
        <x:f>Deployment_36M!AF37*Inputs!C50</x:f>
        <x:v>0</x:v>
      </x:c>
      <x:c r="AG19" s="1286" t="n">
        <x:f>Deployment_36M!AG37*Inputs!C50</x:f>
        <x:v>0</x:v>
      </x:c>
      <x:c r="AH19" s="1286" t="n">
        <x:f>Deployment_36M!AH37*Inputs!C50</x:f>
        <x:v>0</x:v>
      </x:c>
      <x:c r="AI19" s="1286" t="n">
        <x:f>Deployment_36M!AI37*Inputs!C50</x:f>
        <x:v>0</x:v>
      </x:c>
      <x:c r="AJ19" s="1286" t="n">
        <x:f>Deployment_36M!AJ37*Inputs!C50</x:f>
        <x:v>0</x:v>
      </x:c>
      <x:c r="AK19" s="1286" t="n">
        <x:f>Deployment_36M!AK37*Inputs!C50</x:f>
        <x:v>0</x:v>
      </x:c>
      <x:c r="AL19" s="1286" t="n">
        <x:f>Deployment_36M!AL37*Inputs!C50</x:f>
        <x:v>0</x:v>
      </x:c>
      <x:c r="AM19" s="1287" t="n">
        <x:f>Deployment_36M!AM37*Inputs!C50</x:f>
        <x:v>0</x:v>
      </x:c>
    </x:row>
    <x:row r="20">
      <x:c r="A20" s="147" t="str">
        <x:v>Staff hardware basis</x:v>
      </x:c>
      <x:c r="B20" s="148" t="str">
        <x:v>ZAR'000</x:v>
      </x:c>
      <x:c r="C20" s="149" t="str">
        <x:v>Per new site FTE</x:v>
      </x:c>
      <x:c r="D20" s="1285" t="n">
        <x:f>D11*Inputs!C61</x:f>
        <x:v>0</x:v>
      </x:c>
      <x:c r="E20" s="1286" t="n">
        <x:f>E11*Inputs!C61</x:f>
        <x:v>0</x:v>
      </x:c>
      <x:c r="F20" s="1286" t="n">
        <x:f>F11*Inputs!C61</x:f>
        <x:v>145.25</x:v>
      </x:c>
      <x:c r="G20" s="1286" t="n">
        <x:f>G11*Inputs!C61</x:f>
        <x:v>75.25</x:v>
      </x:c>
      <x:c r="H20" s="1286" t="n">
        <x:f>H11*Inputs!C61</x:f>
        <x:v>75.25</x:v>
      </x:c>
      <x:c r="I20" s="1286" t="n">
        <x:f>I11*Inputs!C61</x:f>
        <x:v>145.25</x:v>
      </x:c>
      <x:c r="J20" s="1286" t="n">
        <x:f>J11*Inputs!C61</x:f>
        <x:v>0</x:v>
      </x:c>
      <x:c r="K20" s="1286" t="n">
        <x:f>K11*Inputs!C61</x:f>
        <x:v>0</x:v>
      </x:c>
      <x:c r="L20" s="1286" t="n">
        <x:f>L11*Inputs!C61</x:f>
        <x:v>0</x:v>
      </x:c>
      <x:c r="M20" s="1286" t="n">
        <x:f>M11*Inputs!C61</x:f>
        <x:v>0</x:v>
      </x:c>
      <x:c r="N20" s="1286" t="n">
        <x:f>N11*Inputs!C61</x:f>
        <x:v>0</x:v>
      </x:c>
      <x:c r="O20" s="1286" t="n">
        <x:f>O11*Inputs!C61</x:f>
        <x:v>0</x:v>
      </x:c>
      <x:c r="P20" s="1286" t="n">
        <x:f>P11*Inputs!C61</x:f>
        <x:v>0</x:v>
      </x:c>
      <x:c r="Q20" s="1286" t="n">
        <x:f>Q11*Inputs!C61</x:f>
        <x:v>0</x:v>
      </x:c>
      <x:c r="R20" s="1286" t="n">
        <x:f>R11*Inputs!C61</x:f>
        <x:v>0</x:v>
      </x:c>
      <x:c r="S20" s="1286" t="n">
        <x:f>S11*Inputs!C61</x:f>
        <x:v>0</x:v>
      </x:c>
      <x:c r="T20" s="1286" t="n">
        <x:f>T11*Inputs!C61</x:f>
        <x:v>0</x:v>
      </x:c>
      <x:c r="U20" s="1286" t="n">
        <x:f>U11*Inputs!C61</x:f>
        <x:v>0</x:v>
      </x:c>
      <x:c r="V20" s="1286" t="n">
        <x:f>V11*Inputs!C61</x:f>
        <x:v>0</x:v>
      </x:c>
      <x:c r="W20" s="1286" t="n">
        <x:f>W11*Inputs!C61</x:f>
        <x:v>0</x:v>
      </x:c>
      <x:c r="X20" s="1286" t="n">
        <x:f>X11*Inputs!C61</x:f>
        <x:v>0</x:v>
      </x:c>
      <x:c r="Y20" s="1286" t="n">
        <x:f>Y11*Inputs!C61</x:f>
        <x:v>0</x:v>
      </x:c>
      <x:c r="Z20" s="1286" t="n">
        <x:f>Z11*Inputs!C61</x:f>
        <x:v>0</x:v>
      </x:c>
      <x:c r="AA20" s="1286" t="n">
        <x:f>AA11*Inputs!C61</x:f>
        <x:v>0</x:v>
      </x:c>
      <x:c r="AB20" s="1286" t="n">
        <x:f>AB11*Inputs!C61</x:f>
        <x:v>0</x:v>
      </x:c>
      <x:c r="AC20" s="1286" t="n">
        <x:f>AC11*Inputs!C61</x:f>
        <x:v>0</x:v>
      </x:c>
      <x:c r="AD20" s="1286" t="n">
        <x:f>AD11*Inputs!C61</x:f>
        <x:v>0</x:v>
      </x:c>
      <x:c r="AE20" s="1286" t="n">
        <x:f>AE11*Inputs!C61</x:f>
        <x:v>0</x:v>
      </x:c>
      <x:c r="AF20" s="1286" t="n">
        <x:f>AF11*Inputs!C61</x:f>
        <x:v>0</x:v>
      </x:c>
      <x:c r="AG20" s="1286" t="n">
        <x:f>AG11*Inputs!C61</x:f>
        <x:v>0</x:v>
      </x:c>
      <x:c r="AH20" s="1286" t="n">
        <x:f>AH11*Inputs!C61</x:f>
        <x:v>0</x:v>
      </x:c>
      <x:c r="AI20" s="1286" t="n">
        <x:f>AI11*Inputs!C61</x:f>
        <x:v>0</x:v>
      </x:c>
      <x:c r="AJ20" s="1286" t="n">
        <x:f>AJ11*Inputs!C61</x:f>
        <x:v>0</x:v>
      </x:c>
      <x:c r="AK20" s="1286" t="n">
        <x:f>AK11*Inputs!C61</x:f>
        <x:v>0</x:v>
      </x:c>
      <x:c r="AL20" s="1286" t="n">
        <x:f>AL11*Inputs!C61</x:f>
        <x:v>0</x:v>
      </x:c>
      <x:c r="AM20" s="1287" t="n">
        <x:f>AM11*Inputs!C61</x:f>
        <x:v>0</x:v>
      </x:c>
    </x:row>
    <x:row r="21">
      <x:c r="A21" s="147" t="str">
        <x:v>Freight basis</x:v>
      </x:c>
      <x:c r="B21" s="148" t="str">
        <x:v>ZAR'000</x:v>
      </x:c>
      <x:c r="C21" s="149" t="str">
        <x:v>Per new container</x:v>
      </x:c>
      <x:c r="D21" s="1285" t="n">
        <x:f>D9*Inputs!C54*Inputs!C20/1000</x:f>
        <x:v>0</x:v>
      </x:c>
      <x:c r="E21" s="1286" t="n">
        <x:f>E9*Inputs!C54*Inputs!C20/1000</x:f>
        <x:v>0</x:v>
      </x:c>
      <x:c r="F21" s="1286" t="n">
        <x:f>F9*Inputs!C54*Inputs!C20/1000</x:f>
        <x:v>408</x:v>
      </x:c>
      <x:c r="G21" s="1286" t="n">
        <x:f>G9*Inputs!C54*Inputs!C20/1000</x:f>
        <x:v>272</x:v>
      </x:c>
      <x:c r="H21" s="1286" t="n">
        <x:f>H9*Inputs!C54*Inputs!C20/1000</x:f>
        <x:v>272</x:v>
      </x:c>
      <x:c r="I21" s="1286" t="n">
        <x:f>I9*Inputs!C54*Inputs!C20/1000</x:f>
        <x:v>408</x:v>
      </x:c>
      <x:c r="J21" s="1286" t="n">
        <x:f>J9*Inputs!C54*Inputs!C20/1000</x:f>
        <x:v>0</x:v>
      </x:c>
      <x:c r="K21" s="1286" t="n">
        <x:f>K9*Inputs!C54*Inputs!C20/1000</x:f>
        <x:v>0</x:v>
      </x:c>
      <x:c r="L21" s="1286" t="n">
        <x:f>L9*Inputs!C54*Inputs!C20/1000</x:f>
        <x:v>0</x:v>
      </x:c>
      <x:c r="M21" s="1286" t="n">
        <x:f>M9*Inputs!C54*Inputs!C20/1000</x:f>
        <x:v>0</x:v>
      </x:c>
      <x:c r="N21" s="1286" t="n">
        <x:f>N9*Inputs!C54*Inputs!C20/1000</x:f>
        <x:v>0</x:v>
      </x:c>
      <x:c r="O21" s="1286" t="n">
        <x:f>O9*Inputs!C54*Inputs!C20/1000</x:f>
        <x:v>0</x:v>
      </x:c>
      <x:c r="P21" s="1286" t="n">
        <x:f>P9*Inputs!C54*Inputs!C20/1000</x:f>
        <x:v>0</x:v>
      </x:c>
      <x:c r="Q21" s="1286" t="n">
        <x:f>Q9*Inputs!C54*Inputs!C20/1000</x:f>
        <x:v>0</x:v>
      </x:c>
      <x:c r="R21" s="1286" t="n">
        <x:f>R9*Inputs!C54*Inputs!C20/1000</x:f>
        <x:v>0</x:v>
      </x:c>
      <x:c r="S21" s="1286" t="n">
        <x:f>S9*Inputs!C54*Inputs!C20/1000</x:f>
        <x:v>0</x:v>
      </x:c>
      <x:c r="T21" s="1286" t="n">
        <x:f>T9*Inputs!C54*Inputs!C20/1000</x:f>
        <x:v>0</x:v>
      </x:c>
      <x:c r="U21" s="1286" t="n">
        <x:f>U9*Inputs!C54*Inputs!C20/1000</x:f>
        <x:v>0</x:v>
      </x:c>
      <x:c r="V21" s="1286" t="n">
        <x:f>V9*Inputs!C54*Inputs!C20/1000</x:f>
        <x:v>0</x:v>
      </x:c>
      <x:c r="W21" s="1286" t="n">
        <x:f>W9*Inputs!C54*Inputs!C20/1000</x:f>
        <x:v>0</x:v>
      </x:c>
      <x:c r="X21" s="1286" t="n">
        <x:f>X9*Inputs!C54*Inputs!C20/1000</x:f>
        <x:v>0</x:v>
      </x:c>
      <x:c r="Y21" s="1286" t="n">
        <x:f>Y9*Inputs!C54*Inputs!C20/1000</x:f>
        <x:v>0</x:v>
      </x:c>
      <x:c r="Z21" s="1286" t="n">
        <x:f>Z9*Inputs!C54*Inputs!C20/1000</x:f>
        <x:v>0</x:v>
      </x:c>
      <x:c r="AA21" s="1286" t="n">
        <x:f>AA9*Inputs!C54*Inputs!C20/1000</x:f>
        <x:v>0</x:v>
      </x:c>
      <x:c r="AB21" s="1286" t="n">
        <x:f>AB9*Inputs!C54*Inputs!C20/1000</x:f>
        <x:v>0</x:v>
      </x:c>
      <x:c r="AC21" s="1286" t="n">
        <x:f>AC9*Inputs!C54*Inputs!C20/1000</x:f>
        <x:v>0</x:v>
      </x:c>
      <x:c r="AD21" s="1286" t="n">
        <x:f>AD9*Inputs!C54*Inputs!C20/1000</x:f>
        <x:v>0</x:v>
      </x:c>
      <x:c r="AE21" s="1286" t="n">
        <x:f>AE9*Inputs!C54*Inputs!C20/1000</x:f>
        <x:v>0</x:v>
      </x:c>
      <x:c r="AF21" s="1286" t="n">
        <x:f>AF9*Inputs!C54*Inputs!C20/1000</x:f>
        <x:v>0</x:v>
      </x:c>
      <x:c r="AG21" s="1286" t="n">
        <x:f>AG9*Inputs!C54*Inputs!C20/1000</x:f>
        <x:v>0</x:v>
      </x:c>
      <x:c r="AH21" s="1286" t="n">
        <x:f>AH9*Inputs!C54*Inputs!C20/1000</x:f>
        <x:v>0</x:v>
      </x:c>
      <x:c r="AI21" s="1286" t="n">
        <x:f>AI9*Inputs!C54*Inputs!C20/1000</x:f>
        <x:v>0</x:v>
      </x:c>
      <x:c r="AJ21" s="1286" t="n">
        <x:f>AJ9*Inputs!C54*Inputs!C20/1000</x:f>
        <x:v>0</x:v>
      </x:c>
      <x:c r="AK21" s="1286" t="n">
        <x:f>AK9*Inputs!C54*Inputs!C20/1000</x:f>
        <x:v>0</x:v>
      </x:c>
      <x:c r="AL21" s="1286" t="n">
        <x:f>AL9*Inputs!C54*Inputs!C20/1000</x:f>
        <x:v>0</x:v>
      </x:c>
      <x:c r="AM21" s="1287" t="n">
        <x:f>AM9*Inputs!C54*Inputs!C20/1000</x:f>
        <x:v>0</x:v>
      </x:c>
    </x:row>
    <x:row r="22">
      <x:c r="A22" s="147" t="str">
        <x:v>Port / clearing basis</x:v>
      </x:c>
      <x:c r="B22" s="148" t="str">
        <x:v>ZAR'000</x:v>
      </x:c>
      <x:c r="C22" s="149" t="str">
        <x:v>Per new container</x:v>
      </x:c>
      <x:c r="D22" s="1285" t="n">
        <x:f>D9*Inputs!C55</x:f>
        <x:v>0</x:v>
      </x:c>
      <x:c r="E22" s="1286" t="n">
        <x:f>E9*Inputs!C55</x:f>
        <x:v>0</x:v>
      </x:c>
      <x:c r="F22" s="1286" t="n">
        <x:f>F9*Inputs!C55</x:f>
        <x:v>450</x:v>
      </x:c>
      <x:c r="G22" s="1286" t="n">
        <x:f>G9*Inputs!C55</x:f>
        <x:v>300</x:v>
      </x:c>
      <x:c r="H22" s="1286" t="n">
        <x:f>H9*Inputs!C55</x:f>
        <x:v>300</x:v>
      </x:c>
      <x:c r="I22" s="1286" t="n">
        <x:f>I9*Inputs!C55</x:f>
        <x:v>450</x:v>
      </x:c>
      <x:c r="J22" s="1286" t="n">
        <x:f>J9*Inputs!C55</x:f>
        <x:v>0</x:v>
      </x:c>
      <x:c r="K22" s="1286" t="n">
        <x:f>K9*Inputs!C55</x:f>
        <x:v>0</x:v>
      </x:c>
      <x:c r="L22" s="1286" t="n">
        <x:f>L9*Inputs!C55</x:f>
        <x:v>0</x:v>
      </x:c>
      <x:c r="M22" s="1286" t="n">
        <x:f>M9*Inputs!C55</x:f>
        <x:v>0</x:v>
      </x:c>
      <x:c r="N22" s="1286" t="n">
        <x:f>N9*Inputs!C55</x:f>
        <x:v>0</x:v>
      </x:c>
      <x:c r="O22" s="1286" t="n">
        <x:f>O9*Inputs!C55</x:f>
        <x:v>0</x:v>
      </x:c>
      <x:c r="P22" s="1286" t="n">
        <x:f>P9*Inputs!C55</x:f>
        <x:v>0</x:v>
      </x:c>
      <x:c r="Q22" s="1286" t="n">
        <x:f>Q9*Inputs!C55</x:f>
        <x:v>0</x:v>
      </x:c>
      <x:c r="R22" s="1286" t="n">
        <x:f>R9*Inputs!C55</x:f>
        <x:v>0</x:v>
      </x:c>
      <x:c r="S22" s="1286" t="n">
        <x:f>S9*Inputs!C55</x:f>
        <x:v>0</x:v>
      </x:c>
      <x:c r="T22" s="1286" t="n">
        <x:f>T9*Inputs!C55</x:f>
        <x:v>0</x:v>
      </x:c>
      <x:c r="U22" s="1286" t="n">
        <x:f>U9*Inputs!C55</x:f>
        <x:v>0</x:v>
      </x:c>
      <x:c r="V22" s="1286" t="n">
        <x:f>V9*Inputs!C55</x:f>
        <x:v>0</x:v>
      </x:c>
      <x:c r="W22" s="1286" t="n">
        <x:f>W9*Inputs!C55</x:f>
        <x:v>0</x:v>
      </x:c>
      <x:c r="X22" s="1286" t="n">
        <x:f>X9*Inputs!C55</x:f>
        <x:v>0</x:v>
      </x:c>
      <x:c r="Y22" s="1286" t="n">
        <x:f>Y9*Inputs!C55</x:f>
        <x:v>0</x:v>
      </x:c>
      <x:c r="Z22" s="1286" t="n">
        <x:f>Z9*Inputs!C55</x:f>
        <x:v>0</x:v>
      </x:c>
      <x:c r="AA22" s="1286" t="n">
        <x:f>AA9*Inputs!C55</x:f>
        <x:v>0</x:v>
      </x:c>
      <x:c r="AB22" s="1286" t="n">
        <x:f>AB9*Inputs!C55</x:f>
        <x:v>0</x:v>
      </x:c>
      <x:c r="AC22" s="1286" t="n">
        <x:f>AC9*Inputs!C55</x:f>
        <x:v>0</x:v>
      </x:c>
      <x:c r="AD22" s="1286" t="n">
        <x:f>AD9*Inputs!C55</x:f>
        <x:v>0</x:v>
      </x:c>
      <x:c r="AE22" s="1286" t="n">
        <x:f>AE9*Inputs!C55</x:f>
        <x:v>0</x:v>
      </x:c>
      <x:c r="AF22" s="1286" t="n">
        <x:f>AF9*Inputs!C55</x:f>
        <x:v>0</x:v>
      </x:c>
      <x:c r="AG22" s="1286" t="n">
        <x:f>AG9*Inputs!C55</x:f>
        <x:v>0</x:v>
      </x:c>
      <x:c r="AH22" s="1286" t="n">
        <x:f>AH9*Inputs!C55</x:f>
        <x:v>0</x:v>
      </x:c>
      <x:c r="AI22" s="1286" t="n">
        <x:f>AI9*Inputs!C55</x:f>
        <x:v>0</x:v>
      </x:c>
      <x:c r="AJ22" s="1286" t="n">
        <x:f>AJ9*Inputs!C55</x:f>
        <x:v>0</x:v>
      </x:c>
      <x:c r="AK22" s="1286" t="n">
        <x:f>AK9*Inputs!C55</x:f>
        <x:v>0</x:v>
      </x:c>
      <x:c r="AL22" s="1286" t="n">
        <x:f>AL9*Inputs!C55</x:f>
        <x:v>0</x:v>
      </x:c>
      <x:c r="AM22" s="1287" t="n">
        <x:f>AM9*Inputs!C55</x:f>
        <x:v>0</x:v>
      </x:c>
    </x:row>
    <x:row r="23">
      <x:c r="A23" s="147" t="str">
        <x:v>Inland trucking basis</x:v>
      </x:c>
      <x:c r="B23" s="148" t="str">
        <x:v>ZAR'000</x:v>
      </x:c>
      <x:c r="C23" s="149" t="str">
        <x:v>Per new container</x:v>
      </x:c>
      <x:c r="D23" s="1285" t="n">
        <x:f>D9*Inputs!C56</x:f>
        <x:v>0</x:v>
      </x:c>
      <x:c r="E23" s="1286" t="n">
        <x:f>E9*Inputs!C56</x:f>
        <x:v>0</x:v>
      </x:c>
      <x:c r="F23" s="1286" t="n">
        <x:f>F9*Inputs!C56</x:f>
        <x:v>210</x:v>
      </x:c>
      <x:c r="G23" s="1286" t="n">
        <x:f>G9*Inputs!C56</x:f>
        <x:v>140</x:v>
      </x:c>
      <x:c r="H23" s="1286" t="n">
        <x:f>H9*Inputs!C56</x:f>
        <x:v>140</x:v>
      </x:c>
      <x:c r="I23" s="1286" t="n">
        <x:f>I9*Inputs!C56</x:f>
        <x:v>210</x:v>
      </x:c>
      <x:c r="J23" s="1286" t="n">
        <x:f>J9*Inputs!C56</x:f>
        <x:v>0</x:v>
      </x:c>
      <x:c r="K23" s="1286" t="n">
        <x:f>K9*Inputs!C56</x:f>
        <x:v>0</x:v>
      </x:c>
      <x:c r="L23" s="1286" t="n">
        <x:f>L9*Inputs!C56</x:f>
        <x:v>0</x:v>
      </x:c>
      <x:c r="M23" s="1286" t="n">
        <x:f>M9*Inputs!C56</x:f>
        <x:v>0</x:v>
      </x:c>
      <x:c r="N23" s="1286" t="n">
        <x:f>N9*Inputs!C56</x:f>
        <x:v>0</x:v>
      </x:c>
      <x:c r="O23" s="1286" t="n">
        <x:f>O9*Inputs!C56</x:f>
        <x:v>0</x:v>
      </x:c>
      <x:c r="P23" s="1286" t="n">
        <x:f>P9*Inputs!C56</x:f>
        <x:v>0</x:v>
      </x:c>
      <x:c r="Q23" s="1286" t="n">
        <x:f>Q9*Inputs!C56</x:f>
        <x:v>0</x:v>
      </x:c>
      <x:c r="R23" s="1286" t="n">
        <x:f>R9*Inputs!C56</x:f>
        <x:v>0</x:v>
      </x:c>
      <x:c r="S23" s="1286" t="n">
        <x:f>S9*Inputs!C56</x:f>
        <x:v>0</x:v>
      </x:c>
      <x:c r="T23" s="1286" t="n">
        <x:f>T9*Inputs!C56</x:f>
        <x:v>0</x:v>
      </x:c>
      <x:c r="U23" s="1286" t="n">
        <x:f>U9*Inputs!C56</x:f>
        <x:v>0</x:v>
      </x:c>
      <x:c r="V23" s="1286" t="n">
        <x:f>V9*Inputs!C56</x:f>
        <x:v>0</x:v>
      </x:c>
      <x:c r="W23" s="1286" t="n">
        <x:f>W9*Inputs!C56</x:f>
        <x:v>0</x:v>
      </x:c>
      <x:c r="X23" s="1286" t="n">
        <x:f>X9*Inputs!C56</x:f>
        <x:v>0</x:v>
      </x:c>
      <x:c r="Y23" s="1286" t="n">
        <x:f>Y9*Inputs!C56</x:f>
        <x:v>0</x:v>
      </x:c>
      <x:c r="Z23" s="1286" t="n">
        <x:f>Z9*Inputs!C56</x:f>
        <x:v>0</x:v>
      </x:c>
      <x:c r="AA23" s="1286" t="n">
        <x:f>AA9*Inputs!C56</x:f>
        <x:v>0</x:v>
      </x:c>
      <x:c r="AB23" s="1286" t="n">
        <x:f>AB9*Inputs!C56</x:f>
        <x:v>0</x:v>
      </x:c>
      <x:c r="AC23" s="1286" t="n">
        <x:f>AC9*Inputs!C56</x:f>
        <x:v>0</x:v>
      </x:c>
      <x:c r="AD23" s="1286" t="n">
        <x:f>AD9*Inputs!C56</x:f>
        <x:v>0</x:v>
      </x:c>
      <x:c r="AE23" s="1286" t="n">
        <x:f>AE9*Inputs!C56</x:f>
        <x:v>0</x:v>
      </x:c>
      <x:c r="AF23" s="1286" t="n">
        <x:f>AF9*Inputs!C56</x:f>
        <x:v>0</x:v>
      </x:c>
      <x:c r="AG23" s="1286" t="n">
        <x:f>AG9*Inputs!C56</x:f>
        <x:v>0</x:v>
      </x:c>
      <x:c r="AH23" s="1286" t="n">
        <x:f>AH9*Inputs!C56</x:f>
        <x:v>0</x:v>
      </x:c>
      <x:c r="AI23" s="1286" t="n">
        <x:f>AI9*Inputs!C56</x:f>
        <x:v>0</x:v>
      </x:c>
      <x:c r="AJ23" s="1286" t="n">
        <x:f>AJ9*Inputs!C56</x:f>
        <x:v>0</x:v>
      </x:c>
      <x:c r="AK23" s="1286" t="n">
        <x:f>AK9*Inputs!C56</x:f>
        <x:v>0</x:v>
      </x:c>
      <x:c r="AL23" s="1286" t="n">
        <x:f>AL9*Inputs!C56</x:f>
        <x:v>0</x:v>
      </x:c>
      <x:c r="AM23" s="1287" t="n">
        <x:f>AM9*Inputs!C56</x:f>
        <x:v>0</x:v>
      </x:c>
    </x:row>
    <x:row r="24">
      <x:c r="A24" s="147" t="str">
        <x:v>Crane / rigging basis</x:v>
      </x:c>
      <x:c r="B24" s="148" t="str">
        <x:v>ZAR'000</x:v>
      </x:c>
      <x:c r="C24" s="149" t="str">
        <x:v>Per new container</x:v>
      </x:c>
      <x:c r="D24" s="1285" t="n">
        <x:f>D9*Inputs!C57</x:f>
        <x:v>0</x:v>
      </x:c>
      <x:c r="E24" s="1286" t="n">
        <x:f>E9*Inputs!C57</x:f>
        <x:v>0</x:v>
      </x:c>
      <x:c r="F24" s="1286" t="n">
        <x:f>F9*Inputs!C57</x:f>
        <x:v>150</x:v>
      </x:c>
      <x:c r="G24" s="1286" t="n">
        <x:f>G9*Inputs!C57</x:f>
        <x:v>100</x:v>
      </x:c>
      <x:c r="H24" s="1286" t="n">
        <x:f>H9*Inputs!C57</x:f>
        <x:v>100</x:v>
      </x:c>
      <x:c r="I24" s="1286" t="n">
        <x:f>I9*Inputs!C57</x:f>
        <x:v>150</x:v>
      </x:c>
      <x:c r="J24" s="1286" t="n">
        <x:f>J9*Inputs!C57</x:f>
        <x:v>0</x:v>
      </x:c>
      <x:c r="K24" s="1286" t="n">
        <x:f>K9*Inputs!C57</x:f>
        <x:v>0</x:v>
      </x:c>
      <x:c r="L24" s="1286" t="n">
        <x:f>L9*Inputs!C57</x:f>
        <x:v>0</x:v>
      </x:c>
      <x:c r="M24" s="1286" t="n">
        <x:f>M9*Inputs!C57</x:f>
        <x:v>0</x:v>
      </x:c>
      <x:c r="N24" s="1286" t="n">
        <x:f>N9*Inputs!C57</x:f>
        <x:v>0</x:v>
      </x:c>
      <x:c r="O24" s="1286" t="n">
        <x:f>O9*Inputs!C57</x:f>
        <x:v>0</x:v>
      </x:c>
      <x:c r="P24" s="1286" t="n">
        <x:f>P9*Inputs!C57</x:f>
        <x:v>0</x:v>
      </x:c>
      <x:c r="Q24" s="1286" t="n">
        <x:f>Q9*Inputs!C57</x:f>
        <x:v>0</x:v>
      </x:c>
      <x:c r="R24" s="1286" t="n">
        <x:f>R9*Inputs!C57</x:f>
        <x:v>0</x:v>
      </x:c>
      <x:c r="S24" s="1286" t="n">
        <x:f>S9*Inputs!C57</x:f>
        <x:v>0</x:v>
      </x:c>
      <x:c r="T24" s="1286" t="n">
        <x:f>T9*Inputs!C57</x:f>
        <x:v>0</x:v>
      </x:c>
      <x:c r="U24" s="1286" t="n">
        <x:f>U9*Inputs!C57</x:f>
        <x:v>0</x:v>
      </x:c>
      <x:c r="V24" s="1286" t="n">
        <x:f>V9*Inputs!C57</x:f>
        <x:v>0</x:v>
      </x:c>
      <x:c r="W24" s="1286" t="n">
        <x:f>W9*Inputs!C57</x:f>
        <x:v>0</x:v>
      </x:c>
      <x:c r="X24" s="1286" t="n">
        <x:f>X9*Inputs!C57</x:f>
        <x:v>0</x:v>
      </x:c>
      <x:c r="Y24" s="1286" t="n">
        <x:f>Y9*Inputs!C57</x:f>
        <x:v>0</x:v>
      </x:c>
      <x:c r="Z24" s="1286" t="n">
        <x:f>Z9*Inputs!C57</x:f>
        <x:v>0</x:v>
      </x:c>
      <x:c r="AA24" s="1286" t="n">
        <x:f>AA9*Inputs!C57</x:f>
        <x:v>0</x:v>
      </x:c>
      <x:c r="AB24" s="1286" t="n">
        <x:f>AB9*Inputs!C57</x:f>
        <x:v>0</x:v>
      </x:c>
      <x:c r="AC24" s="1286" t="n">
        <x:f>AC9*Inputs!C57</x:f>
        <x:v>0</x:v>
      </x:c>
      <x:c r="AD24" s="1286" t="n">
        <x:f>AD9*Inputs!C57</x:f>
        <x:v>0</x:v>
      </x:c>
      <x:c r="AE24" s="1286" t="n">
        <x:f>AE9*Inputs!C57</x:f>
        <x:v>0</x:v>
      </x:c>
      <x:c r="AF24" s="1286" t="n">
        <x:f>AF9*Inputs!C57</x:f>
        <x:v>0</x:v>
      </x:c>
      <x:c r="AG24" s="1286" t="n">
        <x:f>AG9*Inputs!C57</x:f>
        <x:v>0</x:v>
      </x:c>
      <x:c r="AH24" s="1286" t="n">
        <x:f>AH9*Inputs!C57</x:f>
        <x:v>0</x:v>
      </x:c>
      <x:c r="AI24" s="1286" t="n">
        <x:f>AI9*Inputs!C57</x:f>
        <x:v>0</x:v>
      </x:c>
      <x:c r="AJ24" s="1286" t="n">
        <x:f>AJ9*Inputs!C57</x:f>
        <x:v>0</x:v>
      </x:c>
      <x:c r="AK24" s="1286" t="n">
        <x:f>AK9*Inputs!C57</x:f>
        <x:v>0</x:v>
      </x:c>
      <x:c r="AL24" s="1286" t="n">
        <x:f>AL9*Inputs!C57</x:f>
        <x:v>0</x:v>
      </x:c>
      <x:c r="AM24" s="1287" t="n">
        <x:f>AM9*Inputs!C57</x:f>
        <x:v>0</x:v>
      </x:c>
    </x:row>
    <x:row r="25">
      <x:c r="A25" s="147" t="str">
        <x:v>Cargo insurance basis</x:v>
      </x:c>
      <x:c r="B25" s="148" t="str">
        <x:v>ZAR'000</x:v>
      </x:c>
      <x:c r="C25" s="149" t="str">
        <x:v>% of hardware + containers</x:v>
      </x:c>
      <x:c r="D25" s="1285" t="n">
        <x:f>(D14+D15)*Inputs!C58</x:f>
        <x:v>0</x:v>
      </x:c>
      <x:c r="E25" s="1286" t="n">
        <x:f>(E14+E15)*Inputs!C58</x:f>
        <x:v>0</x:v>
      </x:c>
      <x:c r="F25" s="1286" t="n">
        <x:f>(F14+F15)*Inputs!C58</x:f>
        <x:v>724.37</x:v>
      </x:c>
      <x:c r="G25" s="1286" t="n">
        <x:f>(G14+G15)*Inputs!C58</x:f>
        <x:v>664.87</x:v>
      </x:c>
      <x:c r="H25" s="1286" t="n">
        <x:f>(H14+H15)*Inputs!C58</x:f>
        <x:v>664.87</x:v>
      </x:c>
      <x:c r="I25" s="1286" t="n">
        <x:f>(I14+I15)*Inputs!C58</x:f>
        <x:v>724.37</x:v>
      </x:c>
      <x:c r="J25" s="1286" t="n">
        <x:f>(J14+J15)*Inputs!C58</x:f>
        <x:v>0</x:v>
      </x:c>
      <x:c r="K25" s="1286" t="n">
        <x:f>(K14+K15)*Inputs!C58</x:f>
        <x:v>0</x:v>
      </x:c>
      <x:c r="L25" s="1286" t="n">
        <x:f>(L14+L15)*Inputs!C58</x:f>
        <x:v>0</x:v>
      </x:c>
      <x:c r="M25" s="1286" t="n">
        <x:f>(M14+M15)*Inputs!C58</x:f>
        <x:v>0</x:v>
      </x:c>
      <x:c r="N25" s="1286" t="n">
        <x:f>(N14+N15)*Inputs!C58</x:f>
        <x:v>0</x:v>
      </x:c>
      <x:c r="O25" s="1286" t="n">
        <x:f>(O14+O15)*Inputs!C58</x:f>
        <x:v>0</x:v>
      </x:c>
      <x:c r="P25" s="1286" t="n">
        <x:f>(P14+P15)*Inputs!C58</x:f>
        <x:v>0</x:v>
      </x:c>
      <x:c r="Q25" s="1286" t="n">
        <x:f>(Q14+Q15)*Inputs!C58</x:f>
        <x:v>0</x:v>
      </x:c>
      <x:c r="R25" s="1286" t="n">
        <x:f>(R14+R15)*Inputs!C58</x:f>
        <x:v>0</x:v>
      </x:c>
      <x:c r="S25" s="1286" t="n">
        <x:f>(S14+S15)*Inputs!C58</x:f>
        <x:v>0</x:v>
      </x:c>
      <x:c r="T25" s="1286" t="n">
        <x:f>(T14+T15)*Inputs!C58</x:f>
        <x:v>0</x:v>
      </x:c>
      <x:c r="U25" s="1286" t="n">
        <x:f>(U14+U15)*Inputs!C58</x:f>
        <x:v>0</x:v>
      </x:c>
      <x:c r="V25" s="1286" t="n">
        <x:f>(V14+V15)*Inputs!C58</x:f>
        <x:v>0</x:v>
      </x:c>
      <x:c r="W25" s="1286" t="n">
        <x:f>(W14+W15)*Inputs!C58</x:f>
        <x:v>0</x:v>
      </x:c>
      <x:c r="X25" s="1286" t="n">
        <x:f>(X14+X15)*Inputs!C58</x:f>
        <x:v>0</x:v>
      </x:c>
      <x:c r="Y25" s="1286" t="n">
        <x:f>(Y14+Y15)*Inputs!C58</x:f>
        <x:v>0</x:v>
      </x:c>
      <x:c r="Z25" s="1286" t="n">
        <x:f>(Z14+Z15)*Inputs!C58</x:f>
        <x:v>0</x:v>
      </x:c>
      <x:c r="AA25" s="1286" t="n">
        <x:f>(AA14+AA15)*Inputs!C58</x:f>
        <x:v>0</x:v>
      </x:c>
      <x:c r="AB25" s="1286" t="n">
        <x:f>(AB14+AB15)*Inputs!C58</x:f>
        <x:v>0</x:v>
      </x:c>
      <x:c r="AC25" s="1286" t="n">
        <x:f>(AC14+AC15)*Inputs!C58</x:f>
        <x:v>0</x:v>
      </x:c>
      <x:c r="AD25" s="1286" t="n">
        <x:f>(AD14+AD15)*Inputs!C58</x:f>
        <x:v>0</x:v>
      </x:c>
      <x:c r="AE25" s="1286" t="n">
        <x:f>(AE14+AE15)*Inputs!C58</x:f>
        <x:v>0</x:v>
      </x:c>
      <x:c r="AF25" s="1286" t="n">
        <x:f>(AF14+AF15)*Inputs!C58</x:f>
        <x:v>0</x:v>
      </x:c>
      <x:c r="AG25" s="1286" t="n">
        <x:f>(AG14+AG15)*Inputs!C58</x:f>
        <x:v>0</x:v>
      </x:c>
      <x:c r="AH25" s="1286" t="n">
        <x:f>(AH14+AH15)*Inputs!C58</x:f>
        <x:v>0</x:v>
      </x:c>
      <x:c r="AI25" s="1286" t="n">
        <x:f>(AI14+AI15)*Inputs!C58</x:f>
        <x:v>0</x:v>
      </x:c>
      <x:c r="AJ25" s="1286" t="n">
        <x:f>(AJ14+AJ15)*Inputs!C58</x:f>
        <x:v>0</x:v>
      </x:c>
      <x:c r="AK25" s="1286" t="n">
        <x:f>(AK14+AK15)*Inputs!C58</x:f>
        <x:v>0</x:v>
      </x:c>
      <x:c r="AL25" s="1286" t="n">
        <x:f>(AL14+AL15)*Inputs!C58</x:f>
        <x:v>0</x:v>
      </x:c>
      <x:c r="AM25" s="1287" t="n">
        <x:f>(AM14+AM15)*Inputs!C58</x:f>
        <x:v>0</x:v>
      </x:c>
    </x:row>
    <x:row r="26">
      <x:c r="A26" s="243" t="str">
        <x:v>Import duty basis</x:v>
      </x:c>
      <x:c r="B26" s="244" t="str">
        <x:v>ZAR'000</x:v>
      </x:c>
      <x:c r="C26" s="245" t="str">
        <x:v>% of hardware + containers</x:v>
      </x:c>
      <x:c r="D26" s="1297" t="n">
        <x:f>(D14+D15)*Inputs!C59</x:f>
        <x:v>0</x:v>
      </x:c>
      <x:c r="E26" s="1298" t="n">
        <x:f>(E14+E15)*Inputs!C59</x:f>
        <x:v>0</x:v>
      </x:c>
      <x:c r="F26" s="1298" t="n">
        <x:f>(F14+F15)*Inputs!C59</x:f>
        <x:v>3621.8500000000004</x:v>
      </x:c>
      <x:c r="G26" s="1298" t="n">
        <x:f>(G14+G15)*Inputs!C59</x:f>
        <x:v>3324.3500000000004</x:v>
      </x:c>
      <x:c r="H26" s="1298" t="n">
        <x:f>(H14+H15)*Inputs!C59</x:f>
        <x:v>3324.3500000000004</x:v>
      </x:c>
      <x:c r="I26" s="1298" t="n">
        <x:f>(I14+I15)*Inputs!C59</x:f>
        <x:v>3621.8500000000004</x:v>
      </x:c>
      <x:c r="J26" s="1298" t="n">
        <x:f>(J14+J15)*Inputs!C59</x:f>
        <x:v>0</x:v>
      </x:c>
      <x:c r="K26" s="1298" t="n">
        <x:f>(K14+K15)*Inputs!C59</x:f>
        <x:v>0</x:v>
      </x:c>
      <x:c r="L26" s="1298" t="n">
        <x:f>(L14+L15)*Inputs!C59</x:f>
        <x:v>0</x:v>
      </x:c>
      <x:c r="M26" s="1298" t="n">
        <x:f>(M14+M15)*Inputs!C59</x:f>
        <x:v>0</x:v>
      </x:c>
      <x:c r="N26" s="1298" t="n">
        <x:f>(N14+N15)*Inputs!C59</x:f>
        <x:v>0</x:v>
      </x:c>
      <x:c r="O26" s="1298" t="n">
        <x:f>(O14+O15)*Inputs!C59</x:f>
        <x:v>0</x:v>
      </x:c>
      <x:c r="P26" s="1298" t="n">
        <x:f>(P14+P15)*Inputs!C59</x:f>
        <x:v>0</x:v>
      </x:c>
      <x:c r="Q26" s="1298" t="n">
        <x:f>(Q14+Q15)*Inputs!C59</x:f>
        <x:v>0</x:v>
      </x:c>
      <x:c r="R26" s="1298" t="n">
        <x:f>(R14+R15)*Inputs!C59</x:f>
        <x:v>0</x:v>
      </x:c>
      <x:c r="S26" s="1298" t="n">
        <x:f>(S14+S15)*Inputs!C59</x:f>
        <x:v>0</x:v>
      </x:c>
      <x:c r="T26" s="1298" t="n">
        <x:f>(T14+T15)*Inputs!C59</x:f>
        <x:v>0</x:v>
      </x:c>
      <x:c r="U26" s="1298" t="n">
        <x:f>(U14+U15)*Inputs!C59</x:f>
        <x:v>0</x:v>
      </x:c>
      <x:c r="V26" s="1298" t="n">
        <x:f>(V14+V15)*Inputs!C59</x:f>
        <x:v>0</x:v>
      </x:c>
      <x:c r="W26" s="1298" t="n">
        <x:f>(W14+W15)*Inputs!C59</x:f>
        <x:v>0</x:v>
      </x:c>
      <x:c r="X26" s="1298" t="n">
        <x:f>(X14+X15)*Inputs!C59</x:f>
        <x:v>0</x:v>
      </x:c>
      <x:c r="Y26" s="1298" t="n">
        <x:f>(Y14+Y15)*Inputs!C59</x:f>
        <x:v>0</x:v>
      </x:c>
      <x:c r="Z26" s="1298" t="n">
        <x:f>(Z14+Z15)*Inputs!C59</x:f>
        <x:v>0</x:v>
      </x:c>
      <x:c r="AA26" s="1298" t="n">
        <x:f>(AA14+AA15)*Inputs!C59</x:f>
        <x:v>0</x:v>
      </x:c>
      <x:c r="AB26" s="1298" t="n">
        <x:f>(AB14+AB15)*Inputs!C59</x:f>
        <x:v>0</x:v>
      </x:c>
      <x:c r="AC26" s="1298" t="n">
        <x:f>(AC14+AC15)*Inputs!C59</x:f>
        <x:v>0</x:v>
      </x:c>
      <x:c r="AD26" s="1298" t="n">
        <x:f>(AD14+AD15)*Inputs!C59</x:f>
        <x:v>0</x:v>
      </x:c>
      <x:c r="AE26" s="1298" t="n">
        <x:f>(AE14+AE15)*Inputs!C59</x:f>
        <x:v>0</x:v>
      </x:c>
      <x:c r="AF26" s="1298" t="n">
        <x:f>(AF14+AF15)*Inputs!C59</x:f>
        <x:v>0</x:v>
      </x:c>
      <x:c r="AG26" s="1298" t="n">
        <x:f>(AG14+AG15)*Inputs!C59</x:f>
        <x:v>0</x:v>
      </x:c>
      <x:c r="AH26" s="1298" t="n">
        <x:f>(AH14+AH15)*Inputs!C59</x:f>
        <x:v>0</x:v>
      </x:c>
      <x:c r="AI26" s="1298" t="n">
        <x:f>(AI14+AI15)*Inputs!C59</x:f>
        <x:v>0</x:v>
      </x:c>
      <x:c r="AJ26" s="1298" t="n">
        <x:f>(AJ14+AJ15)*Inputs!C59</x:f>
        <x:v>0</x:v>
      </x:c>
      <x:c r="AK26" s="1298" t="n">
        <x:f>(AK14+AK15)*Inputs!C59</x:f>
        <x:v>0</x:v>
      </x:c>
      <x:c r="AL26" s="1298" t="n">
        <x:f>(AL14+AL15)*Inputs!C59</x:f>
        <x:v>0</x:v>
      </x:c>
      <x:c r="AM26" s="1299" t="n">
        <x:f>(AM14+AM15)*Inputs!C59</x:f>
        <x:v>0</x:v>
      </x:c>
    </x:row>
    <x:row r="27">
      <x:c r="A27" s="243" t="str">
        <x:v>Office / software / legal setup basis</x:v>
      </x:c>
      <x:c r="B27" s="244" t="str">
        <x:v>ZAR'000</x:v>
      </x:c>
      <x:c r="C27" s="245" t="str">
        <x:v>One-off corporate setup</x:v>
      </x:c>
      <x:c r="D27" s="1297" t="n">
        <x:f>IF(1=1,Inputs!C51+Inputs!C52+Inputs!C53,0)</x:f>
        <x:v>2450</x:v>
      </x:c>
      <x:c r="E27" s="1298" t="n">
        <x:f>IF(2=1,Inputs!C51+Inputs!C52+Inputs!C53,0)</x:f>
        <x:v>0</x:v>
      </x:c>
      <x:c r="F27" s="1298" t="n">
        <x:f>IF(3=1,Inputs!C51+Inputs!C52+Inputs!C53,0)</x:f>
        <x:v>0</x:v>
      </x:c>
      <x:c r="G27" s="1298" t="n">
        <x:f>IF(4=1,Inputs!C51+Inputs!C52+Inputs!C53,0)</x:f>
        <x:v>0</x:v>
      </x:c>
      <x:c r="H27" s="1298" t="n">
        <x:f>IF(5=1,Inputs!C51+Inputs!C52+Inputs!C53,0)</x:f>
        <x:v>0</x:v>
      </x:c>
      <x:c r="I27" s="1298" t="n">
        <x:f>IF(6=1,Inputs!C51+Inputs!C52+Inputs!C53,0)</x:f>
        <x:v>0</x:v>
      </x:c>
      <x:c r="J27" s="1298" t="n">
        <x:f>IF(7=1,Inputs!C51+Inputs!C52+Inputs!C53,0)</x:f>
        <x:v>0</x:v>
      </x:c>
      <x:c r="K27" s="1298" t="n">
        <x:f>IF(8=1,Inputs!C51+Inputs!C52+Inputs!C53,0)</x:f>
        <x:v>0</x:v>
      </x:c>
      <x:c r="L27" s="1298" t="n">
        <x:f>IF(9=1,Inputs!C51+Inputs!C52+Inputs!C53,0)</x:f>
        <x:v>0</x:v>
      </x:c>
      <x:c r="M27" s="1298" t="n">
        <x:f>IF(10=1,Inputs!C51+Inputs!C52+Inputs!C53,0)</x:f>
        <x:v>0</x:v>
      </x:c>
      <x:c r="N27" s="1298" t="n">
        <x:f>IF(11=1,Inputs!C51+Inputs!C52+Inputs!C53,0)</x:f>
        <x:v>0</x:v>
      </x:c>
      <x:c r="O27" s="1298" t="n">
        <x:f>IF(12=1,Inputs!C51+Inputs!C52+Inputs!C53,0)</x:f>
        <x:v>0</x:v>
      </x:c>
      <x:c r="P27" s="1298" t="n">
        <x:f>IF(13=1,Inputs!C51+Inputs!C52+Inputs!C53,0)</x:f>
        <x:v>0</x:v>
      </x:c>
      <x:c r="Q27" s="1298" t="n">
        <x:f>IF(14=1,Inputs!C51+Inputs!C52+Inputs!C53,0)</x:f>
        <x:v>0</x:v>
      </x:c>
      <x:c r="R27" s="1298" t="n">
        <x:f>IF(15=1,Inputs!C51+Inputs!C52+Inputs!C53,0)</x:f>
        <x:v>0</x:v>
      </x:c>
      <x:c r="S27" s="1298" t="n">
        <x:f>IF(16=1,Inputs!C51+Inputs!C52+Inputs!C53,0)</x:f>
        <x:v>0</x:v>
      </x:c>
      <x:c r="T27" s="1298" t="n">
        <x:f>IF(17=1,Inputs!C51+Inputs!C52+Inputs!C53,0)</x:f>
        <x:v>0</x:v>
      </x:c>
      <x:c r="U27" s="1298" t="n">
        <x:f>IF(18=1,Inputs!C51+Inputs!C52+Inputs!C53,0)</x:f>
        <x:v>0</x:v>
      </x:c>
      <x:c r="V27" s="1298" t="n">
        <x:f>IF(19=1,Inputs!C51+Inputs!C52+Inputs!C53,0)</x:f>
        <x:v>0</x:v>
      </x:c>
      <x:c r="W27" s="1298" t="n">
        <x:f>IF(20=1,Inputs!C51+Inputs!C52+Inputs!C53,0)</x:f>
        <x:v>0</x:v>
      </x:c>
      <x:c r="X27" s="1298" t="n">
        <x:f>IF(21=1,Inputs!C51+Inputs!C52+Inputs!C53,0)</x:f>
        <x:v>0</x:v>
      </x:c>
      <x:c r="Y27" s="1298" t="n">
        <x:f>IF(22=1,Inputs!C51+Inputs!C52+Inputs!C53,0)</x:f>
        <x:v>0</x:v>
      </x:c>
      <x:c r="Z27" s="1298" t="n">
        <x:f>IF(23=1,Inputs!C51+Inputs!C52+Inputs!C53,0)</x:f>
        <x:v>0</x:v>
      </x:c>
      <x:c r="AA27" s="1298" t="n">
        <x:f>IF(24=1,Inputs!C51+Inputs!C52+Inputs!C53,0)</x:f>
        <x:v>0</x:v>
      </x:c>
      <x:c r="AB27" s="1298" t="n">
        <x:f>IF(25=1,Inputs!C51+Inputs!C52+Inputs!C53,0)</x:f>
        <x:v>0</x:v>
      </x:c>
      <x:c r="AC27" s="1298" t="n">
        <x:f>IF(26=1,Inputs!C51+Inputs!C52+Inputs!C53,0)</x:f>
        <x:v>0</x:v>
      </x:c>
      <x:c r="AD27" s="1298" t="n">
        <x:f>IF(27=1,Inputs!C51+Inputs!C52+Inputs!C53,0)</x:f>
        <x:v>0</x:v>
      </x:c>
      <x:c r="AE27" s="1298" t="n">
        <x:f>IF(28=1,Inputs!C51+Inputs!C52+Inputs!C53,0)</x:f>
        <x:v>0</x:v>
      </x:c>
      <x:c r="AF27" s="1298" t="n">
        <x:f>IF(29=1,Inputs!C51+Inputs!C52+Inputs!C53,0)</x:f>
        <x:v>0</x:v>
      </x:c>
      <x:c r="AG27" s="1298" t="n">
        <x:f>IF(30=1,Inputs!C51+Inputs!C52+Inputs!C53,0)</x:f>
        <x:v>0</x:v>
      </x:c>
      <x:c r="AH27" s="1298" t="n">
        <x:f>IF(31=1,Inputs!C51+Inputs!C52+Inputs!C53,0)</x:f>
        <x:v>0</x:v>
      </x:c>
      <x:c r="AI27" s="1298" t="n">
        <x:f>IF(32=1,Inputs!C51+Inputs!C52+Inputs!C53,0)</x:f>
        <x:v>0</x:v>
      </x:c>
      <x:c r="AJ27" s="1298" t="n">
        <x:f>IF(33=1,Inputs!C51+Inputs!C52+Inputs!C53,0)</x:f>
        <x:v>0</x:v>
      </x:c>
      <x:c r="AK27" s="1298" t="n">
        <x:f>IF(34=1,Inputs!C51+Inputs!C52+Inputs!C53,0)</x:f>
        <x:v>0</x:v>
      </x:c>
      <x:c r="AL27" s="1298" t="n">
        <x:f>IF(35=1,Inputs!C51+Inputs!C52+Inputs!C53,0)</x:f>
        <x:v>0</x:v>
      </x:c>
      <x:c r="AM27" s="1299" t="n">
        <x:f>IF(36=1,Inputs!C51+Inputs!C52+Inputs!C53,0)</x:f>
        <x:v>0</x:v>
      </x:c>
    </x:row>
    <x:row r="28">
      <x:c r="A28" s="147"/>
      <x:c r="B28" s="148"/>
      <x:c r="C28" s="149"/>
      <x:c r="D28" s="1285"/>
      <x:c r="E28" s="1286"/>
      <x:c r="F28" s="1286"/>
      <x:c r="G28" s="1286"/>
      <x:c r="H28" s="1286"/>
      <x:c r="I28" s="1286"/>
      <x:c r="J28" s="1286"/>
      <x:c r="K28" s="1286"/>
      <x:c r="L28" s="1286"/>
      <x:c r="M28" s="1286"/>
      <x:c r="N28" s="1286"/>
      <x:c r="O28" s="1286"/>
      <x:c r="P28" s="1286"/>
      <x:c r="Q28" s="1286"/>
      <x:c r="R28" s="1286"/>
      <x:c r="S28" s="1286"/>
      <x:c r="T28" s="1286"/>
      <x:c r="U28" s="1286"/>
      <x:c r="V28" s="1286"/>
      <x:c r="W28" s="1286"/>
      <x:c r="X28" s="1286"/>
      <x:c r="Y28" s="1286"/>
      <x:c r="Z28" s="1286"/>
      <x:c r="AA28" s="1286"/>
      <x:c r="AB28" s="1286"/>
      <x:c r="AC28" s="1286"/>
      <x:c r="AD28" s="1286"/>
      <x:c r="AE28" s="1286"/>
      <x:c r="AF28" s="1286"/>
      <x:c r="AG28" s="1286"/>
      <x:c r="AH28" s="1286"/>
      <x:c r="AI28" s="1286"/>
      <x:c r="AJ28" s="1286"/>
      <x:c r="AK28" s="1286"/>
      <x:c r="AL28" s="1286"/>
      <x:c r="AM28" s="1287"/>
    </x:row>
    <x:row r="29">
      <x:c r="A29" s="147"/>
      <x:c r="B29" s="148"/>
      <x:c r="C29" s="149"/>
      <x:c r="D29" s="1285"/>
      <x:c r="E29" s="1286"/>
      <x:c r="F29" s="1286"/>
      <x:c r="G29" s="1286"/>
      <x:c r="H29" s="1286"/>
      <x:c r="I29" s="1286"/>
      <x:c r="J29" s="1286"/>
      <x:c r="K29" s="1286"/>
      <x:c r="L29" s="1286"/>
      <x:c r="M29" s="1286"/>
      <x:c r="N29" s="1286"/>
      <x:c r="O29" s="1286"/>
      <x:c r="P29" s="1286"/>
      <x:c r="Q29" s="1286"/>
      <x:c r="R29" s="1286"/>
      <x:c r="S29" s="1286"/>
      <x:c r="T29" s="1286"/>
      <x:c r="U29" s="1286"/>
      <x:c r="V29" s="1286"/>
      <x:c r="W29" s="1286"/>
      <x:c r="X29" s="1286"/>
      <x:c r="Y29" s="1286"/>
      <x:c r="Z29" s="1286"/>
      <x:c r="AA29" s="1286"/>
      <x:c r="AB29" s="1286"/>
      <x:c r="AC29" s="1286"/>
      <x:c r="AD29" s="1286"/>
      <x:c r="AE29" s="1286"/>
      <x:c r="AF29" s="1286"/>
      <x:c r="AG29" s="1286"/>
      <x:c r="AH29" s="1286"/>
      <x:c r="AI29" s="1286"/>
      <x:c r="AJ29" s="1286"/>
      <x:c r="AK29" s="1286"/>
      <x:c r="AL29" s="1286"/>
      <x:c r="AM29" s="1287"/>
    </x:row>
    <x:row r="30">
      <x:c r="A30" s="243" t="str">
        <x:v>ASIC hardware deposit cash</x:v>
      </x:c>
      <x:c r="B30" s="244" t="str">
        <x:v>ZAR'000</x:v>
      </x:c>
      <x:c r="C30" s="245" t="str">
        <x:v>Deposit paid before COD</x:v>
      </x:c>
      <x:c r="D30" s="1297" t="n">
        <x:f>Inputs!C100*F14</x:f>
        <x:v>32752.199999999997</x:v>
      </x:c>
      <x:c r="E30" s="1298" t="n">
        <x:f>Inputs!C100*G14</x:f>
        <x:v>32752.199999999997</x:v>
      </x:c>
      <x:c r="F30" s="1298" t="n">
        <x:f>Inputs!C100*H14</x:f>
        <x:v>32752.199999999997</x:v>
      </x:c>
      <x:c r="G30" s="1298" t="n">
        <x:f>Inputs!C100*I14</x:f>
        <x:v>32752.199999999997</x:v>
      </x:c>
      <x:c r="H30" s="1298" t="n">
        <x:f>Inputs!C100*J14</x:f>
        <x:v>0</x:v>
      </x:c>
      <x:c r="I30" s="1298" t="n">
        <x:f>Inputs!C100*K14</x:f>
        <x:v>0</x:v>
      </x:c>
      <x:c r="J30" s="1298" t="n">
        <x:f>Inputs!C100*L14</x:f>
        <x:v>0</x:v>
      </x:c>
      <x:c r="K30" s="1298" t="n">
        <x:f>Inputs!C100*M14</x:f>
        <x:v>0</x:v>
      </x:c>
      <x:c r="L30" s="1298" t="n">
        <x:f>Inputs!C100*N14</x:f>
        <x:v>0</x:v>
      </x:c>
      <x:c r="M30" s="1298" t="n">
        <x:f>Inputs!C100*O14</x:f>
        <x:v>0</x:v>
      </x:c>
      <x:c r="N30" s="1298" t="n">
        <x:f>Inputs!C100*P14</x:f>
        <x:v>0</x:v>
      </x:c>
      <x:c r="O30" s="1298" t="n">
        <x:f>Inputs!C100*Q14</x:f>
        <x:v>0</x:v>
      </x:c>
      <x:c r="P30" s="1298" t="n">
        <x:f>Inputs!C100*R14</x:f>
        <x:v>0</x:v>
      </x:c>
      <x:c r="Q30" s="1298" t="n">
        <x:f>Inputs!C100*S14</x:f>
        <x:v>0</x:v>
      </x:c>
      <x:c r="R30" s="1298" t="n">
        <x:f>Inputs!C100*T14</x:f>
        <x:v>0</x:v>
      </x:c>
      <x:c r="S30" s="1298" t="n">
        <x:f>Inputs!C100*U14</x:f>
        <x:v>0</x:v>
      </x:c>
      <x:c r="T30" s="1298" t="n">
        <x:f>Inputs!C100*V14</x:f>
        <x:v>0</x:v>
      </x:c>
      <x:c r="U30" s="1298" t="n">
        <x:f>Inputs!C100*W14</x:f>
        <x:v>0</x:v>
      </x:c>
      <x:c r="V30" s="1298" t="n">
        <x:f>Inputs!C100*X14</x:f>
        <x:v>0</x:v>
      </x:c>
      <x:c r="W30" s="1298" t="n">
        <x:f>Inputs!C100*Y14</x:f>
        <x:v>0</x:v>
      </x:c>
      <x:c r="X30" s="1298" t="n">
        <x:f>Inputs!C100*Z14</x:f>
        <x:v>0</x:v>
      </x:c>
      <x:c r="Y30" s="1298" t="n">
        <x:f>Inputs!C100*AA14</x:f>
        <x:v>0</x:v>
      </x:c>
      <x:c r="Z30" s="1298" t="n">
        <x:f>Inputs!C100*AB14</x:f>
        <x:v>0</x:v>
      </x:c>
      <x:c r="AA30" s="1298" t="n">
        <x:f>Inputs!C100*AC14</x:f>
        <x:v>0</x:v>
      </x:c>
      <x:c r="AB30" s="1298" t="n">
        <x:f>Inputs!C100*AD14</x:f>
        <x:v>0</x:v>
      </x:c>
      <x:c r="AC30" s="1298" t="n">
        <x:f>Inputs!C100*AE14</x:f>
        <x:v>0</x:v>
      </x:c>
      <x:c r="AD30" s="1298" t="n">
        <x:f>Inputs!C100*AF14</x:f>
        <x:v>0</x:v>
      </x:c>
      <x:c r="AE30" s="1298" t="n">
        <x:f>Inputs!C100*AG14</x:f>
        <x:v>0</x:v>
      </x:c>
      <x:c r="AF30" s="1298" t="n">
        <x:f>Inputs!C100*AH14</x:f>
        <x:v>0</x:v>
      </x:c>
      <x:c r="AG30" s="1298" t="n">
        <x:f>Inputs!C100*AI14</x:f>
        <x:v>0</x:v>
      </x:c>
      <x:c r="AH30" s="1298" t="n">
        <x:f>Inputs!C100*AJ14</x:f>
        <x:v>0</x:v>
      </x:c>
      <x:c r="AI30" s="1298" t="n">
        <x:f>Inputs!C100*AK14</x:f>
        <x:v>0</x:v>
      </x:c>
      <x:c r="AJ30" s="1298" t="n">
        <x:f>Inputs!C100*AL14</x:f>
        <x:v>0</x:v>
      </x:c>
      <x:c r="AK30" s="1298" t="n">
        <x:f>Inputs!C100*AM14</x:f>
        <x:v>0</x:v>
      </x:c>
      <x:c r="AL30" s="1298" t="n">
        <x:f>0</x:f>
        <x:v>0</x:v>
      </x:c>
      <x:c r="AM30" s="1299" t="n">
        <x:f>0</x:f>
        <x:v>0</x:v>
      </x:c>
    </x:row>
    <x:row r="31">
      <x:c r="A31" s="243" t="str">
        <x:v>ASIC hardware final cash</x:v>
      </x:c>
      <x:c r="B31" s="244" t="str">
        <x:v>ZAR'000</x:v>
      </x:c>
      <x:c r="C31" s="245" t="str">
        <x:v>Final cash paid in COD month</x:v>
      </x:c>
      <x:c r="D31" s="1297" t="n">
        <x:f>Inputs!C101*D14</x:f>
        <x:v>0</x:v>
      </x:c>
      <x:c r="E31" s="1298" t="n">
        <x:f>Inputs!C101*E14</x:f>
        <x:v>0</x:v>
      </x:c>
      <x:c r="F31" s="1298" t="n">
        <x:f>Inputs!C101*F14</x:f>
        <x:v>21834.800000000003</x:v>
      </x:c>
      <x:c r="G31" s="1298" t="n">
        <x:f>Inputs!C101*G14</x:f>
        <x:v>21834.800000000003</x:v>
      </x:c>
      <x:c r="H31" s="1298" t="n">
        <x:f>Inputs!C101*H14</x:f>
        <x:v>21834.800000000003</x:v>
      </x:c>
      <x:c r="I31" s="1298" t="n">
        <x:f>Inputs!C101*I14</x:f>
        <x:v>21834.800000000003</x:v>
      </x:c>
      <x:c r="J31" s="1298" t="n">
        <x:f>Inputs!C101*J14</x:f>
        <x:v>0</x:v>
      </x:c>
      <x:c r="K31" s="1298" t="n">
        <x:f>Inputs!C101*K14</x:f>
        <x:v>0</x:v>
      </x:c>
      <x:c r="L31" s="1298" t="n">
        <x:f>Inputs!C101*L14</x:f>
        <x:v>0</x:v>
      </x:c>
      <x:c r="M31" s="1298" t="n">
        <x:f>Inputs!C101*M14</x:f>
        <x:v>0</x:v>
      </x:c>
      <x:c r="N31" s="1298" t="n">
        <x:f>Inputs!C101*N14</x:f>
        <x:v>0</x:v>
      </x:c>
      <x:c r="O31" s="1298" t="n">
        <x:f>Inputs!C101*O14</x:f>
        <x:v>0</x:v>
      </x:c>
      <x:c r="P31" s="1298" t="n">
        <x:f>Inputs!C101*P14</x:f>
        <x:v>0</x:v>
      </x:c>
      <x:c r="Q31" s="1298" t="n">
        <x:f>Inputs!C101*Q14</x:f>
        <x:v>0</x:v>
      </x:c>
      <x:c r="R31" s="1298" t="n">
        <x:f>Inputs!C101*R14</x:f>
        <x:v>0</x:v>
      </x:c>
      <x:c r="S31" s="1298" t="n">
        <x:f>Inputs!C101*S14</x:f>
        <x:v>0</x:v>
      </x:c>
      <x:c r="T31" s="1298" t="n">
        <x:f>Inputs!C101*T14</x:f>
        <x:v>0</x:v>
      </x:c>
      <x:c r="U31" s="1298" t="n">
        <x:f>Inputs!C101*U14</x:f>
        <x:v>0</x:v>
      </x:c>
      <x:c r="V31" s="1298" t="n">
        <x:f>Inputs!C101*V14</x:f>
        <x:v>0</x:v>
      </x:c>
      <x:c r="W31" s="1298" t="n">
        <x:f>Inputs!C101*W14</x:f>
        <x:v>0</x:v>
      </x:c>
      <x:c r="X31" s="1298" t="n">
        <x:f>Inputs!C101*X14</x:f>
        <x:v>0</x:v>
      </x:c>
      <x:c r="Y31" s="1298" t="n">
        <x:f>Inputs!C101*Y14</x:f>
        <x:v>0</x:v>
      </x:c>
      <x:c r="Z31" s="1298" t="n">
        <x:f>Inputs!C101*Z14</x:f>
        <x:v>0</x:v>
      </x:c>
      <x:c r="AA31" s="1298" t="n">
        <x:f>Inputs!C101*AA14</x:f>
        <x:v>0</x:v>
      </x:c>
      <x:c r="AB31" s="1298" t="n">
        <x:f>Inputs!C101*AB14</x:f>
        <x:v>0</x:v>
      </x:c>
      <x:c r="AC31" s="1298" t="n">
        <x:f>Inputs!C101*AC14</x:f>
        <x:v>0</x:v>
      </x:c>
      <x:c r="AD31" s="1298" t="n">
        <x:f>Inputs!C101*AD14</x:f>
        <x:v>0</x:v>
      </x:c>
      <x:c r="AE31" s="1298" t="n">
        <x:f>Inputs!C101*AE14</x:f>
        <x:v>0</x:v>
      </x:c>
      <x:c r="AF31" s="1298" t="n">
        <x:f>Inputs!C101*AF14</x:f>
        <x:v>0</x:v>
      </x:c>
      <x:c r="AG31" s="1298" t="n">
        <x:f>Inputs!C101*AG14</x:f>
        <x:v>0</x:v>
      </x:c>
      <x:c r="AH31" s="1298" t="n">
        <x:f>Inputs!C101*AH14</x:f>
        <x:v>0</x:v>
      </x:c>
      <x:c r="AI31" s="1298" t="n">
        <x:f>Inputs!C101*AI14</x:f>
        <x:v>0</x:v>
      </x:c>
      <x:c r="AJ31" s="1298" t="n">
        <x:f>Inputs!C101*AJ14</x:f>
        <x:v>0</x:v>
      </x:c>
      <x:c r="AK31" s="1298" t="n">
        <x:f>Inputs!C101*AK14</x:f>
        <x:v>0</x:v>
      </x:c>
      <x:c r="AL31" s="1298" t="n">
        <x:f>Inputs!C101*AL14</x:f>
        <x:v>0</x:v>
      </x:c>
      <x:c r="AM31" s="1299" t="n">
        <x:f>Inputs!C101*AM14</x:f>
        <x:v>0</x:v>
      </x:c>
    </x:row>
    <x:row r="32">
      <x:c r="A32" s="147" t="str">
        <x:v>Container deposit cash</x:v>
      </x:c>
      <x:c r="B32" s="148" t="str">
        <x:v>ZAR'000</x:v>
      </x:c>
      <x:c r="C32" s="149" t="str">
        <x:v>Deposit paid before COD</x:v>
      </x:c>
      <x:c r="D32" s="1285" t="n">
        <x:f>Inputs!C103*F15</x:f>
        <x:v>3570</x:v>
      </x:c>
      <x:c r="E32" s="1286" t="n">
        <x:f>Inputs!C103*G15</x:f>
        <x:v>2380</x:v>
      </x:c>
      <x:c r="F32" s="1286" t="n">
        <x:f>Inputs!C103*H15</x:f>
        <x:v>2380</x:v>
      </x:c>
      <x:c r="G32" s="1286" t="n">
        <x:f>Inputs!C103*I15</x:f>
        <x:v>3570</x:v>
      </x:c>
      <x:c r="H32" s="1286" t="n">
        <x:f>Inputs!C103*J15</x:f>
        <x:v>0</x:v>
      </x:c>
      <x:c r="I32" s="1286" t="n">
        <x:f>Inputs!C103*K15</x:f>
        <x:v>0</x:v>
      </x:c>
      <x:c r="J32" s="1286" t="n">
        <x:f>Inputs!C103*L15</x:f>
        <x:v>0</x:v>
      </x:c>
      <x:c r="K32" s="1286" t="n">
        <x:f>Inputs!C103*M15</x:f>
        <x:v>0</x:v>
      </x:c>
      <x:c r="L32" s="1286" t="n">
        <x:f>Inputs!C103*N15</x:f>
        <x:v>0</x:v>
      </x:c>
      <x:c r="M32" s="1286" t="n">
        <x:f>Inputs!C103*O15</x:f>
        <x:v>0</x:v>
      </x:c>
      <x:c r="N32" s="1286" t="n">
        <x:f>Inputs!C103*P15</x:f>
        <x:v>0</x:v>
      </x:c>
      <x:c r="O32" s="1286" t="n">
        <x:f>Inputs!C103*Q15</x:f>
        <x:v>0</x:v>
      </x:c>
      <x:c r="P32" s="1286" t="n">
        <x:f>Inputs!C103*R15</x:f>
        <x:v>0</x:v>
      </x:c>
      <x:c r="Q32" s="1286" t="n">
        <x:f>Inputs!C103*S15</x:f>
        <x:v>0</x:v>
      </x:c>
      <x:c r="R32" s="1286" t="n">
        <x:f>Inputs!C103*T15</x:f>
        <x:v>0</x:v>
      </x:c>
      <x:c r="S32" s="1286" t="n">
        <x:f>Inputs!C103*U15</x:f>
        <x:v>0</x:v>
      </x:c>
      <x:c r="T32" s="1286" t="n">
        <x:f>Inputs!C103*V15</x:f>
        <x:v>0</x:v>
      </x:c>
      <x:c r="U32" s="1286" t="n">
        <x:f>Inputs!C103*W15</x:f>
        <x:v>0</x:v>
      </x:c>
      <x:c r="V32" s="1286" t="n">
        <x:f>Inputs!C103*X15</x:f>
        <x:v>0</x:v>
      </x:c>
      <x:c r="W32" s="1286" t="n">
        <x:f>Inputs!C103*Y15</x:f>
        <x:v>0</x:v>
      </x:c>
      <x:c r="X32" s="1286" t="n">
        <x:f>Inputs!C103*Z15</x:f>
        <x:v>0</x:v>
      </x:c>
      <x:c r="Y32" s="1286" t="n">
        <x:f>Inputs!C103*AA15</x:f>
        <x:v>0</x:v>
      </x:c>
      <x:c r="Z32" s="1286" t="n">
        <x:f>Inputs!C103*AB15</x:f>
        <x:v>0</x:v>
      </x:c>
      <x:c r="AA32" s="1286" t="n">
        <x:f>Inputs!C103*AC15</x:f>
        <x:v>0</x:v>
      </x:c>
      <x:c r="AB32" s="1286" t="n">
        <x:f>Inputs!C103*AD15</x:f>
        <x:v>0</x:v>
      </x:c>
      <x:c r="AC32" s="1286" t="n">
        <x:f>Inputs!C103*AE15</x:f>
        <x:v>0</x:v>
      </x:c>
      <x:c r="AD32" s="1286" t="n">
        <x:f>Inputs!C103*AF15</x:f>
        <x:v>0</x:v>
      </x:c>
      <x:c r="AE32" s="1286" t="n">
        <x:f>Inputs!C103*AG15</x:f>
        <x:v>0</x:v>
      </x:c>
      <x:c r="AF32" s="1286" t="n">
        <x:f>Inputs!C103*AH15</x:f>
        <x:v>0</x:v>
      </x:c>
      <x:c r="AG32" s="1286" t="n">
        <x:f>Inputs!C103*AI15</x:f>
        <x:v>0</x:v>
      </x:c>
      <x:c r="AH32" s="1286" t="n">
        <x:f>Inputs!C103*AJ15</x:f>
        <x:v>0</x:v>
      </x:c>
      <x:c r="AI32" s="1286" t="n">
        <x:f>Inputs!C103*AK15</x:f>
        <x:v>0</x:v>
      </x:c>
      <x:c r="AJ32" s="1286" t="n">
        <x:f>Inputs!C103*AL15</x:f>
        <x:v>0</x:v>
      </x:c>
      <x:c r="AK32" s="1286" t="n">
        <x:f>Inputs!C103*AM15</x:f>
        <x:v>0</x:v>
      </x:c>
      <x:c r="AL32" s="1286" t="n">
        <x:f>0</x:f>
        <x:v>0</x:v>
      </x:c>
      <x:c r="AM32" s="1287" t="n">
        <x:f>0</x:f>
        <x:v>0</x:v>
      </x:c>
    </x:row>
    <x:row r="33">
      <x:c r="A33" s="147" t="str">
        <x:v>Container progress cash</x:v>
      </x:c>
      <x:c r="B33" s="148" t="str">
        <x:v>ZAR'000</x:v>
      </x:c>
      <x:c r="C33" s="149" t="str">
        <x:v>Progress payment before COD</x:v>
      </x:c>
      <x:c r="D33" s="1285" t="n">
        <x:f>Inputs!C104*E15</x:f>
        <x:v>0</x:v>
      </x:c>
      <x:c r="E33" s="1286" t="n">
        <x:f>Inputs!C104*F15</x:f>
        <x:v>5355</x:v>
      </x:c>
      <x:c r="F33" s="1286" t="n">
        <x:f>Inputs!C104*G15</x:f>
        <x:v>3570</x:v>
      </x:c>
      <x:c r="G33" s="1286" t="n">
        <x:f>Inputs!C104*H15</x:f>
        <x:v>3570</x:v>
      </x:c>
      <x:c r="H33" s="1286" t="n">
        <x:f>Inputs!C104*I15</x:f>
        <x:v>5355</x:v>
      </x:c>
      <x:c r="I33" s="1286" t="n">
        <x:f>Inputs!C104*J15</x:f>
        <x:v>0</x:v>
      </x:c>
      <x:c r="J33" s="1286" t="n">
        <x:f>Inputs!C104*K15</x:f>
        <x:v>0</x:v>
      </x:c>
      <x:c r="K33" s="1286" t="n">
        <x:f>Inputs!C104*L15</x:f>
        <x:v>0</x:v>
      </x:c>
      <x:c r="L33" s="1286" t="n">
        <x:f>Inputs!C104*M15</x:f>
        <x:v>0</x:v>
      </x:c>
      <x:c r="M33" s="1286" t="n">
        <x:f>Inputs!C104*N15</x:f>
        <x:v>0</x:v>
      </x:c>
      <x:c r="N33" s="1286" t="n">
        <x:f>Inputs!C104*O15</x:f>
        <x:v>0</x:v>
      </x:c>
      <x:c r="O33" s="1286" t="n">
        <x:f>Inputs!C104*P15</x:f>
        <x:v>0</x:v>
      </x:c>
      <x:c r="P33" s="1286" t="n">
        <x:f>Inputs!C104*Q15</x:f>
        <x:v>0</x:v>
      </x:c>
      <x:c r="Q33" s="1286" t="n">
        <x:f>Inputs!C104*R15</x:f>
        <x:v>0</x:v>
      </x:c>
      <x:c r="R33" s="1286" t="n">
        <x:f>Inputs!C104*S15</x:f>
        <x:v>0</x:v>
      </x:c>
      <x:c r="S33" s="1286" t="n">
        <x:f>Inputs!C104*T15</x:f>
        <x:v>0</x:v>
      </x:c>
      <x:c r="T33" s="1286" t="n">
        <x:f>Inputs!C104*U15</x:f>
        <x:v>0</x:v>
      </x:c>
      <x:c r="U33" s="1286" t="n">
        <x:f>Inputs!C104*V15</x:f>
        <x:v>0</x:v>
      </x:c>
      <x:c r="V33" s="1286" t="n">
        <x:f>Inputs!C104*W15</x:f>
        <x:v>0</x:v>
      </x:c>
      <x:c r="W33" s="1286" t="n">
        <x:f>Inputs!C104*X15</x:f>
        <x:v>0</x:v>
      </x:c>
      <x:c r="X33" s="1286" t="n">
        <x:f>Inputs!C104*Y15</x:f>
        <x:v>0</x:v>
      </x:c>
      <x:c r="Y33" s="1286" t="n">
        <x:f>Inputs!C104*Z15</x:f>
        <x:v>0</x:v>
      </x:c>
      <x:c r="Z33" s="1286" t="n">
        <x:f>Inputs!C104*AA15</x:f>
        <x:v>0</x:v>
      </x:c>
      <x:c r="AA33" s="1286" t="n">
        <x:f>Inputs!C104*AB15</x:f>
        <x:v>0</x:v>
      </x:c>
      <x:c r="AB33" s="1286" t="n">
        <x:f>Inputs!C104*AC15</x:f>
        <x:v>0</x:v>
      </x:c>
      <x:c r="AC33" s="1286" t="n">
        <x:f>Inputs!C104*AD15</x:f>
        <x:v>0</x:v>
      </x:c>
      <x:c r="AD33" s="1286" t="n">
        <x:f>Inputs!C104*AE15</x:f>
        <x:v>0</x:v>
      </x:c>
      <x:c r="AE33" s="1286" t="n">
        <x:f>Inputs!C104*AF15</x:f>
        <x:v>0</x:v>
      </x:c>
      <x:c r="AF33" s="1286" t="n">
        <x:f>Inputs!C104*AG15</x:f>
        <x:v>0</x:v>
      </x:c>
      <x:c r="AG33" s="1286" t="n">
        <x:f>Inputs!C104*AH15</x:f>
        <x:v>0</x:v>
      </x:c>
      <x:c r="AH33" s="1286" t="n">
        <x:f>Inputs!C104*AI15</x:f>
        <x:v>0</x:v>
      </x:c>
      <x:c r="AI33" s="1286" t="n">
        <x:f>Inputs!C104*AJ15</x:f>
        <x:v>0</x:v>
      </x:c>
      <x:c r="AJ33" s="1286" t="n">
        <x:f>Inputs!C104*AK15</x:f>
        <x:v>0</x:v>
      </x:c>
      <x:c r="AK33" s="1286" t="n">
        <x:f>Inputs!C104*AL15</x:f>
        <x:v>0</x:v>
      </x:c>
      <x:c r="AL33" s="1286" t="n">
        <x:f>Inputs!C104*AM15</x:f>
        <x:v>0</x:v>
      </x:c>
      <x:c r="AM33" s="1287" t="n">
        <x:f>0</x:f>
        <x:v>0</x:v>
      </x:c>
    </x:row>
    <x:row r="34">
      <x:c r="A34" s="243" t="str">
        <x:v>Container final cash</x:v>
      </x:c>
      <x:c r="B34" s="244" t="str">
        <x:v>ZAR'000</x:v>
      </x:c>
      <x:c r="C34" s="245" t="str">
        <x:v>Final paid in COD month</x:v>
      </x:c>
      <x:c r="D34" s="1297" t="n">
        <x:f>Inputs!C105*D15</x:f>
        <x:v>0</x:v>
      </x:c>
      <x:c r="E34" s="1298" t="n">
        <x:f>Inputs!C105*E15</x:f>
        <x:v>0</x:v>
      </x:c>
      <x:c r="F34" s="1298" t="n">
        <x:f>Inputs!C105*F15</x:f>
        <x:v>8925</x:v>
      </x:c>
      <x:c r="G34" s="1298" t="n">
        <x:f>Inputs!C105*G15</x:f>
        <x:v>5950</x:v>
      </x:c>
      <x:c r="H34" s="1298" t="n">
        <x:f>Inputs!C105*H15</x:f>
        <x:v>5950</x:v>
      </x:c>
      <x:c r="I34" s="1298" t="n">
        <x:f>Inputs!C105*I15</x:f>
        <x:v>8925</x:v>
      </x:c>
      <x:c r="J34" s="1298" t="n">
        <x:f>Inputs!C105*J15</x:f>
        <x:v>0</x:v>
      </x:c>
      <x:c r="K34" s="1298" t="n">
        <x:f>Inputs!C105*K15</x:f>
        <x:v>0</x:v>
      </x:c>
      <x:c r="L34" s="1298" t="n">
        <x:f>Inputs!C105*L15</x:f>
        <x:v>0</x:v>
      </x:c>
      <x:c r="M34" s="1298" t="n">
        <x:f>Inputs!C105*M15</x:f>
        <x:v>0</x:v>
      </x:c>
      <x:c r="N34" s="1298" t="n">
        <x:f>Inputs!C105*N15</x:f>
        <x:v>0</x:v>
      </x:c>
      <x:c r="O34" s="1298" t="n">
        <x:f>Inputs!C105*O15</x:f>
        <x:v>0</x:v>
      </x:c>
      <x:c r="P34" s="1298" t="n">
        <x:f>Inputs!C105*P15</x:f>
        <x:v>0</x:v>
      </x:c>
      <x:c r="Q34" s="1298" t="n">
        <x:f>Inputs!C105*Q15</x:f>
        <x:v>0</x:v>
      </x:c>
      <x:c r="R34" s="1298" t="n">
        <x:f>Inputs!C105*R15</x:f>
        <x:v>0</x:v>
      </x:c>
      <x:c r="S34" s="1298" t="n">
        <x:f>Inputs!C105*S15</x:f>
        <x:v>0</x:v>
      </x:c>
      <x:c r="T34" s="1298" t="n">
        <x:f>Inputs!C105*T15</x:f>
        <x:v>0</x:v>
      </x:c>
      <x:c r="U34" s="1298" t="n">
        <x:f>Inputs!C105*U15</x:f>
        <x:v>0</x:v>
      </x:c>
      <x:c r="V34" s="1298" t="n">
        <x:f>Inputs!C105*V15</x:f>
        <x:v>0</x:v>
      </x:c>
      <x:c r="W34" s="1298" t="n">
        <x:f>Inputs!C105*W15</x:f>
        <x:v>0</x:v>
      </x:c>
      <x:c r="X34" s="1298" t="n">
        <x:f>Inputs!C105*X15</x:f>
        <x:v>0</x:v>
      </x:c>
      <x:c r="Y34" s="1298" t="n">
        <x:f>Inputs!C105*Y15</x:f>
        <x:v>0</x:v>
      </x:c>
      <x:c r="Z34" s="1298" t="n">
        <x:f>Inputs!C105*Z15</x:f>
        <x:v>0</x:v>
      </x:c>
      <x:c r="AA34" s="1298" t="n">
        <x:f>Inputs!C105*AA15</x:f>
        <x:v>0</x:v>
      </x:c>
      <x:c r="AB34" s="1298" t="n">
        <x:f>Inputs!C105*AB15</x:f>
        <x:v>0</x:v>
      </x:c>
      <x:c r="AC34" s="1298" t="n">
        <x:f>Inputs!C105*AC15</x:f>
        <x:v>0</x:v>
      </x:c>
      <x:c r="AD34" s="1298" t="n">
        <x:f>Inputs!C105*AD15</x:f>
        <x:v>0</x:v>
      </x:c>
      <x:c r="AE34" s="1298" t="n">
        <x:f>Inputs!C105*AE15</x:f>
        <x:v>0</x:v>
      </x:c>
      <x:c r="AF34" s="1298" t="n">
        <x:f>Inputs!C105*AF15</x:f>
        <x:v>0</x:v>
      </x:c>
      <x:c r="AG34" s="1298" t="n">
        <x:f>Inputs!C105*AG15</x:f>
        <x:v>0</x:v>
      </x:c>
      <x:c r="AH34" s="1298" t="n">
        <x:f>Inputs!C105*AH15</x:f>
        <x:v>0</x:v>
      </x:c>
      <x:c r="AI34" s="1298" t="n">
        <x:f>Inputs!C105*AI15</x:f>
        <x:v>0</x:v>
      </x:c>
      <x:c r="AJ34" s="1298" t="n">
        <x:f>Inputs!C105*AJ15</x:f>
        <x:v>0</x:v>
      </x:c>
      <x:c r="AK34" s="1298" t="n">
        <x:f>Inputs!C105*AK15</x:f>
        <x:v>0</x:v>
      </x:c>
      <x:c r="AL34" s="1298" t="n">
        <x:f>Inputs!C105*AL15</x:f>
        <x:v>0</x:v>
      </x:c>
      <x:c r="AM34" s="1299" t="n">
        <x:f>Inputs!C105*AM15</x:f>
        <x:v>0</x:v>
      </x:c>
    </x:row>
    <x:row r="35">
      <x:c r="A35" s="147" t="str">
        <x:v>EPC deposit cash</x:v>
      </x:c>
      <x:c r="B35" s="148" t="str">
        <x:v>ZAR'000</x:v>
      </x:c>
      <x:c r="C35" s="149" t="str">
        <x:v>Deposit paid before COD</x:v>
      </x:c>
      <x:c r="D35" s="1285" t="n">
        <x:f>Inputs!C107*F16</x:f>
        <x:v>6661.136565105</x:v>
      </x:c>
      <x:c r="E35" s="1286" t="n">
        <x:f>Inputs!C107*G16</x:f>
        <x:v>2854.772813655</x:v>
      </x:c>
      <x:c r="F35" s="1286" t="n">
        <x:f>Inputs!C107*H16</x:f>
        <x:v>2854.772813655</x:v>
      </x:c>
      <x:c r="G35" s="1286" t="n">
        <x:f>Inputs!C107*I16</x:f>
        <x:v>6661.136565105</x:v>
      </x:c>
      <x:c r="H35" s="1286" t="n">
        <x:f>Inputs!C107*J16</x:f>
        <x:v>0</x:v>
      </x:c>
      <x:c r="I35" s="1286" t="n">
        <x:f>Inputs!C107*K16</x:f>
        <x:v>0</x:v>
      </x:c>
      <x:c r="J35" s="1286" t="n">
        <x:f>Inputs!C107*L16</x:f>
        <x:v>0</x:v>
      </x:c>
      <x:c r="K35" s="1286" t="n">
        <x:f>Inputs!C107*M16</x:f>
        <x:v>0</x:v>
      </x:c>
      <x:c r="L35" s="1286" t="n">
        <x:f>Inputs!C107*N16</x:f>
        <x:v>0</x:v>
      </x:c>
      <x:c r="M35" s="1286" t="n">
        <x:f>Inputs!C107*O16</x:f>
        <x:v>0</x:v>
      </x:c>
      <x:c r="N35" s="1286" t="n">
        <x:f>Inputs!C107*P16</x:f>
        <x:v>0</x:v>
      </x:c>
      <x:c r="O35" s="1286" t="n">
        <x:f>Inputs!C107*Q16</x:f>
        <x:v>0</x:v>
      </x:c>
      <x:c r="P35" s="1286" t="n">
        <x:f>Inputs!C107*R16</x:f>
        <x:v>0</x:v>
      </x:c>
      <x:c r="Q35" s="1286" t="n">
        <x:f>Inputs!C107*S16</x:f>
        <x:v>0</x:v>
      </x:c>
      <x:c r="R35" s="1286" t="n">
        <x:f>Inputs!C107*T16</x:f>
        <x:v>0</x:v>
      </x:c>
      <x:c r="S35" s="1286" t="n">
        <x:f>Inputs!C107*U16</x:f>
        <x:v>0</x:v>
      </x:c>
      <x:c r="T35" s="1286" t="n">
        <x:f>Inputs!C107*V16</x:f>
        <x:v>0</x:v>
      </x:c>
      <x:c r="U35" s="1286" t="n">
        <x:f>Inputs!C107*W16</x:f>
        <x:v>0</x:v>
      </x:c>
      <x:c r="V35" s="1286" t="n">
        <x:f>Inputs!C107*X16</x:f>
        <x:v>0</x:v>
      </x:c>
      <x:c r="W35" s="1286" t="n">
        <x:f>Inputs!C107*Y16</x:f>
        <x:v>0</x:v>
      </x:c>
      <x:c r="X35" s="1286" t="n">
        <x:f>Inputs!C107*Z16</x:f>
        <x:v>0</x:v>
      </x:c>
      <x:c r="Y35" s="1286" t="n">
        <x:f>Inputs!C107*AA16</x:f>
        <x:v>0</x:v>
      </x:c>
      <x:c r="Z35" s="1286" t="n">
        <x:f>Inputs!C107*AB16</x:f>
        <x:v>0</x:v>
      </x:c>
      <x:c r="AA35" s="1286" t="n">
        <x:f>Inputs!C107*AC16</x:f>
        <x:v>0</x:v>
      </x:c>
      <x:c r="AB35" s="1286" t="n">
        <x:f>Inputs!C107*AD16</x:f>
        <x:v>0</x:v>
      </x:c>
      <x:c r="AC35" s="1286" t="n">
        <x:f>Inputs!C107*AE16</x:f>
        <x:v>0</x:v>
      </x:c>
      <x:c r="AD35" s="1286" t="n">
        <x:f>Inputs!C107*AF16</x:f>
        <x:v>0</x:v>
      </x:c>
      <x:c r="AE35" s="1286" t="n">
        <x:f>Inputs!C107*AG16</x:f>
        <x:v>0</x:v>
      </x:c>
      <x:c r="AF35" s="1286" t="n">
        <x:f>Inputs!C107*AH16</x:f>
        <x:v>0</x:v>
      </x:c>
      <x:c r="AG35" s="1286" t="n">
        <x:f>Inputs!C107*AI16</x:f>
        <x:v>0</x:v>
      </x:c>
      <x:c r="AH35" s="1286" t="n">
        <x:f>Inputs!C107*AJ16</x:f>
        <x:v>0</x:v>
      </x:c>
      <x:c r="AI35" s="1286" t="n">
        <x:f>Inputs!C107*AK16</x:f>
        <x:v>0</x:v>
      </x:c>
      <x:c r="AJ35" s="1286" t="n">
        <x:f>Inputs!C107*AL16</x:f>
        <x:v>0</x:v>
      </x:c>
      <x:c r="AK35" s="1286" t="n">
        <x:f>Inputs!C107*AM16</x:f>
        <x:v>0</x:v>
      </x:c>
      <x:c r="AL35" s="1286" t="n">
        <x:f>0</x:f>
        <x:v>0</x:v>
      </x:c>
      <x:c r="AM35" s="1287" t="n">
        <x:f>0</x:f>
        <x:v>0</x:v>
      </x:c>
    </x:row>
    <x:row r="36">
      <x:c r="A36" s="147" t="str">
        <x:v>EPC progress cash</x:v>
      </x:c>
      <x:c r="B36" s="148" t="str">
        <x:v>ZAR'000</x:v>
      </x:c>
      <x:c r="C36" s="149" t="str">
        <x:v>Progress payment before COD</x:v>
      </x:c>
      <x:c r="D36" s="1285" t="n">
        <x:f>Inputs!C108*E16</x:f>
        <x:v>0</x:v>
      </x:c>
      <x:c r="E36" s="1286" t="n">
        <x:f>Inputs!C108*F16</x:f>
        <x:v>15542.651985244998</x:v>
      </x:c>
      <x:c r="F36" s="1286" t="n">
        <x:f>Inputs!C108*G16</x:f>
        <x:v>6661.136565194999</x:v>
      </x:c>
      <x:c r="G36" s="1286" t="n">
        <x:f>Inputs!C108*H16</x:f>
        <x:v>6661.136565194999</x:v>
      </x:c>
      <x:c r="H36" s="1286" t="n">
        <x:f>Inputs!C108*I16</x:f>
        <x:v>15542.651985244998</x:v>
      </x:c>
      <x:c r="I36" s="1286" t="n">
        <x:f>Inputs!C108*J16</x:f>
        <x:v>0</x:v>
      </x:c>
      <x:c r="J36" s="1286" t="n">
        <x:f>Inputs!C108*K16</x:f>
        <x:v>0</x:v>
      </x:c>
      <x:c r="K36" s="1286" t="n">
        <x:f>Inputs!C108*L16</x:f>
        <x:v>0</x:v>
      </x:c>
      <x:c r="L36" s="1286" t="n">
        <x:f>Inputs!C108*M16</x:f>
        <x:v>0</x:v>
      </x:c>
      <x:c r="M36" s="1286" t="n">
        <x:f>Inputs!C108*N16</x:f>
        <x:v>0</x:v>
      </x:c>
      <x:c r="N36" s="1286" t="n">
        <x:f>Inputs!C108*O16</x:f>
        <x:v>0</x:v>
      </x:c>
      <x:c r="O36" s="1286" t="n">
        <x:f>Inputs!C108*P16</x:f>
        <x:v>0</x:v>
      </x:c>
      <x:c r="P36" s="1286" t="n">
        <x:f>Inputs!C108*Q16</x:f>
        <x:v>0</x:v>
      </x:c>
      <x:c r="Q36" s="1286" t="n">
        <x:f>Inputs!C108*R16</x:f>
        <x:v>0</x:v>
      </x:c>
      <x:c r="R36" s="1286" t="n">
        <x:f>Inputs!C108*S16</x:f>
        <x:v>0</x:v>
      </x:c>
      <x:c r="S36" s="1286" t="n">
        <x:f>Inputs!C108*T16</x:f>
        <x:v>0</x:v>
      </x:c>
      <x:c r="T36" s="1286" t="n">
        <x:f>Inputs!C108*U16</x:f>
        <x:v>0</x:v>
      </x:c>
      <x:c r="U36" s="1286" t="n">
        <x:f>Inputs!C108*V16</x:f>
        <x:v>0</x:v>
      </x:c>
      <x:c r="V36" s="1286" t="n">
        <x:f>Inputs!C108*W16</x:f>
        <x:v>0</x:v>
      </x:c>
      <x:c r="W36" s="1286" t="n">
        <x:f>Inputs!C108*X16</x:f>
        <x:v>0</x:v>
      </x:c>
      <x:c r="X36" s="1286" t="n">
        <x:f>Inputs!C108*Y16</x:f>
        <x:v>0</x:v>
      </x:c>
      <x:c r="Y36" s="1286" t="n">
        <x:f>Inputs!C108*Z16</x:f>
        <x:v>0</x:v>
      </x:c>
      <x:c r="Z36" s="1286" t="n">
        <x:f>Inputs!C108*AA16</x:f>
        <x:v>0</x:v>
      </x:c>
      <x:c r="AA36" s="1286" t="n">
        <x:f>Inputs!C108*AB16</x:f>
        <x:v>0</x:v>
      </x:c>
      <x:c r="AB36" s="1286" t="n">
        <x:f>Inputs!C108*AC16</x:f>
        <x:v>0</x:v>
      </x:c>
      <x:c r="AC36" s="1286" t="n">
        <x:f>Inputs!C108*AD16</x:f>
        <x:v>0</x:v>
      </x:c>
      <x:c r="AD36" s="1286" t="n">
        <x:f>Inputs!C108*AE16</x:f>
        <x:v>0</x:v>
      </x:c>
      <x:c r="AE36" s="1286" t="n">
        <x:f>Inputs!C108*AF16</x:f>
        <x:v>0</x:v>
      </x:c>
      <x:c r="AF36" s="1286" t="n">
        <x:f>Inputs!C108*AG16</x:f>
        <x:v>0</x:v>
      </x:c>
      <x:c r="AG36" s="1286" t="n">
        <x:f>Inputs!C108*AH16</x:f>
        <x:v>0</x:v>
      </x:c>
      <x:c r="AH36" s="1286" t="n">
        <x:f>Inputs!C108*AI16</x:f>
        <x:v>0</x:v>
      </x:c>
      <x:c r="AI36" s="1286" t="n">
        <x:f>Inputs!C108*AJ16</x:f>
        <x:v>0</x:v>
      </x:c>
      <x:c r="AJ36" s="1286" t="n">
        <x:f>Inputs!C108*AK16</x:f>
        <x:v>0</x:v>
      </x:c>
      <x:c r="AK36" s="1286" t="n">
        <x:f>Inputs!C108*AL16</x:f>
        <x:v>0</x:v>
      </x:c>
      <x:c r="AL36" s="1286" t="n">
        <x:f>Inputs!C108*AM16</x:f>
        <x:v>0</x:v>
      </x:c>
      <x:c r="AM36" s="1287" t="n">
        <x:f>0</x:f>
        <x:v>0</x:v>
      </x:c>
    </x:row>
    <x:row r="37">
      <x:c r="A37" s="147" t="str">
        <x:v>EPC final cash</x:v>
      </x:c>
      <x:c r="B37" s="148" t="str">
        <x:v>ZAR'000</x:v>
      </x:c>
      <x:c r="C37" s="149" t="str">
        <x:v>Final paid in COD month</x:v>
      </x:c>
      <x:c r="D37" s="1285" t="n">
        <x:f>Inputs!C109*D16</x:f>
        <x:v>0</x:v>
      </x:c>
      <x:c r="E37" s="1286" t="n">
        <x:f>Inputs!C109*E16</x:f>
        <x:v>0</x:v>
      </x:c>
      <x:c r="F37" s="1286" t="n">
        <x:f>Inputs!C109*F16</x:f>
        <x:v>17763.03084028</x:v>
      </x:c>
      <x:c r="G37" s="1286" t="n">
        <x:f>Inputs!C109*G16</x:f>
        <x:v>7612.72750308</x:v>
      </x:c>
      <x:c r="H37" s="1286" t="n">
        <x:f>Inputs!C109*H16</x:f>
        <x:v>7612.72750308</x:v>
      </x:c>
      <x:c r="I37" s="1286" t="n">
        <x:f>Inputs!C109*I16</x:f>
        <x:v>17763.03084028</x:v>
      </x:c>
      <x:c r="J37" s="1286" t="n">
        <x:f>Inputs!C109*J16</x:f>
        <x:v>0</x:v>
      </x:c>
      <x:c r="K37" s="1286" t="n">
        <x:f>Inputs!C109*K16</x:f>
        <x:v>0</x:v>
      </x:c>
      <x:c r="L37" s="1286" t="n">
        <x:f>Inputs!C109*L16</x:f>
        <x:v>0</x:v>
      </x:c>
      <x:c r="M37" s="1286" t="n">
        <x:f>Inputs!C109*M16</x:f>
        <x:v>0</x:v>
      </x:c>
      <x:c r="N37" s="1286" t="n">
        <x:f>Inputs!C109*N16</x:f>
        <x:v>0</x:v>
      </x:c>
      <x:c r="O37" s="1286" t="n">
        <x:f>Inputs!C109*O16</x:f>
        <x:v>0</x:v>
      </x:c>
      <x:c r="P37" s="1286" t="n">
        <x:f>Inputs!C109*P16</x:f>
        <x:v>0</x:v>
      </x:c>
      <x:c r="Q37" s="1286" t="n">
        <x:f>Inputs!C109*Q16</x:f>
        <x:v>0</x:v>
      </x:c>
      <x:c r="R37" s="1286" t="n">
        <x:f>Inputs!C109*R16</x:f>
        <x:v>0</x:v>
      </x:c>
      <x:c r="S37" s="1286" t="n">
        <x:f>Inputs!C109*S16</x:f>
        <x:v>0</x:v>
      </x:c>
      <x:c r="T37" s="1286" t="n">
        <x:f>Inputs!C109*T16</x:f>
        <x:v>0</x:v>
      </x:c>
      <x:c r="U37" s="1286" t="n">
        <x:f>Inputs!C109*U16</x:f>
        <x:v>0</x:v>
      </x:c>
      <x:c r="V37" s="1286" t="n">
        <x:f>Inputs!C109*V16</x:f>
        <x:v>0</x:v>
      </x:c>
      <x:c r="W37" s="1286" t="n">
        <x:f>Inputs!C109*W16</x:f>
        <x:v>0</x:v>
      </x:c>
      <x:c r="X37" s="1286" t="n">
        <x:f>Inputs!C109*X16</x:f>
        <x:v>0</x:v>
      </x:c>
      <x:c r="Y37" s="1286" t="n">
        <x:f>Inputs!C109*Y16</x:f>
        <x:v>0</x:v>
      </x:c>
      <x:c r="Z37" s="1286" t="n">
        <x:f>Inputs!C109*Z16</x:f>
        <x:v>0</x:v>
      </x:c>
      <x:c r="AA37" s="1286" t="n">
        <x:f>Inputs!C109*AA16</x:f>
        <x:v>0</x:v>
      </x:c>
      <x:c r="AB37" s="1286" t="n">
        <x:f>Inputs!C109*AB16</x:f>
        <x:v>0</x:v>
      </x:c>
      <x:c r="AC37" s="1286" t="n">
        <x:f>Inputs!C109*AC16</x:f>
        <x:v>0</x:v>
      </x:c>
      <x:c r="AD37" s="1286" t="n">
        <x:f>Inputs!C109*AD16</x:f>
        <x:v>0</x:v>
      </x:c>
      <x:c r="AE37" s="1286" t="n">
        <x:f>Inputs!C109*AE16</x:f>
        <x:v>0</x:v>
      </x:c>
      <x:c r="AF37" s="1286" t="n">
        <x:f>Inputs!C109*AF16</x:f>
        <x:v>0</x:v>
      </x:c>
      <x:c r="AG37" s="1286" t="n">
        <x:f>Inputs!C109*AG16</x:f>
        <x:v>0</x:v>
      </x:c>
      <x:c r="AH37" s="1286" t="n">
        <x:f>Inputs!C109*AH16</x:f>
        <x:v>0</x:v>
      </x:c>
      <x:c r="AI37" s="1286" t="n">
        <x:f>Inputs!C109*AI16</x:f>
        <x:v>0</x:v>
      </x:c>
      <x:c r="AJ37" s="1286" t="n">
        <x:f>Inputs!C109*AJ16</x:f>
        <x:v>0</x:v>
      </x:c>
      <x:c r="AK37" s="1286" t="n">
        <x:f>Inputs!C109*AK16</x:f>
        <x:v>0</x:v>
      </x:c>
      <x:c r="AL37" s="1286" t="n">
        <x:f>Inputs!C109*AL16</x:f>
        <x:v>0</x:v>
      </x:c>
      <x:c r="AM37" s="1287" t="n">
        <x:f>Inputs!C109*AM16</x:f>
        <x:v>0</x:v>
      </x:c>
    </x:row>
    <x:row r="38">
      <x:c r="A38" s="243" t="str">
        <x:v>EPC commissioning cash</x:v>
      </x:c>
      <x:c r="B38" s="244" t="str">
        <x:v>ZAR'000</x:v>
      </x:c>
      <x:c r="C38" s="245" t="str">
        <x:v>Paid one month after COD</x:v>
      </x:c>
      <x:c r="D38" s="1297" t="n">
        <x:f>0</x:f>
        <x:v>0</x:v>
      </x:c>
      <x:c r="E38" s="1298" t="n">
        <x:f>Inputs!C110*D16</x:f>
        <x:v>0</x:v>
      </x:c>
      <x:c r="F38" s="1298" t="n">
        <x:f>Inputs!C110*E16</x:f>
        <x:v>0</x:v>
      </x:c>
      <x:c r="G38" s="1298" t="n">
        <x:f>Inputs!C110*F16</x:f>
        <x:v>4440.75771007</x:v>
      </x:c>
      <x:c r="H38" s="1298" t="n">
        <x:f>Inputs!C110*G16</x:f>
        <x:v>1903.18187577</x:v>
      </x:c>
      <x:c r="I38" s="1298" t="n">
        <x:f>Inputs!C110*H16</x:f>
        <x:v>1903.18187577</x:v>
      </x:c>
      <x:c r="J38" s="1298" t="n">
        <x:f>Inputs!C110*I16</x:f>
        <x:v>4440.75771007</x:v>
      </x:c>
      <x:c r="K38" s="1298" t="n">
        <x:f>Inputs!C110*J16</x:f>
        <x:v>0</x:v>
      </x:c>
      <x:c r="L38" s="1298" t="n">
        <x:f>Inputs!C110*K16</x:f>
        <x:v>0</x:v>
      </x:c>
      <x:c r="M38" s="1298" t="n">
        <x:f>Inputs!C110*L16</x:f>
        <x:v>0</x:v>
      </x:c>
      <x:c r="N38" s="1298" t="n">
        <x:f>Inputs!C110*M16</x:f>
        <x:v>0</x:v>
      </x:c>
      <x:c r="O38" s="1298" t="n">
        <x:f>Inputs!C110*N16</x:f>
        <x:v>0</x:v>
      </x:c>
      <x:c r="P38" s="1298" t="n">
        <x:f>Inputs!C110*O16</x:f>
        <x:v>0</x:v>
      </x:c>
      <x:c r="Q38" s="1298" t="n">
        <x:f>Inputs!C110*P16</x:f>
        <x:v>0</x:v>
      </x:c>
      <x:c r="R38" s="1298" t="n">
        <x:f>Inputs!C110*Q16</x:f>
        <x:v>0</x:v>
      </x:c>
      <x:c r="S38" s="1298" t="n">
        <x:f>Inputs!C110*R16</x:f>
        <x:v>0</x:v>
      </x:c>
      <x:c r="T38" s="1298" t="n">
        <x:f>Inputs!C110*S16</x:f>
        <x:v>0</x:v>
      </x:c>
      <x:c r="U38" s="1298" t="n">
        <x:f>Inputs!C110*T16</x:f>
        <x:v>0</x:v>
      </x:c>
      <x:c r="V38" s="1298" t="n">
        <x:f>Inputs!C110*U16</x:f>
        <x:v>0</x:v>
      </x:c>
      <x:c r="W38" s="1298" t="n">
        <x:f>Inputs!C110*V16</x:f>
        <x:v>0</x:v>
      </x:c>
      <x:c r="X38" s="1298" t="n">
        <x:f>Inputs!C110*W16</x:f>
        <x:v>0</x:v>
      </x:c>
      <x:c r="Y38" s="1298" t="n">
        <x:f>Inputs!C110*X16</x:f>
        <x:v>0</x:v>
      </x:c>
      <x:c r="Z38" s="1298" t="n">
        <x:f>Inputs!C110*Y16</x:f>
        <x:v>0</x:v>
      </x:c>
      <x:c r="AA38" s="1298" t="n">
        <x:f>Inputs!C110*Z16</x:f>
        <x:v>0</x:v>
      </x:c>
      <x:c r="AB38" s="1298" t="n">
        <x:f>Inputs!C110*AA16</x:f>
        <x:v>0</x:v>
      </x:c>
      <x:c r="AC38" s="1298" t="n">
        <x:f>Inputs!C110*AB16</x:f>
        <x:v>0</x:v>
      </x:c>
      <x:c r="AD38" s="1298" t="n">
        <x:f>Inputs!C110*AC16</x:f>
        <x:v>0</x:v>
      </x:c>
      <x:c r="AE38" s="1298" t="n">
        <x:f>Inputs!C110*AD16</x:f>
        <x:v>0</x:v>
      </x:c>
      <x:c r="AF38" s="1298" t="n">
        <x:f>Inputs!C110*AE16</x:f>
        <x:v>0</x:v>
      </x:c>
      <x:c r="AG38" s="1298" t="n">
        <x:f>Inputs!C110*AF16</x:f>
        <x:v>0</x:v>
      </x:c>
      <x:c r="AH38" s="1298" t="n">
        <x:f>Inputs!C110*AG16</x:f>
        <x:v>0</x:v>
      </x:c>
      <x:c r="AI38" s="1298" t="n">
        <x:f>Inputs!C110*AH16</x:f>
        <x:v>0</x:v>
      </x:c>
      <x:c r="AJ38" s="1298" t="n">
        <x:f>Inputs!C110*AI16</x:f>
        <x:v>0</x:v>
      </x:c>
      <x:c r="AK38" s="1298" t="n">
        <x:f>Inputs!C110*AJ16</x:f>
        <x:v>0</x:v>
      </x:c>
      <x:c r="AL38" s="1298" t="n">
        <x:f>Inputs!C110*AK16</x:f>
        <x:v>0</x:v>
      </x:c>
      <x:c r="AM38" s="1299" t="n">
        <x:f>Inputs!C110*AL16</x:f>
        <x:v>0</x:v>
      </x:c>
    </x:row>
    <x:row r="39">
      <x:c r="A39" s="147" t="str">
        <x:v>Solar deposit cash</x:v>
      </x:c>
      <x:c r="B39" s="148" t="str">
        <x:v>ZAR'000</x:v>
      </x:c>
      <x:c r="C39" s="149" t="str">
        <x:v>Simplified staged solar payment</x:v>
      </x:c>
      <x:c r="D39" s="1285" t="n">
        <x:f>0.2*F17</x:f>
        <x:v>0</x:v>
      </x:c>
      <x:c r="E39" s="1286" t="n">
        <x:f>0.2*G17</x:f>
        <x:v>0</x:v>
      </x:c>
      <x:c r="F39" s="1286" t="n">
        <x:f>0.2*H17</x:f>
        <x:v>14000</x:v>
      </x:c>
      <x:c r="G39" s="1286" t="n">
        <x:f>0.2*I17</x:f>
        <x:v>0</x:v>
      </x:c>
      <x:c r="H39" s="1286" t="n">
        <x:f>0.2*J17</x:f>
        <x:v>0</x:v>
      </x:c>
      <x:c r="I39" s="1286" t="n">
        <x:f>0.2*K17</x:f>
        <x:v>0</x:v>
      </x:c>
      <x:c r="J39" s="1286" t="n">
        <x:f>0.2*L17</x:f>
        <x:v>0</x:v>
      </x:c>
      <x:c r="K39" s="1286" t="n">
        <x:f>0.2*M17</x:f>
        <x:v>0</x:v>
      </x:c>
      <x:c r="L39" s="1286" t="n">
        <x:f>0.2*N17</x:f>
        <x:v>0</x:v>
      </x:c>
      <x:c r="M39" s="1286" t="n">
        <x:f>0.2*O17</x:f>
        <x:v>0</x:v>
      </x:c>
      <x:c r="N39" s="1286" t="n">
        <x:f>0.2*P17</x:f>
        <x:v>0</x:v>
      </x:c>
      <x:c r="O39" s="1286" t="n">
        <x:f>0.2*Q17</x:f>
        <x:v>0</x:v>
      </x:c>
      <x:c r="P39" s="1286" t="n">
        <x:f>0.2*R17</x:f>
        <x:v>0</x:v>
      </x:c>
      <x:c r="Q39" s="1286" t="n">
        <x:f>0.2*S17</x:f>
        <x:v>0</x:v>
      </x:c>
      <x:c r="R39" s="1286" t="n">
        <x:f>0.2*T17</x:f>
        <x:v>0</x:v>
      </x:c>
      <x:c r="S39" s="1286" t="n">
        <x:f>0.2*U17</x:f>
        <x:v>0</x:v>
      </x:c>
      <x:c r="T39" s="1286" t="n">
        <x:f>0.2*V17</x:f>
        <x:v>0</x:v>
      </x:c>
      <x:c r="U39" s="1286" t="n">
        <x:f>0.2*W17</x:f>
        <x:v>0</x:v>
      </x:c>
      <x:c r="V39" s="1286" t="n">
        <x:f>0.2*X17</x:f>
        <x:v>0</x:v>
      </x:c>
      <x:c r="W39" s="1286" t="n">
        <x:f>0.2*Y17</x:f>
        <x:v>0</x:v>
      </x:c>
      <x:c r="X39" s="1286" t="n">
        <x:f>0.2*Z17</x:f>
        <x:v>0</x:v>
      </x:c>
      <x:c r="Y39" s="1286" t="n">
        <x:f>0.2*AA17</x:f>
        <x:v>0</x:v>
      </x:c>
      <x:c r="Z39" s="1286" t="n">
        <x:f>0.2*AB17</x:f>
        <x:v>0</x:v>
      </x:c>
      <x:c r="AA39" s="1286" t="n">
        <x:f>0.2*AC17</x:f>
        <x:v>0</x:v>
      </x:c>
      <x:c r="AB39" s="1286" t="n">
        <x:f>0.2*AD17</x:f>
        <x:v>0</x:v>
      </x:c>
      <x:c r="AC39" s="1286" t="n">
        <x:f>0.2*AE17</x:f>
        <x:v>0</x:v>
      </x:c>
      <x:c r="AD39" s="1286" t="n">
        <x:f>0.2*AF17</x:f>
        <x:v>0</x:v>
      </x:c>
      <x:c r="AE39" s="1286" t="n">
        <x:f>0.2*AG17</x:f>
        <x:v>0</x:v>
      </x:c>
      <x:c r="AF39" s="1286" t="n">
        <x:f>0.2*AH17</x:f>
        <x:v>0</x:v>
      </x:c>
      <x:c r="AG39" s="1286" t="n">
        <x:f>0.2*AI17</x:f>
        <x:v>0</x:v>
      </x:c>
      <x:c r="AH39" s="1286" t="n">
        <x:f>0.2*AJ17</x:f>
        <x:v>0</x:v>
      </x:c>
      <x:c r="AI39" s="1286" t="n">
        <x:f>0.2*AK17</x:f>
        <x:v>0</x:v>
      </x:c>
      <x:c r="AJ39" s="1286" t="n">
        <x:f>0.2*AL17</x:f>
        <x:v>0</x:v>
      </x:c>
      <x:c r="AK39" s="1286" t="n">
        <x:f>0.2*AM17</x:f>
        <x:v>0</x:v>
      </x:c>
      <x:c r="AL39" s="1286" t="n">
        <x:f>0</x:f>
        <x:v>0</x:v>
      </x:c>
      <x:c r="AM39" s="1287" t="n">
        <x:f>0</x:f>
        <x:v>0</x:v>
      </x:c>
    </x:row>
    <x:row r="40">
      <x:c r="A40" s="147" t="str">
        <x:v>Solar progress cash</x:v>
      </x:c>
      <x:c r="B40" s="148" t="str">
        <x:v>ZAR'000</x:v>
      </x:c>
      <x:c r="C40" s="149" t="str">
        <x:v>Simplified staged solar payment</x:v>
      </x:c>
      <x:c r="D40" s="1285" t="n">
        <x:f>0.3*E17</x:f>
        <x:v>0</x:v>
      </x:c>
      <x:c r="E40" s="1286" t="n">
        <x:f>0.3*F17</x:f>
        <x:v>0</x:v>
      </x:c>
      <x:c r="F40" s="1286" t="n">
        <x:f>0.3*G17</x:f>
        <x:v>0</x:v>
      </x:c>
      <x:c r="G40" s="1286" t="n">
        <x:f>0.3*H17</x:f>
        <x:v>21000</x:v>
      </x:c>
      <x:c r="H40" s="1286" t="n">
        <x:f>0.3*I17</x:f>
        <x:v>0</x:v>
      </x:c>
      <x:c r="I40" s="1286" t="n">
        <x:f>0.3*J17</x:f>
        <x:v>0</x:v>
      </x:c>
      <x:c r="J40" s="1286" t="n">
        <x:f>0.3*K17</x:f>
        <x:v>0</x:v>
      </x:c>
      <x:c r="K40" s="1286" t="n">
        <x:f>0.3*L17</x:f>
        <x:v>0</x:v>
      </x:c>
      <x:c r="L40" s="1286" t="n">
        <x:f>0.3*M17</x:f>
        <x:v>0</x:v>
      </x:c>
      <x:c r="M40" s="1286" t="n">
        <x:f>0.3*N17</x:f>
        <x:v>0</x:v>
      </x:c>
      <x:c r="N40" s="1286" t="n">
        <x:f>0.3*O17</x:f>
        <x:v>0</x:v>
      </x:c>
      <x:c r="O40" s="1286" t="n">
        <x:f>0.3*P17</x:f>
        <x:v>0</x:v>
      </x:c>
      <x:c r="P40" s="1286" t="n">
        <x:f>0.3*Q17</x:f>
        <x:v>0</x:v>
      </x:c>
      <x:c r="Q40" s="1286" t="n">
        <x:f>0.3*R17</x:f>
        <x:v>0</x:v>
      </x:c>
      <x:c r="R40" s="1286" t="n">
        <x:f>0.3*S17</x:f>
        <x:v>0</x:v>
      </x:c>
      <x:c r="S40" s="1286" t="n">
        <x:f>0.3*T17</x:f>
        <x:v>0</x:v>
      </x:c>
      <x:c r="T40" s="1286" t="n">
        <x:f>0.3*U17</x:f>
        <x:v>0</x:v>
      </x:c>
      <x:c r="U40" s="1286" t="n">
        <x:f>0.3*V17</x:f>
        <x:v>0</x:v>
      </x:c>
      <x:c r="V40" s="1286" t="n">
        <x:f>0.3*W17</x:f>
        <x:v>0</x:v>
      </x:c>
      <x:c r="W40" s="1286" t="n">
        <x:f>0.3*X17</x:f>
        <x:v>0</x:v>
      </x:c>
      <x:c r="X40" s="1286" t="n">
        <x:f>0.3*Y17</x:f>
        <x:v>0</x:v>
      </x:c>
      <x:c r="Y40" s="1286" t="n">
        <x:f>0.3*Z17</x:f>
        <x:v>0</x:v>
      </x:c>
      <x:c r="Z40" s="1286" t="n">
        <x:f>0.3*AA17</x:f>
        <x:v>0</x:v>
      </x:c>
      <x:c r="AA40" s="1286" t="n">
        <x:f>0.3*AB17</x:f>
        <x:v>0</x:v>
      </x:c>
      <x:c r="AB40" s="1286" t="n">
        <x:f>0.3*AC17</x:f>
        <x:v>0</x:v>
      </x:c>
      <x:c r="AC40" s="1286" t="n">
        <x:f>0.3*AD17</x:f>
        <x:v>0</x:v>
      </x:c>
      <x:c r="AD40" s="1286" t="n">
        <x:f>0.3*AE17</x:f>
        <x:v>0</x:v>
      </x:c>
      <x:c r="AE40" s="1286" t="n">
        <x:f>0.3*AF17</x:f>
        <x:v>0</x:v>
      </x:c>
      <x:c r="AF40" s="1286" t="n">
        <x:f>0.3*AG17</x:f>
        <x:v>0</x:v>
      </x:c>
      <x:c r="AG40" s="1286" t="n">
        <x:f>0.3*AH17</x:f>
        <x:v>0</x:v>
      </x:c>
      <x:c r="AH40" s="1286" t="n">
        <x:f>0.3*AI17</x:f>
        <x:v>0</x:v>
      </x:c>
      <x:c r="AI40" s="1286" t="n">
        <x:f>0.3*AJ17</x:f>
        <x:v>0</x:v>
      </x:c>
      <x:c r="AJ40" s="1286" t="n">
        <x:f>0.3*AK17</x:f>
        <x:v>0</x:v>
      </x:c>
      <x:c r="AK40" s="1286" t="n">
        <x:f>0.3*AL17</x:f>
        <x:v>0</x:v>
      </x:c>
      <x:c r="AL40" s="1286" t="n">
        <x:f>0.3*AM17</x:f>
        <x:v>0</x:v>
      </x:c>
      <x:c r="AM40" s="1287" t="n">
        <x:f>0</x:f>
        <x:v>0</x:v>
      </x:c>
    </x:row>
    <x:row r="41">
      <x:c r="A41" s="243" t="str">
        <x:v>Solar final cash</x:v>
      </x:c>
      <x:c r="B41" s="244" t="str">
        <x:v>ZAR'000</x:v>
      </x:c>
      <x:c r="C41" s="245" t="str">
        <x:v>Simplified staged solar payment</x:v>
      </x:c>
      <x:c r="D41" s="1297" t="n">
        <x:f>0.5*D17</x:f>
        <x:v>0</x:v>
      </x:c>
      <x:c r="E41" s="1298" t="n">
        <x:f>0.5*E17</x:f>
        <x:v>0</x:v>
      </x:c>
      <x:c r="F41" s="1298" t="n">
        <x:f>0.5*F17</x:f>
        <x:v>0</x:v>
      </x:c>
      <x:c r="G41" s="1298" t="n">
        <x:f>0.5*G17</x:f>
        <x:v>0</x:v>
      </x:c>
      <x:c r="H41" s="1298" t="n">
        <x:f>0.5*H17</x:f>
        <x:v>35000</x:v>
      </x:c>
      <x:c r="I41" s="1298" t="n">
        <x:f>0.5*I17</x:f>
        <x:v>0</x:v>
      </x:c>
      <x:c r="J41" s="1298" t="n">
        <x:f>0.5*J17</x:f>
        <x:v>0</x:v>
      </x:c>
      <x:c r="K41" s="1298" t="n">
        <x:f>0.5*K17</x:f>
        <x:v>0</x:v>
      </x:c>
      <x:c r="L41" s="1298" t="n">
        <x:f>0.5*L17</x:f>
        <x:v>0</x:v>
      </x:c>
      <x:c r="M41" s="1298" t="n">
        <x:f>0.5*M17</x:f>
        <x:v>0</x:v>
      </x:c>
      <x:c r="N41" s="1298" t="n">
        <x:f>0.5*N17</x:f>
        <x:v>0</x:v>
      </x:c>
      <x:c r="O41" s="1298" t="n">
        <x:f>0.5*O17</x:f>
        <x:v>0</x:v>
      </x:c>
      <x:c r="P41" s="1298" t="n">
        <x:f>0.5*P17</x:f>
        <x:v>0</x:v>
      </x:c>
      <x:c r="Q41" s="1298" t="n">
        <x:f>0.5*Q17</x:f>
        <x:v>0</x:v>
      </x:c>
      <x:c r="R41" s="1298" t="n">
        <x:f>0.5*R17</x:f>
        <x:v>0</x:v>
      </x:c>
      <x:c r="S41" s="1298" t="n">
        <x:f>0.5*S17</x:f>
        <x:v>0</x:v>
      </x:c>
      <x:c r="T41" s="1298" t="n">
        <x:f>0.5*T17</x:f>
        <x:v>0</x:v>
      </x:c>
      <x:c r="U41" s="1298" t="n">
        <x:f>0.5*U17</x:f>
        <x:v>0</x:v>
      </x:c>
      <x:c r="V41" s="1298" t="n">
        <x:f>0.5*V17</x:f>
        <x:v>0</x:v>
      </x:c>
      <x:c r="W41" s="1298" t="n">
        <x:f>0.5*W17</x:f>
        <x:v>0</x:v>
      </x:c>
      <x:c r="X41" s="1298" t="n">
        <x:f>0.5*X17</x:f>
        <x:v>0</x:v>
      </x:c>
      <x:c r="Y41" s="1298" t="n">
        <x:f>0.5*Y17</x:f>
        <x:v>0</x:v>
      </x:c>
      <x:c r="Z41" s="1298" t="n">
        <x:f>0.5*Z17</x:f>
        <x:v>0</x:v>
      </x:c>
      <x:c r="AA41" s="1298" t="n">
        <x:f>0.5*AA17</x:f>
        <x:v>0</x:v>
      </x:c>
      <x:c r="AB41" s="1298" t="n">
        <x:f>0.5*AB17</x:f>
        <x:v>0</x:v>
      </x:c>
      <x:c r="AC41" s="1298" t="n">
        <x:f>0.5*AC17</x:f>
        <x:v>0</x:v>
      </x:c>
      <x:c r="AD41" s="1298" t="n">
        <x:f>0.5*AD17</x:f>
        <x:v>0</x:v>
      </x:c>
      <x:c r="AE41" s="1298" t="n">
        <x:f>0.5*AE17</x:f>
        <x:v>0</x:v>
      </x:c>
      <x:c r="AF41" s="1298" t="n">
        <x:f>0.5*AF17</x:f>
        <x:v>0</x:v>
      </x:c>
      <x:c r="AG41" s="1298" t="n">
        <x:f>0.5*AG17</x:f>
        <x:v>0</x:v>
      </x:c>
      <x:c r="AH41" s="1298" t="n">
        <x:f>0.5*AH17</x:f>
        <x:v>0</x:v>
      </x:c>
      <x:c r="AI41" s="1298" t="n">
        <x:f>0.5*AI17</x:f>
        <x:v>0</x:v>
      </x:c>
      <x:c r="AJ41" s="1298" t="n">
        <x:f>0.5*AJ17</x:f>
        <x:v>0</x:v>
      </x:c>
      <x:c r="AK41" s="1298" t="n">
        <x:f>0.5*AK17</x:f>
        <x:v>0</x:v>
      </x:c>
      <x:c r="AL41" s="1298" t="n">
        <x:f>0.5*AL17</x:f>
        <x:v>0</x:v>
      </x:c>
      <x:c r="AM41" s="1299" t="n">
        <x:f>0.5*AM17</x:f>
        <x:v>0</x:v>
      </x:c>
    </x:row>
    <x:row r="42">
      <x:c r="A42" s="243" t="str">
        <x:v>Initial spare parts cash</x:v>
      </x:c>
      <x:c r="B42" s="244" t="str">
        <x:v>ZAR'000</x:v>
      </x:c>
      <x:c r="C42" s="245" t="str">
        <x:v>Paid in COD month</x:v>
      </x:c>
      <x:c r="D42" s="1297" t="n">
        <x:f>D18</x:f>
        <x:v>0</x:v>
      </x:c>
      <x:c r="E42" s="1298" t="n">
        <x:f>E18</x:f>
        <x:v>0</x:v>
      </x:c>
      <x:c r="F42" s="1298" t="n">
        <x:f>F18</x:f>
        <x:v>1448.74</x:v>
      </x:c>
      <x:c r="G42" s="1298" t="n">
        <x:f>G18</x:f>
        <x:v>1329.74</x:v>
      </x:c>
      <x:c r="H42" s="1298" t="n">
        <x:f>H18</x:f>
        <x:v>1329.74</x:v>
      </x:c>
      <x:c r="I42" s="1298" t="n">
        <x:f>I18</x:f>
        <x:v>1448.74</x:v>
      </x:c>
      <x:c r="J42" s="1298" t="n">
        <x:f>J18</x:f>
        <x:v>0</x:v>
      </x:c>
      <x:c r="K42" s="1298" t="n">
        <x:f>K18</x:f>
        <x:v>0</x:v>
      </x:c>
      <x:c r="L42" s="1298" t="n">
        <x:f>L18</x:f>
        <x:v>0</x:v>
      </x:c>
      <x:c r="M42" s="1298" t="n">
        <x:f>M18</x:f>
        <x:v>0</x:v>
      </x:c>
      <x:c r="N42" s="1298" t="n">
        <x:f>N18</x:f>
        <x:v>0</x:v>
      </x:c>
      <x:c r="O42" s="1298" t="n">
        <x:f>O18</x:f>
        <x:v>0</x:v>
      </x:c>
      <x:c r="P42" s="1298" t="n">
        <x:f>P18</x:f>
        <x:v>0</x:v>
      </x:c>
      <x:c r="Q42" s="1298" t="n">
        <x:f>Q18</x:f>
        <x:v>0</x:v>
      </x:c>
      <x:c r="R42" s="1298" t="n">
        <x:f>R18</x:f>
        <x:v>0</x:v>
      </x:c>
      <x:c r="S42" s="1298" t="n">
        <x:f>S18</x:f>
        <x:v>0</x:v>
      </x:c>
      <x:c r="T42" s="1298" t="n">
        <x:f>T18</x:f>
        <x:v>0</x:v>
      </x:c>
      <x:c r="U42" s="1298" t="n">
        <x:f>U18</x:f>
        <x:v>0</x:v>
      </x:c>
      <x:c r="V42" s="1298" t="n">
        <x:f>V18</x:f>
        <x:v>0</x:v>
      </x:c>
      <x:c r="W42" s="1298" t="n">
        <x:f>W18</x:f>
        <x:v>0</x:v>
      </x:c>
      <x:c r="X42" s="1298" t="n">
        <x:f>X18</x:f>
        <x:v>0</x:v>
      </x:c>
      <x:c r="Y42" s="1298" t="n">
        <x:f>Y18</x:f>
        <x:v>0</x:v>
      </x:c>
      <x:c r="Z42" s="1298" t="n">
        <x:f>Z18</x:f>
        <x:v>0</x:v>
      </x:c>
      <x:c r="AA42" s="1298" t="n">
        <x:f>AA18</x:f>
        <x:v>0</x:v>
      </x:c>
      <x:c r="AB42" s="1298" t="n">
        <x:f>AB18</x:f>
        <x:v>0</x:v>
      </x:c>
      <x:c r="AC42" s="1298" t="n">
        <x:f>AC18</x:f>
        <x:v>0</x:v>
      </x:c>
      <x:c r="AD42" s="1298" t="n">
        <x:f>AD18</x:f>
        <x:v>0</x:v>
      </x:c>
      <x:c r="AE42" s="1298" t="n">
        <x:f>AE18</x:f>
        <x:v>0</x:v>
      </x:c>
      <x:c r="AF42" s="1298" t="n">
        <x:f>AF18</x:f>
        <x:v>0</x:v>
      </x:c>
      <x:c r="AG42" s="1298" t="n">
        <x:f>AG18</x:f>
        <x:v>0</x:v>
      </x:c>
      <x:c r="AH42" s="1298" t="n">
        <x:f>AH18</x:f>
        <x:v>0</x:v>
      </x:c>
      <x:c r="AI42" s="1298" t="n">
        <x:f>AI18</x:f>
        <x:v>0</x:v>
      </x:c>
      <x:c r="AJ42" s="1298" t="n">
        <x:f>AJ18</x:f>
        <x:v>0</x:v>
      </x:c>
      <x:c r="AK42" s="1298" t="n">
        <x:f>AK18</x:f>
        <x:v>0</x:v>
      </x:c>
      <x:c r="AL42" s="1298" t="n">
        <x:f>AL18</x:f>
        <x:v>0</x:v>
      </x:c>
      <x:c r="AM42" s="1299" t="n">
        <x:f>AM18</x:f>
        <x:v>0</x:v>
      </x:c>
    </x:row>
    <x:row r="43">
      <x:c r="A43" s="147" t="str">
        <x:v>Tools / equipment initial cash</x:v>
      </x:c>
      <x:c r="B43" s="148" t="str">
        <x:v>ZAR'000</x:v>
      </x:c>
      <x:c r="C43" s="149" t="str">
        <x:v>Paid on site start</x:v>
      </x:c>
      <x:c r="D43" s="1285" t="n">
        <x:f>D19</x:f>
        <x:v>0</x:v>
      </x:c>
      <x:c r="E43" s="1286" t="n">
        <x:f>E19</x:f>
        <x:v>0</x:v>
      </x:c>
      <x:c r="F43" s="1286" t="n">
        <x:f>F19</x:f>
        <x:v>750</x:v>
      </x:c>
      <x:c r="G43" s="1286" t="n">
        <x:f>G19</x:f>
        <x:v>0</x:v>
      </x:c>
      <x:c r="H43" s="1286" t="n">
        <x:f>H19</x:f>
        <x:v>0</x:v>
      </x:c>
      <x:c r="I43" s="1286" t="n">
        <x:f>I19</x:f>
        <x:v>750</x:v>
      </x:c>
      <x:c r="J43" s="1286" t="n">
        <x:f>J19</x:f>
        <x:v>0</x:v>
      </x:c>
      <x:c r="K43" s="1286" t="n">
        <x:f>K19</x:f>
        <x:v>0</x:v>
      </x:c>
      <x:c r="L43" s="1286" t="n">
        <x:f>L19</x:f>
        <x:v>0</x:v>
      </x:c>
      <x:c r="M43" s="1286" t="n">
        <x:f>M19</x:f>
        <x:v>0</x:v>
      </x:c>
      <x:c r="N43" s="1286" t="n">
        <x:f>N19</x:f>
        <x:v>0</x:v>
      </x:c>
      <x:c r="O43" s="1286" t="n">
        <x:f>O19</x:f>
        <x:v>0</x:v>
      </x:c>
      <x:c r="P43" s="1286" t="n">
        <x:f>P19</x:f>
        <x:v>0</x:v>
      </x:c>
      <x:c r="Q43" s="1286" t="n">
        <x:f>Q19</x:f>
        <x:v>0</x:v>
      </x:c>
      <x:c r="R43" s="1286" t="n">
        <x:f>R19</x:f>
        <x:v>0</x:v>
      </x:c>
      <x:c r="S43" s="1286" t="n">
        <x:f>S19</x:f>
        <x:v>0</x:v>
      </x:c>
      <x:c r="T43" s="1286" t="n">
        <x:f>T19</x:f>
        <x:v>0</x:v>
      </x:c>
      <x:c r="U43" s="1286" t="n">
        <x:f>U19</x:f>
        <x:v>0</x:v>
      </x:c>
      <x:c r="V43" s="1286" t="n">
        <x:f>V19</x:f>
        <x:v>0</x:v>
      </x:c>
      <x:c r="W43" s="1286" t="n">
        <x:f>W19</x:f>
        <x:v>0</x:v>
      </x:c>
      <x:c r="X43" s="1286" t="n">
        <x:f>X19</x:f>
        <x:v>0</x:v>
      </x:c>
      <x:c r="Y43" s="1286" t="n">
        <x:f>Y19</x:f>
        <x:v>0</x:v>
      </x:c>
      <x:c r="Z43" s="1286" t="n">
        <x:f>Z19</x:f>
        <x:v>0</x:v>
      </x:c>
      <x:c r="AA43" s="1286" t="n">
        <x:f>AA19</x:f>
        <x:v>0</x:v>
      </x:c>
      <x:c r="AB43" s="1286" t="n">
        <x:f>AB19</x:f>
        <x:v>0</x:v>
      </x:c>
      <x:c r="AC43" s="1286" t="n">
        <x:f>AC19</x:f>
        <x:v>0</x:v>
      </x:c>
      <x:c r="AD43" s="1286" t="n">
        <x:f>AD19</x:f>
        <x:v>0</x:v>
      </x:c>
      <x:c r="AE43" s="1286" t="n">
        <x:f>AE19</x:f>
        <x:v>0</x:v>
      </x:c>
      <x:c r="AF43" s="1286" t="n">
        <x:f>AF19</x:f>
        <x:v>0</x:v>
      </x:c>
      <x:c r="AG43" s="1286" t="n">
        <x:f>AG19</x:f>
        <x:v>0</x:v>
      </x:c>
      <x:c r="AH43" s="1286" t="n">
        <x:f>AH19</x:f>
        <x:v>0</x:v>
      </x:c>
      <x:c r="AI43" s="1286" t="n">
        <x:f>AI19</x:f>
        <x:v>0</x:v>
      </x:c>
      <x:c r="AJ43" s="1286" t="n">
        <x:f>AJ19</x:f>
        <x:v>0</x:v>
      </x:c>
      <x:c r="AK43" s="1286" t="n">
        <x:f>AK19</x:f>
        <x:v>0</x:v>
      </x:c>
      <x:c r="AL43" s="1286" t="n">
        <x:f>AL19</x:f>
        <x:v>0</x:v>
      </x:c>
      <x:c r="AM43" s="1287" t="n">
        <x:f>AM19</x:f>
        <x:v>0</x:v>
      </x:c>
    </x:row>
    <x:row r="44">
      <x:c r="A44" s="147" t="str">
        <x:v>Staff hardware cash</x:v>
      </x:c>
      <x:c r="B44" s="148" t="str">
        <x:v>ZAR'000</x:v>
      </x:c>
      <x:c r="C44" s="149" t="str">
        <x:v>Paid on onboarding</x:v>
      </x:c>
      <x:c r="D44" s="1285" t="n">
        <x:f>D20</x:f>
        <x:v>0</x:v>
      </x:c>
      <x:c r="E44" s="1286" t="n">
        <x:f>E20</x:f>
        <x:v>0</x:v>
      </x:c>
      <x:c r="F44" s="1286" t="n">
        <x:f>F20</x:f>
        <x:v>145.25</x:v>
      </x:c>
      <x:c r="G44" s="1286" t="n">
        <x:f>G20</x:f>
        <x:v>75.25</x:v>
      </x:c>
      <x:c r="H44" s="1286" t="n">
        <x:f>H20</x:f>
        <x:v>75.25</x:v>
      </x:c>
      <x:c r="I44" s="1286" t="n">
        <x:f>I20</x:f>
        <x:v>145.25</x:v>
      </x:c>
      <x:c r="J44" s="1286" t="n">
        <x:f>J20</x:f>
        <x:v>0</x:v>
      </x:c>
      <x:c r="K44" s="1286" t="n">
        <x:f>K20</x:f>
        <x:v>0</x:v>
      </x:c>
      <x:c r="L44" s="1286" t="n">
        <x:f>L20</x:f>
        <x:v>0</x:v>
      </x:c>
      <x:c r="M44" s="1286" t="n">
        <x:f>M20</x:f>
        <x:v>0</x:v>
      </x:c>
      <x:c r="N44" s="1286" t="n">
        <x:f>N20</x:f>
        <x:v>0</x:v>
      </x:c>
      <x:c r="O44" s="1286" t="n">
        <x:f>O20</x:f>
        <x:v>0</x:v>
      </x:c>
      <x:c r="P44" s="1286" t="n">
        <x:f>P20</x:f>
        <x:v>0</x:v>
      </x:c>
      <x:c r="Q44" s="1286" t="n">
        <x:f>Q20</x:f>
        <x:v>0</x:v>
      </x:c>
      <x:c r="R44" s="1286" t="n">
        <x:f>R20</x:f>
        <x:v>0</x:v>
      </x:c>
      <x:c r="S44" s="1286" t="n">
        <x:f>S20</x:f>
        <x:v>0</x:v>
      </x:c>
      <x:c r="T44" s="1286" t="n">
        <x:f>T20</x:f>
        <x:v>0</x:v>
      </x:c>
      <x:c r="U44" s="1286" t="n">
        <x:f>U20</x:f>
        <x:v>0</x:v>
      </x:c>
      <x:c r="V44" s="1286" t="n">
        <x:f>V20</x:f>
        <x:v>0</x:v>
      </x:c>
      <x:c r="W44" s="1286" t="n">
        <x:f>W20</x:f>
        <x:v>0</x:v>
      </x:c>
      <x:c r="X44" s="1286" t="n">
        <x:f>X20</x:f>
        <x:v>0</x:v>
      </x:c>
      <x:c r="Y44" s="1286" t="n">
        <x:f>Y20</x:f>
        <x:v>0</x:v>
      </x:c>
      <x:c r="Z44" s="1286" t="n">
        <x:f>Z20</x:f>
        <x:v>0</x:v>
      </x:c>
      <x:c r="AA44" s="1286" t="n">
        <x:f>AA20</x:f>
        <x:v>0</x:v>
      </x:c>
      <x:c r="AB44" s="1286" t="n">
        <x:f>AB20</x:f>
        <x:v>0</x:v>
      </x:c>
      <x:c r="AC44" s="1286" t="n">
        <x:f>AC20</x:f>
        <x:v>0</x:v>
      </x:c>
      <x:c r="AD44" s="1286" t="n">
        <x:f>AD20</x:f>
        <x:v>0</x:v>
      </x:c>
      <x:c r="AE44" s="1286" t="n">
        <x:f>AE20</x:f>
        <x:v>0</x:v>
      </x:c>
      <x:c r="AF44" s="1286" t="n">
        <x:f>AF20</x:f>
        <x:v>0</x:v>
      </x:c>
      <x:c r="AG44" s="1286" t="n">
        <x:f>AG20</x:f>
        <x:v>0</x:v>
      </x:c>
      <x:c r="AH44" s="1286" t="n">
        <x:f>AH20</x:f>
        <x:v>0</x:v>
      </x:c>
      <x:c r="AI44" s="1286" t="n">
        <x:f>AI20</x:f>
        <x:v>0</x:v>
      </x:c>
      <x:c r="AJ44" s="1286" t="n">
        <x:f>AJ20</x:f>
        <x:v>0</x:v>
      </x:c>
      <x:c r="AK44" s="1286" t="n">
        <x:f>AK20</x:f>
        <x:v>0</x:v>
      </x:c>
      <x:c r="AL44" s="1286" t="n">
        <x:f>AL20</x:f>
        <x:v>0</x:v>
      </x:c>
      <x:c r="AM44" s="1287" t="n">
        <x:f>AM20</x:f>
        <x:v>0</x:v>
      </x:c>
    </x:row>
    <x:row r="45">
      <x:c r="A45" s="147" t="str">
        <x:v>Freight cash</x:v>
      </x:c>
      <x:c r="B45" s="148" t="str">
        <x:v>ZAR'000</x:v>
      </x:c>
      <x:c r="C45" s="149" t="str">
        <x:v>Paid one month before COD</x:v>
      </x:c>
      <x:c r="D45" s="1285" t="n">
        <x:f>E21</x:f>
        <x:v>0</x:v>
      </x:c>
      <x:c r="E45" s="1286" t="n">
        <x:f>F21</x:f>
        <x:v>408</x:v>
      </x:c>
      <x:c r="F45" s="1286" t="n">
        <x:f>G21</x:f>
        <x:v>272</x:v>
      </x:c>
      <x:c r="G45" s="1286" t="n">
        <x:f>H21</x:f>
        <x:v>272</x:v>
      </x:c>
      <x:c r="H45" s="1286" t="n">
        <x:f>I21</x:f>
        <x:v>408</x:v>
      </x:c>
      <x:c r="I45" s="1286" t="n">
        <x:f>J21</x:f>
        <x:v>0</x:v>
      </x:c>
      <x:c r="J45" s="1286" t="n">
        <x:f>K21</x:f>
        <x:v>0</x:v>
      </x:c>
      <x:c r="K45" s="1286" t="n">
        <x:f>L21</x:f>
        <x:v>0</x:v>
      </x:c>
      <x:c r="L45" s="1286" t="n">
        <x:f>M21</x:f>
        <x:v>0</x:v>
      </x:c>
      <x:c r="M45" s="1286" t="n">
        <x:f>N21</x:f>
        <x:v>0</x:v>
      </x:c>
      <x:c r="N45" s="1286" t="n">
        <x:f>O21</x:f>
        <x:v>0</x:v>
      </x:c>
      <x:c r="O45" s="1286" t="n">
        <x:f>P21</x:f>
        <x:v>0</x:v>
      </x:c>
      <x:c r="P45" s="1286" t="n">
        <x:f>Q21</x:f>
        <x:v>0</x:v>
      </x:c>
      <x:c r="Q45" s="1286" t="n">
        <x:f>R21</x:f>
        <x:v>0</x:v>
      </x:c>
      <x:c r="R45" s="1286" t="n">
        <x:f>S21</x:f>
        <x:v>0</x:v>
      </x:c>
      <x:c r="S45" s="1286" t="n">
        <x:f>T21</x:f>
        <x:v>0</x:v>
      </x:c>
      <x:c r="T45" s="1286" t="n">
        <x:f>U21</x:f>
        <x:v>0</x:v>
      </x:c>
      <x:c r="U45" s="1286" t="n">
        <x:f>V21</x:f>
        <x:v>0</x:v>
      </x:c>
      <x:c r="V45" s="1286" t="n">
        <x:f>W21</x:f>
        <x:v>0</x:v>
      </x:c>
      <x:c r="W45" s="1286" t="n">
        <x:f>X21</x:f>
        <x:v>0</x:v>
      </x:c>
      <x:c r="X45" s="1286" t="n">
        <x:f>Y21</x:f>
        <x:v>0</x:v>
      </x:c>
      <x:c r="Y45" s="1286" t="n">
        <x:f>Z21</x:f>
        <x:v>0</x:v>
      </x:c>
      <x:c r="Z45" s="1286" t="n">
        <x:f>AA21</x:f>
        <x:v>0</x:v>
      </x:c>
      <x:c r="AA45" s="1286" t="n">
        <x:f>AB21</x:f>
        <x:v>0</x:v>
      </x:c>
      <x:c r="AB45" s="1286" t="n">
        <x:f>AC21</x:f>
        <x:v>0</x:v>
      </x:c>
      <x:c r="AC45" s="1286" t="n">
        <x:f>AD21</x:f>
        <x:v>0</x:v>
      </x:c>
      <x:c r="AD45" s="1286" t="n">
        <x:f>AE21</x:f>
        <x:v>0</x:v>
      </x:c>
      <x:c r="AE45" s="1286" t="n">
        <x:f>AF21</x:f>
        <x:v>0</x:v>
      </x:c>
      <x:c r="AF45" s="1286" t="n">
        <x:f>AG21</x:f>
        <x:v>0</x:v>
      </x:c>
      <x:c r="AG45" s="1286" t="n">
        <x:f>AH21</x:f>
        <x:v>0</x:v>
      </x:c>
      <x:c r="AH45" s="1286" t="n">
        <x:f>AI21</x:f>
        <x:v>0</x:v>
      </x:c>
      <x:c r="AI45" s="1286" t="n">
        <x:f>AJ21</x:f>
        <x:v>0</x:v>
      </x:c>
      <x:c r="AJ45" s="1286" t="n">
        <x:f>AK21</x:f>
        <x:v>0</x:v>
      </x:c>
      <x:c r="AK45" s="1286" t="n">
        <x:f>AL21</x:f>
        <x:v>0</x:v>
      </x:c>
      <x:c r="AL45" s="1286" t="n">
        <x:f>AM21</x:f>
        <x:v>0</x:v>
      </x:c>
      <x:c r="AM45" s="1287" t="n">
        <x:f>0</x:f>
        <x:v>0</x:v>
      </x:c>
    </x:row>
    <x:row r="46">
      <x:c r="A46" s="147" t="str">
        <x:v>Port / clearing cash</x:v>
      </x:c>
      <x:c r="B46" s="148" t="str">
        <x:v>ZAR'000</x:v>
      </x:c>
      <x:c r="C46" s="149" t="str">
        <x:v>Paid one month before COD</x:v>
      </x:c>
      <x:c r="D46" s="1285" t="n">
        <x:f>E22</x:f>
        <x:v>0</x:v>
      </x:c>
      <x:c r="E46" s="1286" t="n">
        <x:f>F22</x:f>
        <x:v>450</x:v>
      </x:c>
      <x:c r="F46" s="1286" t="n">
        <x:f>G22</x:f>
        <x:v>300</x:v>
      </x:c>
      <x:c r="G46" s="1286" t="n">
        <x:f>H22</x:f>
        <x:v>300</x:v>
      </x:c>
      <x:c r="H46" s="1286" t="n">
        <x:f>I22</x:f>
        <x:v>450</x:v>
      </x:c>
      <x:c r="I46" s="1286" t="n">
        <x:f>J22</x:f>
        <x:v>0</x:v>
      </x:c>
      <x:c r="J46" s="1286" t="n">
        <x:f>K22</x:f>
        <x:v>0</x:v>
      </x:c>
      <x:c r="K46" s="1286" t="n">
        <x:f>L22</x:f>
        <x:v>0</x:v>
      </x:c>
      <x:c r="L46" s="1286" t="n">
        <x:f>M22</x:f>
        <x:v>0</x:v>
      </x:c>
      <x:c r="M46" s="1286" t="n">
        <x:f>N22</x:f>
        <x:v>0</x:v>
      </x:c>
      <x:c r="N46" s="1286" t="n">
        <x:f>O22</x:f>
        <x:v>0</x:v>
      </x:c>
      <x:c r="O46" s="1286" t="n">
        <x:f>P22</x:f>
        <x:v>0</x:v>
      </x:c>
      <x:c r="P46" s="1286" t="n">
        <x:f>Q22</x:f>
        <x:v>0</x:v>
      </x:c>
      <x:c r="Q46" s="1286" t="n">
        <x:f>R22</x:f>
        <x:v>0</x:v>
      </x:c>
      <x:c r="R46" s="1286" t="n">
        <x:f>S22</x:f>
        <x:v>0</x:v>
      </x:c>
      <x:c r="S46" s="1286" t="n">
        <x:f>T22</x:f>
        <x:v>0</x:v>
      </x:c>
      <x:c r="T46" s="1286" t="n">
        <x:f>U22</x:f>
        <x:v>0</x:v>
      </x:c>
      <x:c r="U46" s="1286" t="n">
        <x:f>V22</x:f>
        <x:v>0</x:v>
      </x:c>
      <x:c r="V46" s="1286" t="n">
        <x:f>W22</x:f>
        <x:v>0</x:v>
      </x:c>
      <x:c r="W46" s="1286" t="n">
        <x:f>X22</x:f>
        <x:v>0</x:v>
      </x:c>
      <x:c r="X46" s="1286" t="n">
        <x:f>Y22</x:f>
        <x:v>0</x:v>
      </x:c>
      <x:c r="Y46" s="1286" t="n">
        <x:f>Z22</x:f>
        <x:v>0</x:v>
      </x:c>
      <x:c r="Z46" s="1286" t="n">
        <x:f>AA22</x:f>
        <x:v>0</x:v>
      </x:c>
      <x:c r="AA46" s="1286" t="n">
        <x:f>AB22</x:f>
        <x:v>0</x:v>
      </x:c>
      <x:c r="AB46" s="1286" t="n">
        <x:f>AC22</x:f>
        <x:v>0</x:v>
      </x:c>
      <x:c r="AC46" s="1286" t="n">
        <x:f>AD22</x:f>
        <x:v>0</x:v>
      </x:c>
      <x:c r="AD46" s="1286" t="n">
        <x:f>AE22</x:f>
        <x:v>0</x:v>
      </x:c>
      <x:c r="AE46" s="1286" t="n">
        <x:f>AF22</x:f>
        <x:v>0</x:v>
      </x:c>
      <x:c r="AF46" s="1286" t="n">
        <x:f>AG22</x:f>
        <x:v>0</x:v>
      </x:c>
      <x:c r="AG46" s="1286" t="n">
        <x:f>AH22</x:f>
        <x:v>0</x:v>
      </x:c>
      <x:c r="AH46" s="1286" t="n">
        <x:f>AI22</x:f>
        <x:v>0</x:v>
      </x:c>
      <x:c r="AI46" s="1286" t="n">
        <x:f>AJ22</x:f>
        <x:v>0</x:v>
      </x:c>
      <x:c r="AJ46" s="1286" t="n">
        <x:f>AK22</x:f>
        <x:v>0</x:v>
      </x:c>
      <x:c r="AK46" s="1286" t="n">
        <x:f>AL22</x:f>
        <x:v>0</x:v>
      </x:c>
      <x:c r="AL46" s="1286" t="n">
        <x:f>AM22</x:f>
        <x:v>0</x:v>
      </x:c>
      <x:c r="AM46" s="1287" t="n">
        <x:f>0</x:f>
        <x:v>0</x:v>
      </x:c>
    </x:row>
    <x:row r="47">
      <x:c r="A47" s="147" t="str">
        <x:v>Inland trucking cash</x:v>
      </x:c>
      <x:c r="B47" s="148" t="str">
        <x:v>ZAR'000</x:v>
      </x:c>
      <x:c r="C47" s="149" t="str">
        <x:v>Paid one month before COD</x:v>
      </x:c>
      <x:c r="D47" s="1285" t="n">
        <x:f>E23</x:f>
        <x:v>0</x:v>
      </x:c>
      <x:c r="E47" s="1286" t="n">
        <x:f>F23</x:f>
        <x:v>210</x:v>
      </x:c>
      <x:c r="F47" s="1286" t="n">
        <x:f>G23</x:f>
        <x:v>140</x:v>
      </x:c>
      <x:c r="G47" s="1286" t="n">
        <x:f>H23</x:f>
        <x:v>140</x:v>
      </x:c>
      <x:c r="H47" s="1286" t="n">
        <x:f>I23</x:f>
        <x:v>210</x:v>
      </x:c>
      <x:c r="I47" s="1286" t="n">
        <x:f>J23</x:f>
        <x:v>0</x:v>
      </x:c>
      <x:c r="J47" s="1286" t="n">
        <x:f>K23</x:f>
        <x:v>0</x:v>
      </x:c>
      <x:c r="K47" s="1286" t="n">
        <x:f>L23</x:f>
        <x:v>0</x:v>
      </x:c>
      <x:c r="L47" s="1286" t="n">
        <x:f>M23</x:f>
        <x:v>0</x:v>
      </x:c>
      <x:c r="M47" s="1286" t="n">
        <x:f>N23</x:f>
        <x:v>0</x:v>
      </x:c>
      <x:c r="N47" s="1286" t="n">
        <x:f>O23</x:f>
        <x:v>0</x:v>
      </x:c>
      <x:c r="O47" s="1286" t="n">
        <x:f>P23</x:f>
        <x:v>0</x:v>
      </x:c>
      <x:c r="P47" s="1286" t="n">
        <x:f>Q23</x:f>
        <x:v>0</x:v>
      </x:c>
      <x:c r="Q47" s="1286" t="n">
        <x:f>R23</x:f>
        <x:v>0</x:v>
      </x:c>
      <x:c r="R47" s="1286" t="n">
        <x:f>S23</x:f>
        <x:v>0</x:v>
      </x:c>
      <x:c r="S47" s="1286" t="n">
        <x:f>T23</x:f>
        <x:v>0</x:v>
      </x:c>
      <x:c r="T47" s="1286" t="n">
        <x:f>U23</x:f>
        <x:v>0</x:v>
      </x:c>
      <x:c r="U47" s="1286" t="n">
        <x:f>V23</x:f>
        <x:v>0</x:v>
      </x:c>
      <x:c r="V47" s="1286" t="n">
        <x:f>W23</x:f>
        <x:v>0</x:v>
      </x:c>
      <x:c r="W47" s="1286" t="n">
        <x:f>X23</x:f>
        <x:v>0</x:v>
      </x:c>
      <x:c r="X47" s="1286" t="n">
        <x:f>Y23</x:f>
        <x:v>0</x:v>
      </x:c>
      <x:c r="Y47" s="1286" t="n">
        <x:f>Z23</x:f>
        <x:v>0</x:v>
      </x:c>
      <x:c r="Z47" s="1286" t="n">
        <x:f>AA23</x:f>
        <x:v>0</x:v>
      </x:c>
      <x:c r="AA47" s="1286" t="n">
        <x:f>AB23</x:f>
        <x:v>0</x:v>
      </x:c>
      <x:c r="AB47" s="1286" t="n">
        <x:f>AC23</x:f>
        <x:v>0</x:v>
      </x:c>
      <x:c r="AC47" s="1286" t="n">
        <x:f>AD23</x:f>
        <x:v>0</x:v>
      </x:c>
      <x:c r="AD47" s="1286" t="n">
        <x:f>AE23</x:f>
        <x:v>0</x:v>
      </x:c>
      <x:c r="AE47" s="1286" t="n">
        <x:f>AF23</x:f>
        <x:v>0</x:v>
      </x:c>
      <x:c r="AF47" s="1286" t="n">
        <x:f>AG23</x:f>
        <x:v>0</x:v>
      </x:c>
      <x:c r="AG47" s="1286" t="n">
        <x:f>AH23</x:f>
        <x:v>0</x:v>
      </x:c>
      <x:c r="AH47" s="1286" t="n">
        <x:f>AI23</x:f>
        <x:v>0</x:v>
      </x:c>
      <x:c r="AI47" s="1286" t="n">
        <x:f>AJ23</x:f>
        <x:v>0</x:v>
      </x:c>
      <x:c r="AJ47" s="1286" t="n">
        <x:f>AK23</x:f>
        <x:v>0</x:v>
      </x:c>
      <x:c r="AK47" s="1286" t="n">
        <x:f>AL23</x:f>
        <x:v>0</x:v>
      </x:c>
      <x:c r="AL47" s="1286" t="n">
        <x:f>AM23</x:f>
        <x:v>0</x:v>
      </x:c>
      <x:c r="AM47" s="1287" t="n">
        <x:f>0</x:f>
        <x:v>0</x:v>
      </x:c>
    </x:row>
    <x:row r="48">
      <x:c r="A48" s="147" t="str">
        <x:v>Crane / rigging cash</x:v>
      </x:c>
      <x:c r="B48" s="148" t="str">
        <x:v>ZAR'000</x:v>
      </x:c>
      <x:c r="C48" s="149" t="str">
        <x:v>Paid in COD month</x:v>
      </x:c>
      <x:c r="D48" s="1285" t="n">
        <x:f>D24</x:f>
        <x:v>0</x:v>
      </x:c>
      <x:c r="E48" s="1286" t="n">
        <x:f>E24</x:f>
        <x:v>0</x:v>
      </x:c>
      <x:c r="F48" s="1286" t="n">
        <x:f>F24</x:f>
        <x:v>150</x:v>
      </x:c>
      <x:c r="G48" s="1286" t="n">
        <x:f>G24</x:f>
        <x:v>100</x:v>
      </x:c>
      <x:c r="H48" s="1286" t="n">
        <x:f>H24</x:f>
        <x:v>100</x:v>
      </x:c>
      <x:c r="I48" s="1286" t="n">
        <x:f>I24</x:f>
        <x:v>150</x:v>
      </x:c>
      <x:c r="J48" s="1286" t="n">
        <x:f>J24</x:f>
        <x:v>0</x:v>
      </x:c>
      <x:c r="K48" s="1286" t="n">
        <x:f>K24</x:f>
        <x:v>0</x:v>
      </x:c>
      <x:c r="L48" s="1286" t="n">
        <x:f>L24</x:f>
        <x:v>0</x:v>
      </x:c>
      <x:c r="M48" s="1286" t="n">
        <x:f>M24</x:f>
        <x:v>0</x:v>
      </x:c>
      <x:c r="N48" s="1286" t="n">
        <x:f>N24</x:f>
        <x:v>0</x:v>
      </x:c>
      <x:c r="O48" s="1286" t="n">
        <x:f>O24</x:f>
        <x:v>0</x:v>
      </x:c>
      <x:c r="P48" s="1286" t="n">
        <x:f>P24</x:f>
        <x:v>0</x:v>
      </x:c>
      <x:c r="Q48" s="1286" t="n">
        <x:f>Q24</x:f>
        <x:v>0</x:v>
      </x:c>
      <x:c r="R48" s="1286" t="n">
        <x:f>R24</x:f>
        <x:v>0</x:v>
      </x:c>
      <x:c r="S48" s="1286" t="n">
        <x:f>S24</x:f>
        <x:v>0</x:v>
      </x:c>
      <x:c r="T48" s="1286" t="n">
        <x:f>T24</x:f>
        <x:v>0</x:v>
      </x:c>
      <x:c r="U48" s="1286" t="n">
        <x:f>U24</x:f>
        <x:v>0</x:v>
      </x:c>
      <x:c r="V48" s="1286" t="n">
        <x:f>V24</x:f>
        <x:v>0</x:v>
      </x:c>
      <x:c r="W48" s="1286" t="n">
        <x:f>W24</x:f>
        <x:v>0</x:v>
      </x:c>
      <x:c r="X48" s="1286" t="n">
        <x:f>X24</x:f>
        <x:v>0</x:v>
      </x:c>
      <x:c r="Y48" s="1286" t="n">
        <x:f>Y24</x:f>
        <x:v>0</x:v>
      </x:c>
      <x:c r="Z48" s="1286" t="n">
        <x:f>Z24</x:f>
        <x:v>0</x:v>
      </x:c>
      <x:c r="AA48" s="1286" t="n">
        <x:f>AA24</x:f>
        <x:v>0</x:v>
      </x:c>
      <x:c r="AB48" s="1286" t="n">
        <x:f>AB24</x:f>
        <x:v>0</x:v>
      </x:c>
      <x:c r="AC48" s="1286" t="n">
        <x:f>AC24</x:f>
        <x:v>0</x:v>
      </x:c>
      <x:c r="AD48" s="1286" t="n">
        <x:f>AD24</x:f>
        <x:v>0</x:v>
      </x:c>
      <x:c r="AE48" s="1286" t="n">
        <x:f>AE24</x:f>
        <x:v>0</x:v>
      </x:c>
      <x:c r="AF48" s="1286" t="n">
        <x:f>AF24</x:f>
        <x:v>0</x:v>
      </x:c>
      <x:c r="AG48" s="1286" t="n">
        <x:f>AG24</x:f>
        <x:v>0</x:v>
      </x:c>
      <x:c r="AH48" s="1286" t="n">
        <x:f>AH24</x:f>
        <x:v>0</x:v>
      </x:c>
      <x:c r="AI48" s="1286" t="n">
        <x:f>AI24</x:f>
        <x:v>0</x:v>
      </x:c>
      <x:c r="AJ48" s="1286" t="n">
        <x:f>AJ24</x:f>
        <x:v>0</x:v>
      </x:c>
      <x:c r="AK48" s="1286" t="n">
        <x:f>AK24</x:f>
        <x:v>0</x:v>
      </x:c>
      <x:c r="AL48" s="1286" t="n">
        <x:f>AL24</x:f>
        <x:v>0</x:v>
      </x:c>
      <x:c r="AM48" s="1287" t="n">
        <x:f>AM24</x:f>
        <x:v>0</x:v>
      </x:c>
    </x:row>
    <x:row r="49">
      <x:c r="A49" s="147" t="str">
        <x:v>Cargo insurance cash</x:v>
      </x:c>
      <x:c r="B49" s="148" t="str">
        <x:v>ZAR'000</x:v>
      </x:c>
      <x:c r="C49" s="149" t="str">
        <x:v>Paid one month before COD</x:v>
      </x:c>
      <x:c r="D49" s="1285" t="n">
        <x:f>E25</x:f>
        <x:v>0</x:v>
      </x:c>
      <x:c r="E49" s="1286" t="n">
        <x:f>F25</x:f>
        <x:v>724.37</x:v>
      </x:c>
      <x:c r="F49" s="1286" t="n">
        <x:f>G25</x:f>
        <x:v>664.87</x:v>
      </x:c>
      <x:c r="G49" s="1286" t="n">
        <x:f>H25</x:f>
        <x:v>664.87</x:v>
      </x:c>
      <x:c r="H49" s="1286" t="n">
        <x:f>I25</x:f>
        <x:v>724.37</x:v>
      </x:c>
      <x:c r="I49" s="1286" t="n">
        <x:f>J25</x:f>
        <x:v>0</x:v>
      </x:c>
      <x:c r="J49" s="1286" t="n">
        <x:f>K25</x:f>
        <x:v>0</x:v>
      </x:c>
      <x:c r="K49" s="1286" t="n">
        <x:f>L25</x:f>
        <x:v>0</x:v>
      </x:c>
      <x:c r="L49" s="1286" t="n">
        <x:f>M25</x:f>
        <x:v>0</x:v>
      </x:c>
      <x:c r="M49" s="1286" t="n">
        <x:f>N25</x:f>
        <x:v>0</x:v>
      </x:c>
      <x:c r="N49" s="1286" t="n">
        <x:f>O25</x:f>
        <x:v>0</x:v>
      </x:c>
      <x:c r="O49" s="1286" t="n">
        <x:f>P25</x:f>
        <x:v>0</x:v>
      </x:c>
      <x:c r="P49" s="1286" t="n">
        <x:f>Q25</x:f>
        <x:v>0</x:v>
      </x:c>
      <x:c r="Q49" s="1286" t="n">
        <x:f>R25</x:f>
        <x:v>0</x:v>
      </x:c>
      <x:c r="R49" s="1286" t="n">
        <x:f>S25</x:f>
        <x:v>0</x:v>
      </x:c>
      <x:c r="S49" s="1286" t="n">
        <x:f>T25</x:f>
        <x:v>0</x:v>
      </x:c>
      <x:c r="T49" s="1286" t="n">
        <x:f>U25</x:f>
        <x:v>0</x:v>
      </x:c>
      <x:c r="U49" s="1286" t="n">
        <x:f>V25</x:f>
        <x:v>0</x:v>
      </x:c>
      <x:c r="V49" s="1286" t="n">
        <x:f>W25</x:f>
        <x:v>0</x:v>
      </x:c>
      <x:c r="W49" s="1286" t="n">
        <x:f>X25</x:f>
        <x:v>0</x:v>
      </x:c>
      <x:c r="X49" s="1286" t="n">
        <x:f>Y25</x:f>
        <x:v>0</x:v>
      </x:c>
      <x:c r="Y49" s="1286" t="n">
        <x:f>Z25</x:f>
        <x:v>0</x:v>
      </x:c>
      <x:c r="Z49" s="1286" t="n">
        <x:f>AA25</x:f>
        <x:v>0</x:v>
      </x:c>
      <x:c r="AA49" s="1286" t="n">
        <x:f>AB25</x:f>
        <x:v>0</x:v>
      </x:c>
      <x:c r="AB49" s="1286" t="n">
        <x:f>AC25</x:f>
        <x:v>0</x:v>
      </x:c>
      <x:c r="AC49" s="1286" t="n">
        <x:f>AD25</x:f>
        <x:v>0</x:v>
      </x:c>
      <x:c r="AD49" s="1286" t="n">
        <x:f>AE25</x:f>
        <x:v>0</x:v>
      </x:c>
      <x:c r="AE49" s="1286" t="n">
        <x:f>AF25</x:f>
        <x:v>0</x:v>
      </x:c>
      <x:c r="AF49" s="1286" t="n">
        <x:f>AG25</x:f>
        <x:v>0</x:v>
      </x:c>
      <x:c r="AG49" s="1286" t="n">
        <x:f>AH25</x:f>
        <x:v>0</x:v>
      </x:c>
      <x:c r="AH49" s="1286" t="n">
        <x:f>AI25</x:f>
        <x:v>0</x:v>
      </x:c>
      <x:c r="AI49" s="1286" t="n">
        <x:f>AJ25</x:f>
        <x:v>0</x:v>
      </x:c>
      <x:c r="AJ49" s="1286" t="n">
        <x:f>AK25</x:f>
        <x:v>0</x:v>
      </x:c>
      <x:c r="AK49" s="1286" t="n">
        <x:f>AL25</x:f>
        <x:v>0</x:v>
      </x:c>
      <x:c r="AL49" s="1286" t="n">
        <x:f>AM25</x:f>
        <x:v>0</x:v>
      </x:c>
      <x:c r="AM49" s="1287" t="n">
        <x:f>0</x:f>
        <x:v>0</x:v>
      </x:c>
    </x:row>
    <x:row r="50">
      <x:c r="A50" s="147" t="str">
        <x:v>Import duty cash</x:v>
      </x:c>
      <x:c r="B50" s="148" t="str">
        <x:v>ZAR'000</x:v>
      </x:c>
      <x:c r="C50" s="149" t="str">
        <x:v>Paid one month before COD</x:v>
      </x:c>
      <x:c r="D50" s="1285" t="n">
        <x:f>E26</x:f>
        <x:v>0</x:v>
      </x:c>
      <x:c r="E50" s="1286" t="n">
        <x:f>F26</x:f>
        <x:v>3621.8500000000004</x:v>
      </x:c>
      <x:c r="F50" s="1286" t="n">
        <x:f>G26</x:f>
        <x:v>3324.3500000000004</x:v>
      </x:c>
      <x:c r="G50" s="1286" t="n">
        <x:f>H26</x:f>
        <x:v>3324.3500000000004</x:v>
      </x:c>
      <x:c r="H50" s="1286" t="n">
        <x:f>I26</x:f>
        <x:v>3621.8500000000004</x:v>
      </x:c>
      <x:c r="I50" s="1286" t="n">
        <x:f>J26</x:f>
        <x:v>0</x:v>
      </x:c>
      <x:c r="J50" s="1286" t="n">
        <x:f>K26</x:f>
        <x:v>0</x:v>
      </x:c>
      <x:c r="K50" s="1286" t="n">
        <x:f>L26</x:f>
        <x:v>0</x:v>
      </x:c>
      <x:c r="L50" s="1286" t="n">
        <x:f>M26</x:f>
        <x:v>0</x:v>
      </x:c>
      <x:c r="M50" s="1286" t="n">
        <x:f>N26</x:f>
        <x:v>0</x:v>
      </x:c>
      <x:c r="N50" s="1286" t="n">
        <x:f>O26</x:f>
        <x:v>0</x:v>
      </x:c>
      <x:c r="O50" s="1286" t="n">
        <x:f>P26</x:f>
        <x:v>0</x:v>
      </x:c>
      <x:c r="P50" s="1286" t="n">
        <x:f>Q26</x:f>
        <x:v>0</x:v>
      </x:c>
      <x:c r="Q50" s="1286" t="n">
        <x:f>R26</x:f>
        <x:v>0</x:v>
      </x:c>
      <x:c r="R50" s="1286" t="n">
        <x:f>S26</x:f>
        <x:v>0</x:v>
      </x:c>
      <x:c r="S50" s="1286" t="n">
        <x:f>T26</x:f>
        <x:v>0</x:v>
      </x:c>
      <x:c r="T50" s="1286" t="n">
        <x:f>U26</x:f>
        <x:v>0</x:v>
      </x:c>
      <x:c r="U50" s="1286" t="n">
        <x:f>V26</x:f>
        <x:v>0</x:v>
      </x:c>
      <x:c r="V50" s="1286" t="n">
        <x:f>W26</x:f>
        <x:v>0</x:v>
      </x:c>
      <x:c r="W50" s="1286" t="n">
        <x:f>X26</x:f>
        <x:v>0</x:v>
      </x:c>
      <x:c r="X50" s="1286" t="n">
        <x:f>Y26</x:f>
        <x:v>0</x:v>
      </x:c>
      <x:c r="Y50" s="1286" t="n">
        <x:f>Z26</x:f>
        <x:v>0</x:v>
      </x:c>
      <x:c r="Z50" s="1286" t="n">
        <x:f>AA26</x:f>
        <x:v>0</x:v>
      </x:c>
      <x:c r="AA50" s="1286" t="n">
        <x:f>AB26</x:f>
        <x:v>0</x:v>
      </x:c>
      <x:c r="AB50" s="1286" t="n">
        <x:f>AC26</x:f>
        <x:v>0</x:v>
      </x:c>
      <x:c r="AC50" s="1286" t="n">
        <x:f>AD26</x:f>
        <x:v>0</x:v>
      </x:c>
      <x:c r="AD50" s="1286" t="n">
        <x:f>AE26</x:f>
        <x:v>0</x:v>
      </x:c>
      <x:c r="AE50" s="1286" t="n">
        <x:f>AF26</x:f>
        <x:v>0</x:v>
      </x:c>
      <x:c r="AF50" s="1286" t="n">
        <x:f>AG26</x:f>
        <x:v>0</x:v>
      </x:c>
      <x:c r="AG50" s="1286" t="n">
        <x:f>AH26</x:f>
        <x:v>0</x:v>
      </x:c>
      <x:c r="AH50" s="1286" t="n">
        <x:f>AI26</x:f>
        <x:v>0</x:v>
      </x:c>
      <x:c r="AI50" s="1286" t="n">
        <x:f>AJ26</x:f>
        <x:v>0</x:v>
      </x:c>
      <x:c r="AJ50" s="1286" t="n">
        <x:f>AK26</x:f>
        <x:v>0</x:v>
      </x:c>
      <x:c r="AK50" s="1286" t="n">
        <x:f>AL26</x:f>
        <x:v>0</x:v>
      </x:c>
      <x:c r="AL50" s="1286" t="n">
        <x:f>AM26</x:f>
        <x:v>0</x:v>
      </x:c>
      <x:c r="AM50" s="1287" t="n">
        <x:f>0</x:f>
        <x:v>0</x:v>
      </x:c>
    </x:row>
    <x:row r="51">
      <x:c r="A51" s="243" t="str">
        <x:v>Office / software / legal setup cash</x:v>
      </x:c>
      <x:c r="B51" s="244" t="str">
        <x:v>ZAR'000</x:v>
      </x:c>
      <x:c r="C51" s="245" t="str">
        <x:v>Paid in month 1</x:v>
      </x:c>
      <x:c r="D51" s="1297" t="n">
        <x:f>D27</x:f>
        <x:v>2450</x:v>
      </x:c>
      <x:c r="E51" s="1298" t="n">
        <x:f>E27</x:f>
        <x:v>0</x:v>
      </x:c>
      <x:c r="F51" s="1298" t="n">
        <x:f>F27</x:f>
        <x:v>0</x:v>
      </x:c>
      <x:c r="G51" s="1298" t="n">
        <x:f>G27</x:f>
        <x:v>0</x:v>
      </x:c>
      <x:c r="H51" s="1298" t="n">
        <x:f>H27</x:f>
        <x:v>0</x:v>
      </x:c>
      <x:c r="I51" s="1298" t="n">
        <x:f>I27</x:f>
        <x:v>0</x:v>
      </x:c>
      <x:c r="J51" s="1298" t="n">
        <x:f>J27</x:f>
        <x:v>0</x:v>
      </x:c>
      <x:c r="K51" s="1298" t="n">
        <x:f>K27</x:f>
        <x:v>0</x:v>
      </x:c>
      <x:c r="L51" s="1298" t="n">
        <x:f>L27</x:f>
        <x:v>0</x:v>
      </x:c>
      <x:c r="M51" s="1298" t="n">
        <x:f>M27</x:f>
        <x:v>0</x:v>
      </x:c>
      <x:c r="N51" s="1298" t="n">
        <x:f>N27</x:f>
        <x:v>0</x:v>
      </x:c>
      <x:c r="O51" s="1298" t="n">
        <x:f>O27</x:f>
        <x:v>0</x:v>
      </x:c>
      <x:c r="P51" s="1298" t="n">
        <x:f>P27</x:f>
        <x:v>0</x:v>
      </x:c>
      <x:c r="Q51" s="1298" t="n">
        <x:f>Q27</x:f>
        <x:v>0</x:v>
      </x:c>
      <x:c r="R51" s="1298" t="n">
        <x:f>R27</x:f>
        <x:v>0</x:v>
      </x:c>
      <x:c r="S51" s="1298" t="n">
        <x:f>S27</x:f>
        <x:v>0</x:v>
      </x:c>
      <x:c r="T51" s="1298" t="n">
        <x:f>T27</x:f>
        <x:v>0</x:v>
      </x:c>
      <x:c r="U51" s="1298" t="n">
        <x:f>U27</x:f>
        <x:v>0</x:v>
      </x:c>
      <x:c r="V51" s="1298" t="n">
        <x:f>V27</x:f>
        <x:v>0</x:v>
      </x:c>
      <x:c r="W51" s="1298" t="n">
        <x:f>W27</x:f>
        <x:v>0</x:v>
      </x:c>
      <x:c r="X51" s="1298" t="n">
        <x:f>X27</x:f>
        <x:v>0</x:v>
      </x:c>
      <x:c r="Y51" s="1298" t="n">
        <x:f>Y27</x:f>
        <x:v>0</x:v>
      </x:c>
      <x:c r="Z51" s="1298" t="n">
        <x:f>Z27</x:f>
        <x:v>0</x:v>
      </x:c>
      <x:c r="AA51" s="1298" t="n">
        <x:f>AA27</x:f>
        <x:v>0</x:v>
      </x:c>
      <x:c r="AB51" s="1298" t="n">
        <x:f>AB27</x:f>
        <x:v>0</x:v>
      </x:c>
      <x:c r="AC51" s="1298" t="n">
        <x:f>AC27</x:f>
        <x:v>0</x:v>
      </x:c>
      <x:c r="AD51" s="1298" t="n">
        <x:f>AD27</x:f>
        <x:v>0</x:v>
      </x:c>
      <x:c r="AE51" s="1298" t="n">
        <x:f>AE27</x:f>
        <x:v>0</x:v>
      </x:c>
      <x:c r="AF51" s="1298" t="n">
        <x:f>AF27</x:f>
        <x:v>0</x:v>
      </x:c>
      <x:c r="AG51" s="1298" t="n">
        <x:f>AG27</x:f>
        <x:v>0</x:v>
      </x:c>
      <x:c r="AH51" s="1298" t="n">
        <x:f>AH27</x:f>
        <x:v>0</x:v>
      </x:c>
      <x:c r="AI51" s="1298" t="n">
        <x:f>AI27</x:f>
        <x:v>0</x:v>
      </x:c>
      <x:c r="AJ51" s="1298" t="n">
        <x:f>AJ27</x:f>
        <x:v>0</x:v>
      </x:c>
      <x:c r="AK51" s="1298" t="n">
        <x:f>AK27</x:f>
        <x:v>0</x:v>
      </x:c>
      <x:c r="AL51" s="1298" t="n">
        <x:f>AL27</x:f>
        <x:v>0</x:v>
      </x:c>
      <x:c r="AM51" s="1299" t="n">
        <x:f>AM27</x:f>
        <x:v>0</x:v>
      </x:c>
    </x:row>
    <x:row r="52">
      <x:c r="A52" s="243" t="str">
        <x:v>Total capex cash spend</x:v>
      </x:c>
      <x:c r="B52" s="244" t="str">
        <x:v>ZAR'000</x:v>
      </x:c>
      <x:c r="C52" s="245" t="str">
        <x:v>Used in Funding sheet</x:v>
      </x:c>
      <x:c r="D52" s="1297" t="n">
        <x:f>SUM(D30:D51)</x:f>
        <x:v>45433.336565105</x:v>
      </x:c>
      <x:c r="E52" s="1298" t="n">
        <x:f>SUM(E30:E51)</x:f>
        <x:v>64298.8447989</x:v>
      </x:c>
      <x:c r="F52" s="1298" t="n">
        <x:f>SUM(F30:F51)</x:f>
        <x:v>117936.15021913001</x:v>
      </x:c>
      <x:c r="G52" s="1298" t="n">
        <x:f>SUM(G30:G51)</x:f>
        <x:v>120258.96834345</x:v>
      </x:c>
      <x:c r="H52" s="1298" t="n">
        <x:f>SUM(H30:H51)</x:f>
        <x:v>100117.57136409501</x:v>
      </x:c>
      <x:c r="I52" s="1298" t="n">
        <x:f>SUM(I30:I51)</x:f>
        <x:v>52920.00271605</x:v>
      </x:c>
      <x:c r="J52" s="1298" t="n">
        <x:f>SUM(J30:J51)</x:f>
        <x:v>4440.75771007</x:v>
      </x:c>
      <x:c r="K52" s="1298" t="n">
        <x:f>SUM(K30:K51)</x:f>
        <x:v>0</x:v>
      </x:c>
      <x:c r="L52" s="1298" t="n">
        <x:f>SUM(L30:L51)</x:f>
        <x:v>0</x:v>
      </x:c>
      <x:c r="M52" s="1298" t="n">
        <x:f>SUM(M30:M51)</x:f>
        <x:v>0</x:v>
      </x:c>
      <x:c r="N52" s="1298" t="n">
        <x:f>SUM(N30:N51)</x:f>
        <x:v>0</x:v>
      </x:c>
      <x:c r="O52" s="1298" t="n">
        <x:f>SUM(O30:O51)</x:f>
        <x:v>0</x:v>
      </x:c>
      <x:c r="P52" s="1298" t="n">
        <x:f>SUM(P30:P51)</x:f>
        <x:v>0</x:v>
      </x:c>
      <x:c r="Q52" s="1298" t="n">
        <x:f>SUM(Q30:Q51)</x:f>
        <x:v>0</x:v>
      </x:c>
      <x:c r="R52" s="1298" t="n">
        <x:f>SUM(R30:R51)</x:f>
        <x:v>0</x:v>
      </x:c>
      <x:c r="S52" s="1298" t="n">
        <x:f>SUM(S30:S51)</x:f>
        <x:v>0</x:v>
      </x:c>
      <x:c r="T52" s="1298" t="n">
        <x:f>SUM(T30:T51)</x:f>
        <x:v>0</x:v>
      </x:c>
      <x:c r="U52" s="1298" t="n">
        <x:f>SUM(U30:U51)</x:f>
        <x:v>0</x:v>
      </x:c>
      <x:c r="V52" s="1298" t="n">
        <x:f>SUM(V30:V51)</x:f>
        <x:v>0</x:v>
      </x:c>
      <x:c r="W52" s="1298" t="n">
        <x:f>SUM(W30:W51)</x:f>
        <x:v>0</x:v>
      </x:c>
      <x:c r="X52" s="1298" t="n">
        <x:f>SUM(X30:X51)</x:f>
        <x:v>0</x:v>
      </x:c>
      <x:c r="Y52" s="1298" t="n">
        <x:f>SUM(Y30:Y51)</x:f>
        <x:v>0</x:v>
      </x:c>
      <x:c r="Z52" s="1298" t="n">
        <x:f>SUM(Z30:Z51)</x:f>
        <x:v>0</x:v>
      </x:c>
      <x:c r="AA52" s="1298" t="n">
        <x:f>SUM(AA30:AA51)</x:f>
        <x:v>0</x:v>
      </x:c>
      <x:c r="AB52" s="1298" t="n">
        <x:f>SUM(AB30:AB51)</x:f>
        <x:v>0</x:v>
      </x:c>
      <x:c r="AC52" s="1298" t="n">
        <x:f>SUM(AC30:AC51)</x:f>
        <x:v>0</x:v>
      </x:c>
      <x:c r="AD52" s="1298" t="n">
        <x:f>SUM(AD30:AD51)</x:f>
        <x:v>0</x:v>
      </x:c>
      <x:c r="AE52" s="1298" t="n">
        <x:f>SUM(AE30:AE51)</x:f>
        <x:v>0</x:v>
      </x:c>
      <x:c r="AF52" s="1298" t="n">
        <x:f>SUM(AF30:AF51)</x:f>
        <x:v>0</x:v>
      </x:c>
      <x:c r="AG52" s="1298" t="n">
        <x:f>SUM(AG30:AG51)</x:f>
        <x:v>0</x:v>
      </x:c>
      <x:c r="AH52" s="1298" t="n">
        <x:f>SUM(AH30:AH51)</x:f>
        <x:v>0</x:v>
      </x:c>
      <x:c r="AI52" s="1298" t="n">
        <x:f>SUM(AI30:AI51)</x:f>
        <x:v>0</x:v>
      </x:c>
      <x:c r="AJ52" s="1298" t="n">
        <x:f>SUM(AJ30:AJ51)</x:f>
        <x:v>0</x:v>
      </x:c>
      <x:c r="AK52" s="1298" t="n">
        <x:f>SUM(AK30:AK51)</x:f>
        <x:v>0</x:v>
      </x:c>
      <x:c r="AL52" s="1298" t="n">
        <x:f>SUM(AL30:AL51)</x:f>
        <x:v>0</x:v>
      </x:c>
      <x:c r="AM52" s="1299" t="n">
        <x:f>SUM(AM30:AM51)</x:f>
        <x:v>0</x:v>
      </x:c>
    </x:row>
    <x:row r="53">
      <x:c r="A53" s="261" t="str">
        <x:v>Cumulative capex spend</x:v>
      </x:c>
      <x:c r="B53" s="262" t="str">
        <x:v>ZAR'000</x:v>
      </x:c>
      <x:c r="C53" s="263" t="str">
        <x:v>Running total</x:v>
      </x:c>
      <x:c r="D53" s="1303" t="n">
        <x:f>D52</x:f>
        <x:v>45433.336565105</x:v>
      </x:c>
      <x:c r="E53" s="1304" t="n">
        <x:f>D53+E52</x:f>
        <x:v>109732.181364005</x:v>
      </x:c>
      <x:c r="F53" s="1304" t="n">
        <x:f>E53+F52</x:f>
        <x:v>227668.331583135</x:v>
      </x:c>
      <x:c r="G53" s="1304" t="n">
        <x:f>F53+G52</x:f>
        <x:v>347927.299926585</x:v>
      </x:c>
      <x:c r="H53" s="1304" t="n">
        <x:f>G53+H52</x:f>
        <x:v>448044.87129068</x:v>
      </x:c>
      <x:c r="I53" s="1304" t="n">
        <x:f>H53+I52</x:f>
        <x:v>500964.87400673004</x:v>
      </x:c>
      <x:c r="J53" s="1304" t="n">
        <x:f>I53+J52</x:f>
        <x:v>505405.63171680004</x:v>
      </x:c>
      <x:c r="K53" s="1304" t="n">
        <x:f>J53+K52</x:f>
        <x:v>505405.63171680004</x:v>
      </x:c>
      <x:c r="L53" s="1304" t="n">
        <x:f>K53+L52</x:f>
        <x:v>505405.63171680004</x:v>
      </x:c>
      <x:c r="M53" s="1304" t="n">
        <x:f>L53+M52</x:f>
        <x:v>505405.63171680004</x:v>
      </x:c>
      <x:c r="N53" s="1304" t="n">
        <x:f>M53+N52</x:f>
        <x:v>505405.63171680004</x:v>
      </x:c>
      <x:c r="O53" s="1304" t="n">
        <x:f>N53+O52</x:f>
        <x:v>505405.63171680004</x:v>
      </x:c>
      <x:c r="P53" s="1304" t="n">
        <x:f>O53+P52</x:f>
        <x:v>505405.63171680004</x:v>
      </x:c>
      <x:c r="Q53" s="1304" t="n">
        <x:f>P53+Q52</x:f>
        <x:v>505405.63171680004</x:v>
      </x:c>
      <x:c r="R53" s="1304" t="n">
        <x:f>Q53+R52</x:f>
        <x:v>505405.63171680004</x:v>
      </x:c>
      <x:c r="S53" s="1304" t="n">
        <x:f>R53+S52</x:f>
        <x:v>505405.63171680004</x:v>
      </x:c>
      <x:c r="T53" s="1304" t="n">
        <x:f>S53+T52</x:f>
        <x:v>505405.63171680004</x:v>
      </x:c>
      <x:c r="U53" s="1304" t="n">
        <x:f>T53+U52</x:f>
        <x:v>505405.63171680004</x:v>
      </x:c>
      <x:c r="V53" s="1304" t="n">
        <x:f>U53+V52</x:f>
        <x:v>505405.63171680004</x:v>
      </x:c>
      <x:c r="W53" s="1304" t="n">
        <x:f>V53+W52</x:f>
        <x:v>505405.63171680004</x:v>
      </x:c>
      <x:c r="X53" s="1304" t="n">
        <x:f>W53+X52</x:f>
        <x:v>505405.63171680004</x:v>
      </x:c>
      <x:c r="Y53" s="1304" t="n">
        <x:f>X53+Y52</x:f>
        <x:v>505405.63171680004</x:v>
      </x:c>
      <x:c r="Z53" s="1304" t="n">
        <x:f>Y53+Z52</x:f>
        <x:v>505405.63171680004</x:v>
      </x:c>
      <x:c r="AA53" s="1304" t="n">
        <x:f>Z53+AA52</x:f>
        <x:v>505405.63171680004</x:v>
      </x:c>
      <x:c r="AB53" s="1304" t="n">
        <x:f>AA53+AB52</x:f>
        <x:v>505405.63171680004</x:v>
      </x:c>
      <x:c r="AC53" s="1304" t="n">
        <x:f>AB53+AC52</x:f>
        <x:v>505405.63171680004</x:v>
      </x:c>
      <x:c r="AD53" s="1304" t="n">
        <x:f>AC53+AD52</x:f>
        <x:v>505405.63171680004</x:v>
      </x:c>
      <x:c r="AE53" s="1304" t="n">
        <x:f>AD53+AE52</x:f>
        <x:v>505405.63171680004</x:v>
      </x:c>
      <x:c r="AF53" s="1304" t="n">
        <x:f>AE53+AF52</x:f>
        <x:v>505405.63171680004</x:v>
      </x:c>
      <x:c r="AG53" s="1304" t="n">
        <x:f>AF53+AG52</x:f>
        <x:v>505405.63171680004</x:v>
      </x:c>
      <x:c r="AH53" s="1304" t="n">
        <x:f>AG53+AH52</x:f>
        <x:v>505405.63171680004</x:v>
      </x:c>
      <x:c r="AI53" s="1304" t="n">
        <x:f>AH53+AI52</x:f>
        <x:v>505405.63171680004</x:v>
      </x:c>
      <x:c r="AJ53" s="1304" t="n">
        <x:f>AI53+AJ52</x:f>
        <x:v>505405.63171680004</x:v>
      </x:c>
      <x:c r="AK53" s="1304" t="n">
        <x:f>AJ53+AK52</x:f>
        <x:v>505405.63171680004</x:v>
      </x:c>
      <x:c r="AL53" s="1304" t="n">
        <x:f>AK53+AL52</x:f>
        <x:v>505405.63171680004</x:v>
      </x:c>
      <x:c r="AM53" s="1305" t="n">
        <x:f>AL53+AM52</x:f>
        <x:v>505405.63171680004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2.13999938964844" hidden="0" customWidth="1"/>
    <x:col min="2" max="2" width="12.140000343322754" hidden="0" customWidth="1"/>
    <x:col min="3" max="3" width="30.709999084472656" hidden="0" customWidth="1"/>
    <x:col min="4" max="4" width="10.710000038146973" hidden="0" customWidth="1"/>
    <x:col min="5" max="5" width="10.710000038146973" hidden="0" customWidth="1"/>
    <x:col min="6" max="6" width="10.710000038146973" hidden="0" customWidth="1"/>
    <x:col min="7" max="7" width="10.710000038146973" hidden="0" customWidth="1"/>
    <x:col min="8" max="8" width="10.710000038146973" hidden="0" customWidth="1"/>
    <x:col min="9" max="9" width="10.710000038146973" hidden="0" customWidth="1"/>
    <x:col min="10" max="10" width="10.710000038146973" hidden="0" customWidth="1"/>
    <x:col min="11" max="11" width="10.710000038146973" hidden="0" customWidth="1"/>
    <x:col min="12" max="12" width="10.710000038146973" hidden="0" customWidth="1"/>
    <x:col min="13" max="13" width="10.710000038146973" hidden="0" customWidth="1"/>
    <x:col min="14" max="14" width="10.710000038146973" hidden="0" customWidth="1"/>
    <x:col min="15" max="15" width="10.710000038146973" hidden="0" customWidth="1"/>
    <x:col min="16" max="16" width="10.710000038146973" hidden="0" customWidth="1"/>
    <x:col min="17" max="17" width="10.710000038146973" hidden="0" customWidth="1"/>
    <x:col min="18" max="18" width="10.710000038146973" hidden="0" customWidth="1"/>
    <x:col min="19" max="19" width="10.710000038146973" hidden="0" customWidth="1"/>
    <x:col min="20" max="20" width="10.710000038146973" hidden="0" customWidth="1"/>
    <x:col min="21" max="21" width="10.710000038146973" hidden="0" customWidth="1"/>
    <x:col min="22" max="22" width="10.710000038146973" hidden="0" customWidth="1"/>
    <x:col min="23" max="23" width="10.710000038146973" hidden="0" customWidth="1"/>
    <x:col min="24" max="24" width="10.710000038146973" hidden="0" customWidth="1"/>
    <x:col min="25" max="25" width="10.710000038146973" hidden="0" customWidth="1"/>
    <x:col min="26" max="26" width="10.710000038146973" hidden="0" customWidth="1"/>
    <x:col min="27" max="27" width="10.710000038146973" hidden="0" customWidth="1"/>
    <x:col min="28" max="28" width="10.710000038146973" hidden="0" customWidth="1"/>
    <x:col min="29" max="29" width="10.710000038146973" hidden="0" customWidth="1"/>
    <x:col min="30" max="30" width="10.710000038146973" hidden="0" customWidth="1"/>
    <x:col min="31" max="31" width="10.710000038146973" hidden="0" customWidth="1"/>
    <x:col min="32" max="32" width="10.710000038146973" hidden="0" customWidth="1"/>
    <x:col min="33" max="33" width="10.710000038146973" hidden="0" customWidth="1"/>
    <x:col min="34" max="34" width="10.710000038146973" hidden="0" customWidth="1"/>
    <x:col min="35" max="35" width="10.710000038146973" hidden="0" customWidth="1"/>
    <x:col min="36" max="36" width="10.710000038146973" hidden="0" customWidth="1"/>
    <x:col min="37" max="37" width="10.710000038146973" hidden="0" customWidth="1"/>
    <x:col min="38" max="38" width="10.710000038146973" hidden="0" customWidth="1"/>
    <x:col min="39" max="39" width="10.710000038146973" hidden="0" customWidth="1"/>
  </x:cols>
  <x:sheetData>
    <x:row r="1">
      <x:c r="A1" s="128" t="str">
        <x:v>Funding_36M | Conservative base-case funding need (BTC revenue only)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  <x:c r="Y1" s="128"/>
      <x:c r="Z1" s="128"/>
      <x:c r="AA1" s="128"/>
      <x:c r="AB1" s="128"/>
      <x:c r="AC1" s="128"/>
      <x:c r="AD1" s="128"/>
      <x:c r="AE1" s="128"/>
      <x:c r="AF1" s="128"/>
      <x:c r="AG1" s="128"/>
      <x:c r="AH1" s="128"/>
      <x:c r="AI1" s="128"/>
      <x:c r="AJ1" s="128"/>
      <x:c r="AK1" s="128"/>
      <x:c r="AL1" s="128"/>
      <x:c r="AM1" s="128"/>
    </x:row>
    <x:row r="2">
      <x:c r="A2" s="133" t="str">
        <x:v>Default funding mix is 100% equity. Switch the debt share in Inputs if you want a hybrid capital structure.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  <x:c r="P2" s="133"/>
      <x:c r="Q2" s="133"/>
      <x:c r="R2" s="133"/>
      <x:c r="S2" s="133"/>
      <x:c r="T2" s="133"/>
      <x:c r="U2" s="133"/>
      <x:c r="V2" s="133"/>
      <x:c r="W2" s="133"/>
      <x:c r="X2" s="133"/>
      <x:c r="Y2" s="133"/>
      <x:c r="Z2" s="133"/>
      <x:c r="AA2" s="133"/>
      <x:c r="AB2" s="133"/>
      <x:c r="AC2" s="133"/>
      <x:c r="AD2" s="133"/>
      <x:c r="AE2" s="133"/>
      <x:c r="AF2" s="133"/>
      <x:c r="AG2" s="133"/>
      <x:c r="AH2" s="133"/>
      <x:c r="AI2" s="133"/>
      <x:c r="AJ2" s="133"/>
      <x:c r="AK2" s="133"/>
      <x:c r="AL2" s="133"/>
      <x:c r="AM2" s="133"/>
    </x:row>
    <x:row r="4">
      <x:c r="A4" s="140" t="str">
        <x:v>Metric</x:v>
      </x:c>
      <x:c r="B4" s="141" t="str">
        <x:v>Unit</x:v>
      </x:c>
      <x:c r="C4" s="142" t="str">
        <x:v>Notes</x:v>
      </x:c>
    </x:row>
    <x:row r="5">
      <x:c r="A5" s="143" t="str">
        <x:v>Date</x:v>
      </x:c>
      <x:c r="B5" s="136" t="str">
        <x:v>date</x:v>
      </x:c>
      <x:c r="C5" s="144" t="str">
        <x:v>Linked from deployment</x:v>
      </x:c>
      <x:c r="D5" s="1249" t="n">
        <x:f>Deployment_36M!D5</x:f>
        <x:v>46204</x:v>
      </x:c>
      <x:c r="E5" s="1250" t="n">
        <x:f>Deployment_36M!E5</x:f>
        <x:v>46235</x:v>
      </x:c>
      <x:c r="F5" s="1250" t="n">
        <x:f>Deployment_36M!F5</x:f>
        <x:v>46266</x:v>
      </x:c>
      <x:c r="G5" s="1250" t="n">
        <x:f>Deployment_36M!G5</x:f>
        <x:v>46296</x:v>
      </x:c>
      <x:c r="H5" s="1250" t="n">
        <x:f>Deployment_36M!H5</x:f>
        <x:v>46327</x:v>
      </x:c>
      <x:c r="I5" s="1250" t="n">
        <x:f>Deployment_36M!I5</x:f>
        <x:v>46357</x:v>
      </x:c>
      <x:c r="J5" s="1250" t="n">
        <x:f>Deployment_36M!J5</x:f>
        <x:v>46388</x:v>
      </x:c>
      <x:c r="K5" s="1250" t="n">
        <x:f>Deployment_36M!K5</x:f>
        <x:v>46419</x:v>
      </x:c>
      <x:c r="L5" s="1250" t="n">
        <x:f>Deployment_36M!L5</x:f>
        <x:v>46447</x:v>
      </x:c>
      <x:c r="M5" s="1250" t="n">
        <x:f>Deployment_36M!M5</x:f>
        <x:v>46478</x:v>
      </x:c>
      <x:c r="N5" s="1250" t="n">
        <x:f>Deployment_36M!N5</x:f>
        <x:v>46508</x:v>
      </x:c>
      <x:c r="O5" s="1250" t="n">
        <x:f>Deployment_36M!O5</x:f>
        <x:v>46539</x:v>
      </x:c>
      <x:c r="P5" s="1250" t="n">
        <x:f>Deployment_36M!P5</x:f>
        <x:v>46569</x:v>
      </x:c>
      <x:c r="Q5" s="1250" t="n">
        <x:f>Deployment_36M!Q5</x:f>
        <x:v>46600</x:v>
      </x:c>
      <x:c r="R5" s="1250" t="n">
        <x:f>Deployment_36M!R5</x:f>
        <x:v>46631</x:v>
      </x:c>
      <x:c r="S5" s="1250" t="n">
        <x:f>Deployment_36M!S5</x:f>
        <x:v>46661</x:v>
      </x:c>
      <x:c r="T5" s="1250" t="n">
        <x:f>Deployment_36M!T5</x:f>
        <x:v>46692</x:v>
      </x:c>
      <x:c r="U5" s="1250" t="n">
        <x:f>Deployment_36M!U5</x:f>
        <x:v>46722</x:v>
      </x:c>
      <x:c r="V5" s="1250" t="n">
        <x:f>Deployment_36M!V5</x:f>
        <x:v>46753</x:v>
      </x:c>
      <x:c r="W5" s="1250" t="n">
        <x:f>Deployment_36M!W5</x:f>
        <x:v>46784</x:v>
      </x:c>
      <x:c r="X5" s="1250" t="n">
        <x:f>Deployment_36M!X5</x:f>
        <x:v>46813</x:v>
      </x:c>
      <x:c r="Y5" s="1250" t="n">
        <x:f>Deployment_36M!Y5</x:f>
        <x:v>46844</x:v>
      </x:c>
      <x:c r="Z5" s="1250" t="n">
        <x:f>Deployment_36M!Z5</x:f>
        <x:v>46874</x:v>
      </x:c>
      <x:c r="AA5" s="1250" t="n">
        <x:f>Deployment_36M!AA5</x:f>
        <x:v>46905</x:v>
      </x:c>
      <x:c r="AB5" s="1250" t="n">
        <x:f>Deployment_36M!AB5</x:f>
        <x:v>46935</x:v>
      </x:c>
      <x:c r="AC5" s="1250" t="n">
        <x:f>Deployment_36M!AC5</x:f>
        <x:v>46966</x:v>
      </x:c>
      <x:c r="AD5" s="1250" t="n">
        <x:f>Deployment_36M!AD5</x:f>
        <x:v>46997</x:v>
      </x:c>
      <x:c r="AE5" s="1250" t="n">
        <x:f>Deployment_36M!AE5</x:f>
        <x:v>47027</x:v>
      </x:c>
      <x:c r="AF5" s="1250" t="n">
        <x:f>Deployment_36M!AF5</x:f>
        <x:v>47058</x:v>
      </x:c>
      <x:c r="AG5" s="1250" t="n">
        <x:f>Deployment_36M!AG5</x:f>
        <x:v>47088</x:v>
      </x:c>
      <x:c r="AH5" s="1250" t="n">
        <x:f>Deployment_36M!AH5</x:f>
        <x:v>47119</x:v>
      </x:c>
      <x:c r="AI5" s="1250" t="n">
        <x:f>Deployment_36M!AI5</x:f>
        <x:v>47150</x:v>
      </x:c>
      <x:c r="AJ5" s="1250" t="n">
        <x:f>Deployment_36M!AJ5</x:f>
        <x:v>47178</x:v>
      </x:c>
      <x:c r="AK5" s="1250" t="n">
        <x:f>Deployment_36M!AK5</x:f>
        <x:v>47209</x:v>
      </x:c>
      <x:c r="AL5" s="1250" t="n">
        <x:f>Deployment_36M!AL5</x:f>
        <x:v>47239</x:v>
      </x:c>
      <x:c r="AM5" s="1251" t="n">
        <x:f>Deployment_36M!AM5</x:f>
        <x:v>47270</x:v>
      </x:c>
    </x:row>
    <x:row r="6">
      <x:c r="A6" s="143" t="str">
        <x:v>Days in month</x:v>
      </x:c>
      <x:c r="B6" s="136" t="str">
        <x:v>days</x:v>
      </x:c>
      <x:c r="C6" s="144" t="str">
        <x:v>Linked from deployment</x:v>
      </x:c>
      <x:c r="D6" s="1252" t="n">
        <x:f>Deployment_36M!D6</x:f>
        <x:v>31</x:v>
      </x:c>
      <x:c r="E6" s="1253" t="n">
        <x:f>Deployment_36M!E6</x:f>
        <x:v>31</x:v>
      </x:c>
      <x:c r="F6" s="1253" t="n">
        <x:f>Deployment_36M!F6</x:f>
        <x:v>30</x:v>
      </x:c>
      <x:c r="G6" s="1253" t="n">
        <x:f>Deployment_36M!G6</x:f>
        <x:v>31</x:v>
      </x:c>
      <x:c r="H6" s="1253" t="n">
        <x:f>Deployment_36M!H6</x:f>
        <x:v>30</x:v>
      </x:c>
      <x:c r="I6" s="1253" t="n">
        <x:f>Deployment_36M!I6</x:f>
        <x:v>31</x:v>
      </x:c>
      <x:c r="J6" s="1253" t="n">
        <x:f>Deployment_36M!J6</x:f>
        <x:v>31</x:v>
      </x:c>
      <x:c r="K6" s="1253" t="n">
        <x:f>Deployment_36M!K6</x:f>
        <x:v>28</x:v>
      </x:c>
      <x:c r="L6" s="1253" t="n">
        <x:f>Deployment_36M!L6</x:f>
        <x:v>31</x:v>
      </x:c>
      <x:c r="M6" s="1253" t="n">
        <x:f>Deployment_36M!M6</x:f>
        <x:v>30</x:v>
      </x:c>
      <x:c r="N6" s="1253" t="n">
        <x:f>Deployment_36M!N6</x:f>
        <x:v>31</x:v>
      </x:c>
      <x:c r="O6" s="1253" t="n">
        <x:f>Deployment_36M!O6</x:f>
        <x:v>30</x:v>
      </x:c>
      <x:c r="P6" s="1253" t="n">
        <x:f>Deployment_36M!P6</x:f>
        <x:v>31</x:v>
      </x:c>
      <x:c r="Q6" s="1253" t="n">
        <x:f>Deployment_36M!Q6</x:f>
        <x:v>31</x:v>
      </x:c>
      <x:c r="R6" s="1253" t="n">
        <x:f>Deployment_36M!R6</x:f>
        <x:v>30</x:v>
      </x:c>
      <x:c r="S6" s="1253" t="n">
        <x:f>Deployment_36M!S6</x:f>
        <x:v>31</x:v>
      </x:c>
      <x:c r="T6" s="1253" t="n">
        <x:f>Deployment_36M!T6</x:f>
        <x:v>30</x:v>
      </x:c>
      <x:c r="U6" s="1253" t="n">
        <x:f>Deployment_36M!U6</x:f>
        <x:v>31</x:v>
      </x:c>
      <x:c r="V6" s="1253" t="n">
        <x:f>Deployment_36M!V6</x:f>
        <x:v>31</x:v>
      </x:c>
      <x:c r="W6" s="1253" t="n">
        <x:f>Deployment_36M!W6</x:f>
        <x:v>29</x:v>
      </x:c>
      <x:c r="X6" s="1253" t="n">
        <x:f>Deployment_36M!X6</x:f>
        <x:v>31</x:v>
      </x:c>
      <x:c r="Y6" s="1253" t="n">
        <x:f>Deployment_36M!Y6</x:f>
        <x:v>30</x:v>
      </x:c>
      <x:c r="Z6" s="1253" t="n">
        <x:f>Deployment_36M!Z6</x:f>
        <x:v>31</x:v>
      </x:c>
      <x:c r="AA6" s="1253" t="n">
        <x:f>Deployment_36M!AA6</x:f>
        <x:v>30</x:v>
      </x:c>
      <x:c r="AB6" s="1253" t="n">
        <x:f>Deployment_36M!AB6</x:f>
        <x:v>31</x:v>
      </x:c>
      <x:c r="AC6" s="1253" t="n">
        <x:f>Deployment_36M!AC6</x:f>
        <x:v>31</x:v>
      </x:c>
      <x:c r="AD6" s="1253" t="n">
        <x:f>Deployment_36M!AD6</x:f>
        <x:v>30</x:v>
      </x:c>
      <x:c r="AE6" s="1253" t="n">
        <x:f>Deployment_36M!AE6</x:f>
        <x:v>31</x:v>
      </x:c>
      <x:c r="AF6" s="1253" t="n">
        <x:f>Deployment_36M!AF6</x:f>
        <x:v>30</x:v>
      </x:c>
      <x:c r="AG6" s="1253" t="n">
        <x:f>Deployment_36M!AG6</x:f>
        <x:v>31</x:v>
      </x:c>
      <x:c r="AH6" s="1253" t="n">
        <x:f>Deployment_36M!AH6</x:f>
        <x:v>31</x:v>
      </x:c>
      <x:c r="AI6" s="1253" t="n">
        <x:f>Deployment_36M!AI6</x:f>
        <x:v>28</x:v>
      </x:c>
      <x:c r="AJ6" s="1253" t="n">
        <x:f>Deployment_36M!AJ6</x:f>
        <x:v>31</x:v>
      </x:c>
      <x:c r="AK6" s="1253" t="n">
        <x:f>Deployment_36M!AK6</x:f>
        <x:v>30</x:v>
      </x:c>
      <x:c r="AL6" s="1253" t="n">
        <x:f>Deployment_36M!AL6</x:f>
        <x:v>31</x:v>
      </x:c>
      <x:c r="AM6" s="1254" t="n">
        <x:f>Deployment_36M!AM6</x:f>
        <x:v>30</x:v>
      </x:c>
    </x:row>
    <x:row r="7">
      <x:c r="A7" s="147"/>
      <x:c r="B7" s="148"/>
      <x:c r="C7" s="149"/>
      <x:c r="D7" s="1165"/>
      <x:c r="E7" s="1166"/>
      <x:c r="F7" s="1166"/>
      <x:c r="G7" s="1166"/>
      <x:c r="H7" s="1166"/>
      <x:c r="I7" s="1166"/>
      <x:c r="J7" s="1166"/>
      <x:c r="K7" s="1166"/>
      <x:c r="L7" s="1166"/>
      <x:c r="M7" s="1166"/>
      <x:c r="N7" s="1166"/>
      <x:c r="O7" s="1166"/>
      <x:c r="P7" s="1166"/>
      <x:c r="Q7" s="1166"/>
      <x:c r="R7" s="1166"/>
      <x:c r="S7" s="1166"/>
      <x:c r="T7" s="1166"/>
      <x:c r="U7" s="1166"/>
      <x:c r="V7" s="1166"/>
      <x:c r="W7" s="1166"/>
      <x:c r="X7" s="1166"/>
      <x:c r="Y7" s="1166"/>
      <x:c r="Z7" s="1166"/>
      <x:c r="AA7" s="1166"/>
      <x:c r="AB7" s="1166"/>
      <x:c r="AC7" s="1166"/>
      <x:c r="AD7" s="1166"/>
      <x:c r="AE7" s="1166"/>
      <x:c r="AF7" s="1166"/>
      <x:c r="AG7" s="1166"/>
      <x:c r="AH7" s="1166"/>
      <x:c r="AI7" s="1166"/>
      <x:c r="AJ7" s="1166"/>
      <x:c r="AK7" s="1166"/>
      <x:c r="AL7" s="1166"/>
      <x:c r="AM7" s="1167"/>
    </x:row>
    <x:row r="8">
      <x:c r="A8" s="147" t="str">
        <x:v>Opening cash before funding</x:v>
      </x:c>
      <x:c r="B8" s="148" t="str">
        <x:v>ZAR'000</x:v>
      </x:c>
      <x:c r="C8" s="149" t="str">
        <x:v>Starts at zero by default</x:v>
      </x:c>
      <x:c r="D8" s="1285" t="n">
        <x:f>0</x:f>
        <x:v>0</x:v>
      </x:c>
      <x:c r="E8" s="1286" t="n">
        <x:f>D15</x:f>
        <x:v>0</x:v>
      </x:c>
      <x:c r="F8" s="1286" t="n">
        <x:f>E15</x:f>
        <x:v>0</x:v>
      </x:c>
      <x:c r="G8" s="1286" t="n">
        <x:f>F15</x:f>
        <x:v>0</x:v>
      </x:c>
      <x:c r="H8" s="1286" t="n">
        <x:f>G15</x:f>
        <x:v>0</x:v>
      </x:c>
      <x:c r="I8" s="1286" t="n">
        <x:f>H15</x:f>
        <x:v>0</x:v>
      </x:c>
      <x:c r="J8" s="1286" t="n">
        <x:f>I15</x:f>
        <x:v>0</x:v>
      </x:c>
      <x:c r="K8" s="1286" t="n">
        <x:f>J15</x:f>
        <x:v>13432.378082050847</x:v>
      </x:c>
      <x:c r="L8" s="1286" t="n">
        <x:f>K15</x:f>
        <x:v>29503.851399483978</x:v>
      </x:c>
      <x:c r="M8" s="1286" t="n">
        <x:f>L15</x:f>
        <x:v>47610.25643238973</x:v>
      </x:c>
      <x:c r="N8" s="1286" t="n">
        <x:f>M15</x:f>
        <x:v>65187.03266841632</x:v>
      </x:c>
      <x:c r="O8" s="1286" t="n">
        <x:f>N15</x:f>
        <x:v>83528.44156457612</x:v>
      </x:c>
      <x:c r="P8" s="1286" t="n">
        <x:f>O15</x:f>
        <x:v>101333.48490279188</x:v>
      </x:c>
      <x:c r="Q8" s="1286" t="n">
        <x:f>P15</x:f>
        <x:v>120418.35768356842</x:v>
      </x:c>
      <x:c r="R8" s="1286" t="n">
        <x:f>Q15</x:f>
        <x:v>139622.2655342767</x:v>
      </x:c>
      <x:c r="S8" s="1286" t="n">
        <x:f>R15</x:f>
        <x:v>158260.49864009474</x:v>
      </x:c>
      <x:c r="T8" s="1286" t="n">
        <x:f>S15</x:f>
        <x:v>177703.8035529047</x:v>
      </x:c>
      <x:c r="U8" s="1286" t="n">
        <x:f>T15</x:f>
        <x:v>196574.5710216982</x:v>
      </x:c>
      <x:c r="V8" s="1286" t="n">
        <x:f>U15</x:f>
        <x:v>216259.0531864093</x:v>
      </x:c>
      <x:c r="W8" s="1286" t="n">
        <x:f>V15</x:f>
        <x:v>236064.79568120232</x:v>
      </x:c>
      <x:c r="X8" s="1286" t="n">
        <x:f>W15</x:f>
        <x:v>254582.97323433205</x:v>
      </x:c>
      <x:c r="Y8" s="1286" t="n">
        <x:f>X15</x:f>
        <x:v>274632.5881172184</x:v>
      </x:c>
      <x:c r="Z8" s="1286" t="n">
        <x:f>Y15</x:f>
        <x:v>294092.2847124584</x:v>
      </x:c>
      <x:c r="AA8" s="1286" t="n">
        <x:f>Z15</x:f>
        <x:v>314387.58545238303</x:v>
      </x:c>
      <x:c r="AB8" s="1286" t="n">
        <x:f>AA15</x:f>
        <x:v>334085.9249271844</x:v>
      </x:c>
      <x:c r="AC8" s="1286" t="n">
        <x:f>AB15</x:f>
        <x:v>355131.1661032993</x:v>
      </x:c>
      <x:c r="AD8" s="1286" t="n">
        <x:f>AC15</x:f>
        <x:v>376300.8530343428</x:v>
      </x:c>
      <x:c r="AE8" s="1286" t="n">
        <x:f>AD15</x:f>
        <x:v>396843.80591391015</x:v>
      </x:c>
      <x:c r="AF8" s="1286" t="n">
        <x:f>AE15</x:f>
        <x:v>418263.7715916963</x:v>
      </x:c>
      <x:c r="AG8" s="1286" t="n">
        <x:f>AF15</x:f>
        <x:v>439049.8285780107</x:v>
      </x:c>
      <x:c r="AH8" s="1286" t="n">
        <x:f>AG15</x:f>
        <x:v>460721.93411005713</x:v>
      </x:c>
      <x:c r="AI8" s="1286" t="n">
        <x:f>AH15</x:f>
        <x:v>482520.8118053711</x:v>
      </x:c>
      <x:c r="AJ8" s="1286" t="n">
        <x:f>AI15</x:f>
        <x:v>502130.8917959127</x:v>
      </x:c>
      <x:c r="AK8" s="1286" t="n">
        <x:f>AJ15</x:f>
        <x:v>524184.72698786965</x:v>
      </x:c>
      <x:c r="AL8" s="1286" t="n">
        <x:f>AK15</x:f>
        <x:v>545586.4826063782</x:v>
      </x:c>
      <x:c r="AM8" s="1287" t="n">
        <x:f>AL15</x:f>
        <x:v>567897.1711943297</x:v>
      </x:c>
    </x:row>
    <x:row r="9">
      <x:c r="A9" s="147" t="str">
        <x:v>Unlevered cash flow before funding</x:v>
      </x:c>
      <x:c r="B9" s="148" t="str">
        <x:v>ZAR'000</x:v>
      </x:c>
      <x:c r="C9" s="149" t="str">
        <x:v>Base-case revenue - opex - capex</x:v>
      </x:c>
      <x:c r="D9" s="1285" t="n">
        <x:f>Revenue_36M!D20-Opex_36M!D28-Capex_36M!D52</x:f>
        <x:v>-45956.336565105</x:v>
      </x:c>
      <x:c r="E9" s="1286" t="n">
        <x:f>Revenue_36M!E20-Opex_36M!E28-Capex_36M!E52</x:f>
        <x:v>-64821.8447989</x:v>
      </x:c>
      <x:c r="F9" s="1286" t="n">
        <x:f>Revenue_36M!F20-Opex_36M!F28-Capex_36M!F52</x:f>
        <x:v>-116872.39988994895</x:v>
      </x:c>
      <x:c r="G9" s="1286" t="n">
        <x:f>Revenue_36M!G20-Opex_36M!G28-Capex_36M!G52</x:f>
        <x:v>-114536.19490869239</x:v>
      </x:c>
      <x:c r="H9" s="1286" t="n">
        <x:f>Revenue_36M!H20-Opex_36M!H28-Capex_36M!H52</x:f>
        <x:v>-90423.49006841447</x:v>
      </x:c>
      <x:c r="I9" s="1286" t="n">
        <x:f>Revenue_36M!I20-Opex_36M!I28-Capex_36M!I52</x:f>
        <x:v>-38277.98519882928</x:v>
      </x:c>
      <x:c r="J9" s="1286" t="n">
        <x:f>Revenue_36M!J20-Opex_36M!J28-Capex_36M!J52</x:f>
        <x:v>13432.378082050847</x:v>
      </x:c>
      <x:c r="K9" s="1286" t="n">
        <x:f>Revenue_36M!K20-Opex_36M!K28-Capex_36M!K52</x:f>
        <x:v>16071.47331743313</x:v>
      </x:c>
      <x:c r="L9" s="1286" t="n">
        <x:f>Revenue_36M!L20-Opex_36M!L28-Capex_36M!L52</x:f>
        <x:v>18106.405032905754</x:v>
      </x:c>
      <x:c r="M9" s="1286" t="n">
        <x:f>Revenue_36M!M20-Opex_36M!M28-Capex_36M!M52</x:f>
        <x:v>17576.77623602659</x:v>
      </x:c>
      <x:c r="N9" s="1286" t="n">
        <x:f>Revenue_36M!N20-Opex_36M!N28-Capex_36M!N52</x:f>
        <x:v>18341.40889615979</x:v>
      </x:c>
      <x:c r="O9" s="1286" t="n">
        <x:f>Revenue_36M!O20-Opex_36M!O28-Capex_36M!O52</x:f>
        <x:v>17805.043338215768</x:v>
      </x:c>
      <x:c r="P9" s="1286" t="n">
        <x:f>Revenue_36M!P20-Opex_36M!P28-Capex_36M!P52</x:f>
        <x:v>19084.87278077654</x:v>
      </x:c>
      <x:c r="Q9" s="1286" t="n">
        <x:f>Revenue_36M!Q20-Opex_36M!Q28-Capex_36M!Q52</x:f>
        <x:v>19203.907850708267</x:v>
      </x:c>
      <x:c r="R9" s="1286" t="n">
        <x:f>Revenue_36M!R20-Opex_36M!R28-Capex_36M!R52</x:f>
        <x:v>18638.23310581803</x:v>
      </x:c>
      <x:c r="S9" s="1286" t="n">
        <x:f>Revenue_36M!S20-Opex_36M!S28-Capex_36M!S52</x:f>
        <x:v>19443.304912809952</x:v>
      </x:c>
      <x:c r="T9" s="1286" t="n">
        <x:f>Revenue_36M!T20-Opex_36M!T28-Capex_36M!T52</x:f>
        <x:v>18870.767468793514</x:v>
      </x:c>
      <x:c r="U9" s="1286" t="n">
        <x:f>Revenue_36M!U20-Opex_36M!U28-Capex_36M!U52</x:f>
        <x:v>19684.482164711066</x:v>
      </x:c>
      <x:c r="V9" s="1286" t="n">
        <x:f>Revenue_36M!V20-Opex_36M!V28-Capex_36M!V52</x:f>
        <x:v>19805.742494793034</x:v>
      </x:c>
      <x:c r="W9" s="1286" t="n">
        <x:f>Revenue_36M!W20-Opex_36M!W28-Capex_36M!W52</x:f>
        <x:v>18518.17755312973</x:v>
      </x:c>
      <x:c r="X9" s="1286" t="n">
        <x:f>Revenue_36M!X20-Opex_36M!X28-Capex_36M!X52</x:f>
        <x:v>20049.614882886344</x:v>
      </x:c>
      <x:c r="Y9" s="1286" t="n">
        <x:f>Revenue_36M!Y20-Opex_36M!Y28-Capex_36M!Y52</x:f>
        <x:v>19459.69659523996</x:v>
      </x:c>
      <x:c r="Z9" s="1286" t="n">
        <x:f>Revenue_36M!Z20-Opex_36M!Z28-Capex_36M!Z52</x:f>
        <x:v>20295.300739924664</x:v>
      </x:c>
      <x:c r="AA9" s="1286" t="n">
        <x:f>Revenue_36M!AA20-Opex_36M!AA28-Capex_36M!AA52</x:f>
        <x:v>19698.33947480136</x:v>
      </x:c>
      <x:c r="AB9" s="1286" t="n">
        <x:f>Revenue_36M!AB20-Opex_36M!AB28-Capex_36M!AB52</x:f>
        <x:v>21045.241176114883</x:v>
      </x:c>
      <x:c r="AC9" s="1286" t="n">
        <x:f>Revenue_36M!AC20-Opex_36M!AC28-Capex_36M!AC52</x:f>
        <x:v>21169.686931043514</x:v>
      </x:c>
      <x:c r="AD9" s="1286" t="n">
        <x:f>Revenue_36M!AD20-Opex_36M!AD28-Capex_36M!AD52</x:f>
        <x:v>20542.95287956737</x:v>
      </x:c>
      <x:c r="AE9" s="1286" t="n">
        <x:f>Revenue_36M!AE20-Opex_36M!AE28-Capex_36M!AE52</x:f>
        <x:v>21419.965677786182</x:v>
      </x:c>
      <x:c r="AF9" s="1286" t="n">
        <x:f>Revenue_36M!AF20-Opex_36M!AF28-Capex_36M!AF52</x:f>
        <x:v>20786.05698631444</x:v>
      </x:c>
      <x:c r="AG9" s="1286" t="n">
        <x:f>Revenue_36M!AG20-Opex_36M!AG28-Capex_36M!AG52</x:f>
        <x:v>21672.10553204643</x:v>
      </x:c>
      <x:c r="AH9" s="1286" t="n">
        <x:f>Revenue_36M!AH20-Opex_36M!AH28-Capex_36M!AH52</x:f>
        <x:v>21798.877695313953</x:v>
      </x:c>
      <x:c r="AI9" s="1286" t="n">
        <x:f>Revenue_36M!AI20-Opex_36M!AI28-Capex_36M!AI52</x:f>
        <x:v>19610.079990541628</x:v>
      </x:c>
      <x:c r="AJ9" s="1286" t="n">
        <x:f>Revenue_36M!AJ20-Opex_36M!AJ28-Capex_36M!AJ52</x:f>
        <x:v>22053.835191956947</x:v>
      </x:c>
      <x:c r="AK9" s="1286" t="n">
        <x:f>Revenue_36M!AK20-Opex_36M!AK28-Capex_36M!AK52</x:f>
        <x:v>21401.755618508447</x:v>
      </x:c>
      <x:c r="AL9" s="1286" t="n">
        <x:f>Revenue_36M!AL20-Opex_36M!AL28-Capex_36M!AL52</x:f>
        <x:v>22310.68858795156</x:v>
      </x:c>
      <x:c r="AM9" s="1287" t="n">
        <x:f>Revenue_36M!AM20-Opex_36M!AM28-Capex_36M!AM52</x:f>
        <x:v>21651.245901686285</x:v>
      </x:c>
    </x:row>
    <x:row r="10">
      <x:c r="A10" s="243" t="str">
        <x:v>Required net external funding</x:v>
      </x:c>
      <x:c r="B10" s="244" t="str">
        <x:v>ZAR'000</x:v>
      </x:c>
      <x:c r="C10" s="245" t="str">
        <x:v>Funding need after opening cash and base-case burn</x:v>
      </x:c>
      <x:c r="D10" s="1297" t="n">
        <x:f>MAX(Inputs!C99-(D8+D9),0)</x:f>
        <x:v>45956.336565105</x:v>
      </x:c>
      <x:c r="E10" s="1298" t="n">
        <x:f>MAX(Inputs!C99-(E8+E9),0)</x:f>
        <x:v>64821.8447989</x:v>
      </x:c>
      <x:c r="F10" s="1298" t="n">
        <x:f>MAX(Inputs!C99-(F8+F9),0)</x:f>
        <x:v>116872.39988994895</x:v>
      </x:c>
      <x:c r="G10" s="1298" t="n">
        <x:f>MAX(Inputs!C99-(G8+G9),0)</x:f>
        <x:v>114536.19490869239</x:v>
      </x:c>
      <x:c r="H10" s="1298" t="n">
        <x:f>MAX(Inputs!C99-(H8+H9),0)</x:f>
        <x:v>90423.49006841447</x:v>
      </x:c>
      <x:c r="I10" s="1298" t="n">
        <x:f>MAX(Inputs!C99-(I8+I9),0)</x:f>
        <x:v>38277.98519882928</x:v>
      </x:c>
      <x:c r="J10" s="1298" t="n">
        <x:f>MAX(Inputs!C99-(J8+J9),0)</x:f>
        <x:v>0</x:v>
      </x:c>
      <x:c r="K10" s="1298" t="n">
        <x:f>MAX(Inputs!C99-(K8+K9),0)</x:f>
        <x:v>0</x:v>
      </x:c>
      <x:c r="L10" s="1298" t="n">
        <x:f>MAX(Inputs!C99-(L8+L9),0)</x:f>
        <x:v>0</x:v>
      </x:c>
      <x:c r="M10" s="1298" t="n">
        <x:f>MAX(Inputs!C99-(M8+M9),0)</x:f>
        <x:v>0</x:v>
      </x:c>
      <x:c r="N10" s="1298" t="n">
        <x:f>MAX(Inputs!C99-(N8+N9),0)</x:f>
        <x:v>0</x:v>
      </x:c>
      <x:c r="O10" s="1298" t="n">
        <x:f>MAX(Inputs!C99-(O8+O9),0)</x:f>
        <x:v>0</x:v>
      </x:c>
      <x:c r="P10" s="1298" t="n">
        <x:f>MAX(Inputs!C99-(P8+P9),0)</x:f>
        <x:v>0</x:v>
      </x:c>
      <x:c r="Q10" s="1298" t="n">
        <x:f>MAX(Inputs!C99-(Q8+Q9),0)</x:f>
        <x:v>0</x:v>
      </x:c>
      <x:c r="R10" s="1298" t="n">
        <x:f>MAX(Inputs!C99-(R8+R9),0)</x:f>
        <x:v>0</x:v>
      </x:c>
      <x:c r="S10" s="1298" t="n">
        <x:f>MAX(Inputs!C99-(S8+S9),0)</x:f>
        <x:v>0</x:v>
      </x:c>
      <x:c r="T10" s="1298" t="n">
        <x:f>MAX(Inputs!C99-(T8+T9),0)</x:f>
        <x:v>0</x:v>
      </x:c>
      <x:c r="U10" s="1298" t="n">
        <x:f>MAX(Inputs!C99-(U8+U9),0)</x:f>
        <x:v>0</x:v>
      </x:c>
      <x:c r="V10" s="1298" t="n">
        <x:f>MAX(Inputs!C99-(V8+V9),0)</x:f>
        <x:v>0</x:v>
      </x:c>
      <x:c r="W10" s="1298" t="n">
        <x:f>MAX(Inputs!C99-(W8+W9),0)</x:f>
        <x:v>0</x:v>
      </x:c>
      <x:c r="X10" s="1298" t="n">
        <x:f>MAX(Inputs!C99-(X8+X9),0)</x:f>
        <x:v>0</x:v>
      </x:c>
      <x:c r="Y10" s="1298" t="n">
        <x:f>MAX(Inputs!C99-(Y8+Y9),0)</x:f>
        <x:v>0</x:v>
      </x:c>
      <x:c r="Z10" s="1298" t="n">
        <x:f>MAX(Inputs!C99-(Z8+Z9),0)</x:f>
        <x:v>0</x:v>
      </x:c>
      <x:c r="AA10" s="1298" t="n">
        <x:f>MAX(Inputs!C99-(AA8+AA9),0)</x:f>
        <x:v>0</x:v>
      </x:c>
      <x:c r="AB10" s="1298" t="n">
        <x:f>MAX(Inputs!C99-(AB8+AB9),0)</x:f>
        <x:v>0</x:v>
      </x:c>
      <x:c r="AC10" s="1298" t="n">
        <x:f>MAX(Inputs!C99-(AC8+AC9),0)</x:f>
        <x:v>0</x:v>
      </x:c>
      <x:c r="AD10" s="1298" t="n">
        <x:f>MAX(Inputs!C99-(AD8+AD9),0)</x:f>
        <x:v>0</x:v>
      </x:c>
      <x:c r="AE10" s="1298" t="n">
        <x:f>MAX(Inputs!C99-(AE8+AE9),0)</x:f>
        <x:v>0</x:v>
      </x:c>
      <x:c r="AF10" s="1298" t="n">
        <x:f>MAX(Inputs!C99-(AF8+AF9),0)</x:f>
        <x:v>0</x:v>
      </x:c>
      <x:c r="AG10" s="1298" t="n">
        <x:f>MAX(Inputs!C99-(AG8+AG9),0)</x:f>
        <x:v>0</x:v>
      </x:c>
      <x:c r="AH10" s="1298" t="n">
        <x:f>MAX(Inputs!C99-(AH8+AH9),0)</x:f>
        <x:v>0</x:v>
      </x:c>
      <x:c r="AI10" s="1298" t="n">
        <x:f>MAX(Inputs!C99-(AI8+AI9),0)</x:f>
        <x:v>0</x:v>
      </x:c>
      <x:c r="AJ10" s="1298" t="n">
        <x:f>MAX(Inputs!C99-(AJ8+AJ9),0)</x:f>
        <x:v>0</x:v>
      </x:c>
      <x:c r="AK10" s="1298" t="n">
        <x:f>MAX(Inputs!C99-(AK8+AK9),0)</x:f>
        <x:v>0</x:v>
      </x:c>
      <x:c r="AL10" s="1298" t="n">
        <x:f>MAX(Inputs!C99-(AL8+AL9),0)</x:f>
        <x:v>0</x:v>
      </x:c>
      <x:c r="AM10" s="1299" t="n">
        <x:f>MAX(Inputs!C99-(AM8+AM9),0)</x:f>
        <x:v>0</x:v>
      </x:c>
    </x:row>
    <x:row r="11">
      <x:c r="A11" s="147" t="str">
        <x:v>Equity draw</x:v>
      </x:c>
      <x:c r="B11" s="148" t="str">
        <x:v>ZAR'000</x:v>
      </x:c>
      <x:c r="C11" s="149" t="str">
        <x:v>Required funding x equity share</x:v>
      </x:c>
      <x:c r="D11" s="1285" t="n">
        <x:f>D10*Inputs!C93</x:f>
        <x:v>45956.336565105</x:v>
      </x:c>
      <x:c r="E11" s="1286" t="n">
        <x:f>E10*Inputs!C93</x:f>
        <x:v>64821.8447989</x:v>
      </x:c>
      <x:c r="F11" s="1286" t="n">
        <x:f>F10*Inputs!C93</x:f>
        <x:v>116872.39988994895</x:v>
      </x:c>
      <x:c r="G11" s="1286" t="n">
        <x:f>G10*Inputs!C93</x:f>
        <x:v>114536.19490869239</x:v>
      </x:c>
      <x:c r="H11" s="1286" t="n">
        <x:f>H10*Inputs!C93</x:f>
        <x:v>90423.49006841447</x:v>
      </x:c>
      <x:c r="I11" s="1286" t="n">
        <x:f>I10*Inputs!C93</x:f>
        <x:v>38277.98519882928</x:v>
      </x:c>
      <x:c r="J11" s="1286" t="n">
        <x:f>J10*Inputs!C93</x:f>
        <x:v>0</x:v>
      </x:c>
      <x:c r="K11" s="1286" t="n">
        <x:f>K10*Inputs!C93</x:f>
        <x:v>0</x:v>
      </x:c>
      <x:c r="L11" s="1286" t="n">
        <x:f>L10*Inputs!C93</x:f>
        <x:v>0</x:v>
      </x:c>
      <x:c r="M11" s="1286" t="n">
        <x:f>M10*Inputs!C93</x:f>
        <x:v>0</x:v>
      </x:c>
      <x:c r="N11" s="1286" t="n">
        <x:f>N10*Inputs!C93</x:f>
        <x:v>0</x:v>
      </x:c>
      <x:c r="O11" s="1286" t="n">
        <x:f>O10*Inputs!C93</x:f>
        <x:v>0</x:v>
      </x:c>
      <x:c r="P11" s="1286" t="n">
        <x:f>P10*Inputs!C93</x:f>
        <x:v>0</x:v>
      </x:c>
      <x:c r="Q11" s="1286" t="n">
        <x:f>Q10*Inputs!C93</x:f>
        <x:v>0</x:v>
      </x:c>
      <x:c r="R11" s="1286" t="n">
        <x:f>R10*Inputs!C93</x:f>
        <x:v>0</x:v>
      </x:c>
      <x:c r="S11" s="1286" t="n">
        <x:f>S10*Inputs!C93</x:f>
        <x:v>0</x:v>
      </x:c>
      <x:c r="T11" s="1286" t="n">
        <x:f>T10*Inputs!C93</x:f>
        <x:v>0</x:v>
      </x:c>
      <x:c r="U11" s="1286" t="n">
        <x:f>U10*Inputs!C93</x:f>
        <x:v>0</x:v>
      </x:c>
      <x:c r="V11" s="1286" t="n">
        <x:f>V10*Inputs!C93</x:f>
        <x:v>0</x:v>
      </x:c>
      <x:c r="W11" s="1286" t="n">
        <x:f>W10*Inputs!C93</x:f>
        <x:v>0</x:v>
      </x:c>
      <x:c r="X11" s="1286" t="n">
        <x:f>X10*Inputs!C93</x:f>
        <x:v>0</x:v>
      </x:c>
      <x:c r="Y11" s="1286" t="n">
        <x:f>Y10*Inputs!C93</x:f>
        <x:v>0</x:v>
      </x:c>
      <x:c r="Z11" s="1286" t="n">
        <x:f>Z10*Inputs!C93</x:f>
        <x:v>0</x:v>
      </x:c>
      <x:c r="AA11" s="1286" t="n">
        <x:f>AA10*Inputs!C93</x:f>
        <x:v>0</x:v>
      </x:c>
      <x:c r="AB11" s="1286" t="n">
        <x:f>AB10*Inputs!C93</x:f>
        <x:v>0</x:v>
      </x:c>
      <x:c r="AC11" s="1286" t="n">
        <x:f>AC10*Inputs!C93</x:f>
        <x:v>0</x:v>
      </x:c>
      <x:c r="AD11" s="1286" t="n">
        <x:f>AD10*Inputs!C93</x:f>
        <x:v>0</x:v>
      </x:c>
      <x:c r="AE11" s="1286" t="n">
        <x:f>AE10*Inputs!C93</x:f>
        <x:v>0</x:v>
      </x:c>
      <x:c r="AF11" s="1286" t="n">
        <x:f>AF10*Inputs!C93</x:f>
        <x:v>0</x:v>
      </x:c>
      <x:c r="AG11" s="1286" t="n">
        <x:f>AG10*Inputs!C93</x:f>
        <x:v>0</x:v>
      </x:c>
      <x:c r="AH11" s="1286" t="n">
        <x:f>AH10*Inputs!C93</x:f>
        <x:v>0</x:v>
      </x:c>
      <x:c r="AI11" s="1286" t="n">
        <x:f>AI10*Inputs!C93</x:f>
        <x:v>0</x:v>
      </x:c>
      <x:c r="AJ11" s="1286" t="n">
        <x:f>AJ10*Inputs!C93</x:f>
        <x:v>0</x:v>
      </x:c>
      <x:c r="AK11" s="1286" t="n">
        <x:f>AK10*Inputs!C93</x:f>
        <x:v>0</x:v>
      </x:c>
      <x:c r="AL11" s="1286" t="n">
        <x:f>AL10*Inputs!C93</x:f>
        <x:v>0</x:v>
      </x:c>
      <x:c r="AM11" s="1287" t="n">
        <x:f>AM10*Inputs!C93</x:f>
        <x:v>0</x:v>
      </x:c>
    </x:row>
    <x:row r="12">
      <x:c r="A12" s="147" t="str">
        <x:v>Senior debt gross draw</x:v>
      </x:c>
      <x:c r="B12" s="148" t="str">
        <x:v>ZAR'000</x:v>
      </x:c>
      <x:c r="C12" s="149" t="str">
        <x:v>Required funding x debt share grossed up for fee</x:v>
      </x:c>
      <x:c r="D12" s="1285" t="n">
        <x:f>IF(Inputs!C94=0,0,(D10*Inputs!C94)/(1-Inputs!C98))</x:f>
        <x:v>0</x:v>
      </x:c>
      <x:c r="E12" s="1286" t="n">
        <x:f>IF(Inputs!C94=0,0,(E10*Inputs!C94)/(1-Inputs!C98))</x:f>
        <x:v>0</x:v>
      </x:c>
      <x:c r="F12" s="1286" t="n">
        <x:f>IF(Inputs!C94=0,0,(F10*Inputs!C94)/(1-Inputs!C98))</x:f>
        <x:v>0</x:v>
      </x:c>
      <x:c r="G12" s="1286" t="n">
        <x:f>IF(Inputs!C94=0,0,(G10*Inputs!C94)/(1-Inputs!C98))</x:f>
        <x:v>0</x:v>
      </x:c>
      <x:c r="H12" s="1286" t="n">
        <x:f>IF(Inputs!C94=0,0,(H10*Inputs!C94)/(1-Inputs!C98))</x:f>
        <x:v>0</x:v>
      </x:c>
      <x:c r="I12" s="1286" t="n">
        <x:f>IF(Inputs!C94=0,0,(I10*Inputs!C94)/(1-Inputs!C98))</x:f>
        <x:v>0</x:v>
      </x:c>
      <x:c r="J12" s="1286" t="n">
        <x:f>IF(Inputs!C94=0,0,(J10*Inputs!C94)/(1-Inputs!C98))</x:f>
        <x:v>0</x:v>
      </x:c>
      <x:c r="K12" s="1286" t="n">
        <x:f>IF(Inputs!C94=0,0,(K10*Inputs!C94)/(1-Inputs!C98))</x:f>
        <x:v>0</x:v>
      </x:c>
      <x:c r="L12" s="1286" t="n">
        <x:f>IF(Inputs!C94=0,0,(L10*Inputs!C94)/(1-Inputs!C98))</x:f>
        <x:v>0</x:v>
      </x:c>
      <x:c r="M12" s="1286" t="n">
        <x:f>IF(Inputs!C94=0,0,(M10*Inputs!C94)/(1-Inputs!C98))</x:f>
        <x:v>0</x:v>
      </x:c>
      <x:c r="N12" s="1286" t="n">
        <x:f>IF(Inputs!C94=0,0,(N10*Inputs!C94)/(1-Inputs!C98))</x:f>
        <x:v>0</x:v>
      </x:c>
      <x:c r="O12" s="1286" t="n">
        <x:f>IF(Inputs!C94=0,0,(O10*Inputs!C94)/(1-Inputs!C98))</x:f>
        <x:v>0</x:v>
      </x:c>
      <x:c r="P12" s="1286" t="n">
        <x:f>IF(Inputs!C94=0,0,(P10*Inputs!C94)/(1-Inputs!C98))</x:f>
        <x:v>0</x:v>
      </x:c>
      <x:c r="Q12" s="1286" t="n">
        <x:f>IF(Inputs!C94=0,0,(Q10*Inputs!C94)/(1-Inputs!C98))</x:f>
        <x:v>0</x:v>
      </x:c>
      <x:c r="R12" s="1286" t="n">
        <x:f>IF(Inputs!C94=0,0,(R10*Inputs!C94)/(1-Inputs!C98))</x:f>
        <x:v>0</x:v>
      </x:c>
      <x:c r="S12" s="1286" t="n">
        <x:f>IF(Inputs!C94=0,0,(S10*Inputs!C94)/(1-Inputs!C98))</x:f>
        <x:v>0</x:v>
      </x:c>
      <x:c r="T12" s="1286" t="n">
        <x:f>IF(Inputs!C94=0,0,(T10*Inputs!C94)/(1-Inputs!C98))</x:f>
        <x:v>0</x:v>
      </x:c>
      <x:c r="U12" s="1286" t="n">
        <x:f>IF(Inputs!C94=0,0,(U10*Inputs!C94)/(1-Inputs!C98))</x:f>
        <x:v>0</x:v>
      </x:c>
      <x:c r="V12" s="1286" t="n">
        <x:f>IF(Inputs!C94=0,0,(V10*Inputs!C94)/(1-Inputs!C98))</x:f>
        <x:v>0</x:v>
      </x:c>
      <x:c r="W12" s="1286" t="n">
        <x:f>IF(Inputs!C94=0,0,(W10*Inputs!C94)/(1-Inputs!C98))</x:f>
        <x:v>0</x:v>
      </x:c>
      <x:c r="X12" s="1286" t="n">
        <x:f>IF(Inputs!C94=0,0,(X10*Inputs!C94)/(1-Inputs!C98))</x:f>
        <x:v>0</x:v>
      </x:c>
      <x:c r="Y12" s="1286" t="n">
        <x:f>IF(Inputs!C94=0,0,(Y10*Inputs!C94)/(1-Inputs!C98))</x:f>
        <x:v>0</x:v>
      </x:c>
      <x:c r="Z12" s="1286" t="n">
        <x:f>IF(Inputs!C94=0,0,(Z10*Inputs!C94)/(1-Inputs!C98))</x:f>
        <x:v>0</x:v>
      </x:c>
      <x:c r="AA12" s="1286" t="n">
        <x:f>IF(Inputs!C94=0,0,(AA10*Inputs!C94)/(1-Inputs!C98))</x:f>
        <x:v>0</x:v>
      </x:c>
      <x:c r="AB12" s="1286" t="n">
        <x:f>IF(Inputs!C94=0,0,(AB10*Inputs!C94)/(1-Inputs!C98))</x:f>
        <x:v>0</x:v>
      </x:c>
      <x:c r="AC12" s="1286" t="n">
        <x:f>IF(Inputs!C94=0,0,(AC10*Inputs!C94)/(1-Inputs!C98))</x:f>
        <x:v>0</x:v>
      </x:c>
      <x:c r="AD12" s="1286" t="n">
        <x:f>IF(Inputs!C94=0,0,(AD10*Inputs!C94)/(1-Inputs!C98))</x:f>
        <x:v>0</x:v>
      </x:c>
      <x:c r="AE12" s="1286" t="n">
        <x:f>IF(Inputs!C94=0,0,(AE10*Inputs!C94)/(1-Inputs!C98))</x:f>
        <x:v>0</x:v>
      </x:c>
      <x:c r="AF12" s="1286" t="n">
        <x:f>IF(Inputs!C94=0,0,(AF10*Inputs!C94)/(1-Inputs!C98))</x:f>
        <x:v>0</x:v>
      </x:c>
      <x:c r="AG12" s="1286" t="n">
        <x:f>IF(Inputs!C94=0,0,(AG10*Inputs!C94)/(1-Inputs!C98))</x:f>
        <x:v>0</x:v>
      </x:c>
      <x:c r="AH12" s="1286" t="n">
        <x:f>IF(Inputs!C94=0,0,(AH10*Inputs!C94)/(1-Inputs!C98))</x:f>
        <x:v>0</x:v>
      </x:c>
      <x:c r="AI12" s="1286" t="n">
        <x:f>IF(Inputs!C94=0,0,(AI10*Inputs!C94)/(1-Inputs!C98))</x:f>
        <x:v>0</x:v>
      </x:c>
      <x:c r="AJ12" s="1286" t="n">
        <x:f>IF(Inputs!C94=0,0,(AJ10*Inputs!C94)/(1-Inputs!C98))</x:f>
        <x:v>0</x:v>
      </x:c>
      <x:c r="AK12" s="1286" t="n">
        <x:f>IF(Inputs!C94=0,0,(AK10*Inputs!C94)/(1-Inputs!C98))</x:f>
        <x:v>0</x:v>
      </x:c>
      <x:c r="AL12" s="1286" t="n">
        <x:f>IF(Inputs!C94=0,0,(AL10*Inputs!C94)/(1-Inputs!C98))</x:f>
        <x:v>0</x:v>
      </x:c>
      <x:c r="AM12" s="1287" t="n">
        <x:f>IF(Inputs!C94=0,0,(AM10*Inputs!C94)/(1-Inputs!C98))</x:f>
        <x:v>0</x:v>
      </x:c>
    </x:row>
    <x:row r="13">
      <x:c r="A13" s="147" t="str">
        <x:v>Arrangement fee</x:v>
      </x:c>
      <x:c r="B13" s="148" t="str">
        <x:v>ZAR'000</x:v>
      </x:c>
      <x:c r="C13" s="149" t="str">
        <x:v>Gross debt draw x fee</x:v>
      </x:c>
      <x:c r="D13" s="1285" t="n">
        <x:f>D12*Inputs!C98</x:f>
        <x:v>0</x:v>
      </x:c>
      <x:c r="E13" s="1286" t="n">
        <x:f>E12*Inputs!C98</x:f>
        <x:v>0</x:v>
      </x:c>
      <x:c r="F13" s="1286" t="n">
        <x:f>F12*Inputs!C98</x:f>
        <x:v>0</x:v>
      </x:c>
      <x:c r="G13" s="1286" t="n">
        <x:f>G12*Inputs!C98</x:f>
        <x:v>0</x:v>
      </x:c>
      <x:c r="H13" s="1286" t="n">
        <x:f>H12*Inputs!C98</x:f>
        <x:v>0</x:v>
      </x:c>
      <x:c r="I13" s="1286" t="n">
        <x:f>I12*Inputs!C98</x:f>
        <x:v>0</x:v>
      </x:c>
      <x:c r="J13" s="1286" t="n">
        <x:f>J12*Inputs!C98</x:f>
        <x:v>0</x:v>
      </x:c>
      <x:c r="K13" s="1286" t="n">
        <x:f>K12*Inputs!C98</x:f>
        <x:v>0</x:v>
      </x:c>
      <x:c r="L13" s="1286" t="n">
        <x:f>L12*Inputs!C98</x:f>
        <x:v>0</x:v>
      </x:c>
      <x:c r="M13" s="1286" t="n">
        <x:f>M12*Inputs!C98</x:f>
        <x:v>0</x:v>
      </x:c>
      <x:c r="N13" s="1286" t="n">
        <x:f>N12*Inputs!C98</x:f>
        <x:v>0</x:v>
      </x:c>
      <x:c r="O13" s="1286" t="n">
        <x:f>O12*Inputs!C98</x:f>
        <x:v>0</x:v>
      </x:c>
      <x:c r="P13" s="1286" t="n">
        <x:f>P12*Inputs!C98</x:f>
        <x:v>0</x:v>
      </x:c>
      <x:c r="Q13" s="1286" t="n">
        <x:f>Q12*Inputs!C98</x:f>
        <x:v>0</x:v>
      </x:c>
      <x:c r="R13" s="1286" t="n">
        <x:f>R12*Inputs!C98</x:f>
        <x:v>0</x:v>
      </x:c>
      <x:c r="S13" s="1286" t="n">
        <x:f>S12*Inputs!C98</x:f>
        <x:v>0</x:v>
      </x:c>
      <x:c r="T13" s="1286" t="n">
        <x:f>T12*Inputs!C98</x:f>
        <x:v>0</x:v>
      </x:c>
      <x:c r="U13" s="1286" t="n">
        <x:f>U12*Inputs!C98</x:f>
        <x:v>0</x:v>
      </x:c>
      <x:c r="V13" s="1286" t="n">
        <x:f>V12*Inputs!C98</x:f>
        <x:v>0</x:v>
      </x:c>
      <x:c r="W13" s="1286" t="n">
        <x:f>W12*Inputs!C98</x:f>
        <x:v>0</x:v>
      </x:c>
      <x:c r="X13" s="1286" t="n">
        <x:f>X12*Inputs!C98</x:f>
        <x:v>0</x:v>
      </x:c>
      <x:c r="Y13" s="1286" t="n">
        <x:f>Y12*Inputs!C98</x:f>
        <x:v>0</x:v>
      </x:c>
      <x:c r="Z13" s="1286" t="n">
        <x:f>Z12*Inputs!C98</x:f>
        <x:v>0</x:v>
      </x:c>
      <x:c r="AA13" s="1286" t="n">
        <x:f>AA12*Inputs!C98</x:f>
        <x:v>0</x:v>
      </x:c>
      <x:c r="AB13" s="1286" t="n">
        <x:f>AB12*Inputs!C98</x:f>
        <x:v>0</x:v>
      </x:c>
      <x:c r="AC13" s="1286" t="n">
        <x:f>AC12*Inputs!C98</x:f>
        <x:v>0</x:v>
      </x:c>
      <x:c r="AD13" s="1286" t="n">
        <x:f>AD12*Inputs!C98</x:f>
        <x:v>0</x:v>
      </x:c>
      <x:c r="AE13" s="1286" t="n">
        <x:f>AE12*Inputs!C98</x:f>
        <x:v>0</x:v>
      </x:c>
      <x:c r="AF13" s="1286" t="n">
        <x:f>AF12*Inputs!C98</x:f>
        <x:v>0</x:v>
      </x:c>
      <x:c r="AG13" s="1286" t="n">
        <x:f>AG12*Inputs!C98</x:f>
        <x:v>0</x:v>
      </x:c>
      <x:c r="AH13" s="1286" t="n">
        <x:f>AH12*Inputs!C98</x:f>
        <x:v>0</x:v>
      </x:c>
      <x:c r="AI13" s="1286" t="n">
        <x:f>AI12*Inputs!C98</x:f>
        <x:v>0</x:v>
      </x:c>
      <x:c r="AJ13" s="1286" t="n">
        <x:f>AJ12*Inputs!C98</x:f>
        <x:v>0</x:v>
      </x:c>
      <x:c r="AK13" s="1286" t="n">
        <x:f>AK12*Inputs!C98</x:f>
        <x:v>0</x:v>
      </x:c>
      <x:c r="AL13" s="1286" t="n">
        <x:f>AL12*Inputs!C98</x:f>
        <x:v>0</x:v>
      </x:c>
      <x:c r="AM13" s="1287" t="n">
        <x:f>AM12*Inputs!C98</x:f>
        <x:v>0</x:v>
      </x:c>
    </x:row>
    <x:row r="14">
      <x:c r="A14" s="243" t="str">
        <x:v>Net external funding input</x:v>
      </x:c>
      <x:c r="B14" s="244" t="str">
        <x:v>ZAR'000</x:v>
      </x:c>
      <x:c r="C14" s="245" t="str">
        <x:v>What actually lands as cash</x:v>
      </x:c>
      <x:c r="D14" s="1297" t="n">
        <x:f>D11+D12-D13</x:f>
        <x:v>45956.336565105</x:v>
      </x:c>
      <x:c r="E14" s="1298" t="n">
        <x:f>E11+E12-E13</x:f>
        <x:v>64821.8447989</x:v>
      </x:c>
      <x:c r="F14" s="1298" t="n">
        <x:f>F11+F12-F13</x:f>
        <x:v>116872.39988994895</x:v>
      </x:c>
      <x:c r="G14" s="1298" t="n">
        <x:f>G11+G12-G13</x:f>
        <x:v>114536.19490869239</x:v>
      </x:c>
      <x:c r="H14" s="1298" t="n">
        <x:f>H11+H12-H13</x:f>
        <x:v>90423.49006841447</x:v>
      </x:c>
      <x:c r="I14" s="1298" t="n">
        <x:f>I11+I12-I13</x:f>
        <x:v>38277.98519882928</x:v>
      </x:c>
      <x:c r="J14" s="1298" t="n">
        <x:f>J11+J12-J13</x:f>
        <x:v>0</x:v>
      </x:c>
      <x:c r="K14" s="1298" t="n">
        <x:f>K11+K12-K13</x:f>
        <x:v>0</x:v>
      </x:c>
      <x:c r="L14" s="1298" t="n">
        <x:f>L11+L12-L13</x:f>
        <x:v>0</x:v>
      </x:c>
      <x:c r="M14" s="1298" t="n">
        <x:f>M11+M12-M13</x:f>
        <x:v>0</x:v>
      </x:c>
      <x:c r="N14" s="1298" t="n">
        <x:f>N11+N12-N13</x:f>
        <x:v>0</x:v>
      </x:c>
      <x:c r="O14" s="1298" t="n">
        <x:f>O11+O12-O13</x:f>
        <x:v>0</x:v>
      </x:c>
      <x:c r="P14" s="1298" t="n">
        <x:f>P11+P12-P13</x:f>
        <x:v>0</x:v>
      </x:c>
      <x:c r="Q14" s="1298" t="n">
        <x:f>Q11+Q12-Q13</x:f>
        <x:v>0</x:v>
      </x:c>
      <x:c r="R14" s="1298" t="n">
        <x:f>R11+R12-R13</x:f>
        <x:v>0</x:v>
      </x:c>
      <x:c r="S14" s="1298" t="n">
        <x:f>S11+S12-S13</x:f>
        <x:v>0</x:v>
      </x:c>
      <x:c r="T14" s="1298" t="n">
        <x:f>T11+T12-T13</x:f>
        <x:v>0</x:v>
      </x:c>
      <x:c r="U14" s="1298" t="n">
        <x:f>U11+U12-U13</x:f>
        <x:v>0</x:v>
      </x:c>
      <x:c r="V14" s="1298" t="n">
        <x:f>V11+V12-V13</x:f>
        <x:v>0</x:v>
      </x:c>
      <x:c r="W14" s="1298" t="n">
        <x:f>W11+W12-W13</x:f>
        <x:v>0</x:v>
      </x:c>
      <x:c r="X14" s="1298" t="n">
        <x:f>X11+X12-X13</x:f>
        <x:v>0</x:v>
      </x:c>
      <x:c r="Y14" s="1298" t="n">
        <x:f>Y11+Y12-Y13</x:f>
        <x:v>0</x:v>
      </x:c>
      <x:c r="Z14" s="1298" t="n">
        <x:f>Z11+Z12-Z13</x:f>
        <x:v>0</x:v>
      </x:c>
      <x:c r="AA14" s="1298" t="n">
        <x:f>AA11+AA12-AA13</x:f>
        <x:v>0</x:v>
      </x:c>
      <x:c r="AB14" s="1298" t="n">
        <x:f>AB11+AB12-AB13</x:f>
        <x:v>0</x:v>
      </x:c>
      <x:c r="AC14" s="1298" t="n">
        <x:f>AC11+AC12-AC13</x:f>
        <x:v>0</x:v>
      </x:c>
      <x:c r="AD14" s="1298" t="n">
        <x:f>AD11+AD12-AD13</x:f>
        <x:v>0</x:v>
      </x:c>
      <x:c r="AE14" s="1298" t="n">
        <x:f>AE11+AE12-AE13</x:f>
        <x:v>0</x:v>
      </x:c>
      <x:c r="AF14" s="1298" t="n">
        <x:f>AF11+AF12-AF13</x:f>
        <x:v>0</x:v>
      </x:c>
      <x:c r="AG14" s="1298" t="n">
        <x:f>AG11+AG12-AG13</x:f>
        <x:v>0</x:v>
      </x:c>
      <x:c r="AH14" s="1298" t="n">
        <x:f>AH11+AH12-AH13</x:f>
        <x:v>0</x:v>
      </x:c>
      <x:c r="AI14" s="1298" t="n">
        <x:f>AI11+AI12-AI13</x:f>
        <x:v>0</x:v>
      </x:c>
      <x:c r="AJ14" s="1298" t="n">
        <x:f>AJ11+AJ12-AJ13</x:f>
        <x:v>0</x:v>
      </x:c>
      <x:c r="AK14" s="1298" t="n">
        <x:f>AK11+AK12-AK13</x:f>
        <x:v>0</x:v>
      </x:c>
      <x:c r="AL14" s="1298" t="n">
        <x:f>AL11+AL12-AL13</x:f>
        <x:v>0</x:v>
      </x:c>
      <x:c r="AM14" s="1299" t="n">
        <x:f>AM11+AM12-AM13</x:f>
        <x:v>0</x:v>
      </x:c>
    </x:row>
    <x:row r="15">
      <x:c r="A15" s="243" t="str">
        <x:v>Closing cash after funding</x:v>
      </x:c>
      <x:c r="B15" s="244" t="str">
        <x:v>ZAR'000</x:v>
      </x:c>
      <x:c r="C15" s="245" t="str">
        <x:v>Cash carried forward</x:v>
      </x:c>
      <x:c r="D15" s="1297" t="n">
        <x:f>D8+D9+D14</x:f>
        <x:v>0</x:v>
      </x:c>
      <x:c r="E15" s="1298" t="n">
        <x:f>E8+E9+E14</x:f>
        <x:v>0</x:v>
      </x:c>
      <x:c r="F15" s="1298" t="n">
        <x:f>F8+F9+F14</x:f>
        <x:v>0</x:v>
      </x:c>
      <x:c r="G15" s="1298" t="n">
        <x:f>G8+G9+G14</x:f>
        <x:v>0</x:v>
      </x:c>
      <x:c r="H15" s="1298" t="n">
        <x:f>H8+H9+H14</x:f>
        <x:v>0</x:v>
      </x:c>
      <x:c r="I15" s="1298" t="n">
        <x:f>I8+I9+I14</x:f>
        <x:v>0</x:v>
      </x:c>
      <x:c r="J15" s="1298" t="n">
        <x:f>J8+J9+J14</x:f>
        <x:v>13432.378082050847</x:v>
      </x:c>
      <x:c r="K15" s="1298" t="n">
        <x:f>K8+K9+K14</x:f>
        <x:v>29503.851399483978</x:v>
      </x:c>
      <x:c r="L15" s="1298" t="n">
        <x:f>L8+L9+L14</x:f>
        <x:v>47610.25643238973</x:v>
      </x:c>
      <x:c r="M15" s="1298" t="n">
        <x:f>M8+M9+M14</x:f>
        <x:v>65187.03266841632</x:v>
      </x:c>
      <x:c r="N15" s="1298" t="n">
        <x:f>N8+N9+N14</x:f>
        <x:v>83528.44156457612</x:v>
      </x:c>
      <x:c r="O15" s="1298" t="n">
        <x:f>O8+O9+O14</x:f>
        <x:v>101333.48490279188</x:v>
      </x:c>
      <x:c r="P15" s="1298" t="n">
        <x:f>P8+P9+P14</x:f>
        <x:v>120418.35768356842</x:v>
      </x:c>
      <x:c r="Q15" s="1298" t="n">
        <x:f>Q8+Q9+Q14</x:f>
        <x:v>139622.2655342767</x:v>
      </x:c>
      <x:c r="R15" s="1298" t="n">
        <x:f>R8+R9+R14</x:f>
        <x:v>158260.49864009474</x:v>
      </x:c>
      <x:c r="S15" s="1298" t="n">
        <x:f>S8+S9+S14</x:f>
        <x:v>177703.8035529047</x:v>
      </x:c>
      <x:c r="T15" s="1298" t="n">
        <x:f>T8+T9+T14</x:f>
        <x:v>196574.5710216982</x:v>
      </x:c>
      <x:c r="U15" s="1298" t="n">
        <x:f>U8+U9+U14</x:f>
        <x:v>216259.0531864093</x:v>
      </x:c>
      <x:c r="V15" s="1298" t="n">
        <x:f>V8+V9+V14</x:f>
        <x:v>236064.79568120232</x:v>
      </x:c>
      <x:c r="W15" s="1298" t="n">
        <x:f>W8+W9+W14</x:f>
        <x:v>254582.97323433205</x:v>
      </x:c>
      <x:c r="X15" s="1298" t="n">
        <x:f>X8+X9+X14</x:f>
        <x:v>274632.5881172184</x:v>
      </x:c>
      <x:c r="Y15" s="1298" t="n">
        <x:f>Y8+Y9+Y14</x:f>
        <x:v>294092.2847124584</x:v>
      </x:c>
      <x:c r="Z15" s="1298" t="n">
        <x:f>Z8+Z9+Z14</x:f>
        <x:v>314387.58545238303</x:v>
      </x:c>
      <x:c r="AA15" s="1298" t="n">
        <x:f>AA8+AA9+AA14</x:f>
        <x:v>334085.9249271844</x:v>
      </x:c>
      <x:c r="AB15" s="1298" t="n">
        <x:f>AB8+AB9+AB14</x:f>
        <x:v>355131.1661032993</x:v>
      </x:c>
      <x:c r="AC15" s="1298" t="n">
        <x:f>AC8+AC9+AC14</x:f>
        <x:v>376300.8530343428</x:v>
      </x:c>
      <x:c r="AD15" s="1298" t="n">
        <x:f>AD8+AD9+AD14</x:f>
        <x:v>396843.80591391015</x:v>
      </x:c>
      <x:c r="AE15" s="1298" t="n">
        <x:f>AE8+AE9+AE14</x:f>
        <x:v>418263.7715916963</x:v>
      </x:c>
      <x:c r="AF15" s="1298" t="n">
        <x:f>AF8+AF9+AF14</x:f>
        <x:v>439049.8285780107</x:v>
      </x:c>
      <x:c r="AG15" s="1298" t="n">
        <x:f>AG8+AG9+AG14</x:f>
        <x:v>460721.93411005713</x:v>
      </x:c>
      <x:c r="AH15" s="1298" t="n">
        <x:f>AH8+AH9+AH14</x:f>
        <x:v>482520.8118053711</x:v>
      </x:c>
      <x:c r="AI15" s="1298" t="n">
        <x:f>AI8+AI9+AI14</x:f>
        <x:v>502130.8917959127</x:v>
      </x:c>
      <x:c r="AJ15" s="1298" t="n">
        <x:f>AJ8+AJ9+AJ14</x:f>
        <x:v>524184.72698786965</x:v>
      </x:c>
      <x:c r="AK15" s="1298" t="n">
        <x:f>AK8+AK9+AK14</x:f>
        <x:v>545586.4826063782</x:v>
      </x:c>
      <x:c r="AL15" s="1298" t="n">
        <x:f>AL8+AL9+AL14</x:f>
        <x:v>567897.1711943297</x:v>
      </x:c>
      <x:c r="AM15" s="1299" t="n">
        <x:f>AM8+AM9+AM14</x:f>
        <x:v>589548.417096016</x:v>
      </x:c>
    </x:row>
    <x:row r="16">
      <x:c r="A16" s="147" t="str">
        <x:v>Cumulative burn before funding</x:v>
      </x:c>
      <x:c r="B16" s="148" t="str">
        <x:v>ZAR'000</x:v>
      </x:c>
      <x:c r="C16" s="149" t="str">
        <x:v>Tracks funding need before financing</x:v>
      </x:c>
      <x:c r="D16" s="1285" t="n">
        <x:f>D9</x:f>
        <x:v>-45956.336565105</x:v>
      </x:c>
      <x:c r="E16" s="1286" t="n">
        <x:f>D16+E9</x:f>
        <x:v>-110778.181364005</x:v>
      </x:c>
      <x:c r="F16" s="1286" t="n">
        <x:f>E16+F9</x:f>
        <x:v>-227650.58125395395</x:v>
      </x:c>
      <x:c r="G16" s="1286" t="n">
        <x:f>F16+G9</x:f>
        <x:v>-342186.77616264636</x:v>
      </x:c>
      <x:c r="H16" s="1286" t="n">
        <x:f>G16+H9</x:f>
        <x:v>-432610.26623106084</x:v>
      </x:c>
      <x:c r="I16" s="1286" t="n">
        <x:f>H16+I9</x:f>
        <x:v>-470888.2514298901</x:v>
      </x:c>
      <x:c r="J16" s="1286" t="n">
        <x:f>I16+J9</x:f>
        <x:v>-457455.8733478393</x:v>
      </x:c>
      <x:c r="K16" s="1286" t="n">
        <x:f>J16+K9</x:f>
        <x:v>-441384.40003040613</x:v>
      </x:c>
      <x:c r="L16" s="1286" t="n">
        <x:f>K16+L9</x:f>
        <x:v>-423277.9949975004</x:v>
      </x:c>
      <x:c r="M16" s="1286" t="n">
        <x:f>L16+M9</x:f>
        <x:v>-405701.2187614738</x:v>
      </x:c>
      <x:c r="N16" s="1286" t="n">
        <x:f>M16+N9</x:f>
        <x:v>-387359.809865314</x:v>
      </x:c>
      <x:c r="O16" s="1286" t="n">
        <x:f>N16+O9</x:f>
        <x:v>-369554.7665270982</x:v>
      </x:c>
      <x:c r="P16" s="1286" t="n">
        <x:f>O16+P9</x:f>
        <x:v>-350469.8937463217</x:v>
      </x:c>
      <x:c r="Q16" s="1286" t="n">
        <x:f>P16+Q9</x:f>
        <x:v>-331265.9858956134</x:v>
      </x:c>
      <x:c r="R16" s="1286" t="n">
        <x:f>Q16+R9</x:f>
        <x:v>-312627.75278979534</x:v>
      </x:c>
      <x:c r="S16" s="1286" t="n">
        <x:f>R16+S9</x:f>
        <x:v>-293184.4478769854</x:v>
      </x:c>
      <x:c r="T16" s="1286" t="n">
        <x:f>S16+T9</x:f>
        <x:v>-274313.6804081919</x:v>
      </x:c>
      <x:c r="U16" s="1286" t="n">
        <x:f>T16+U9</x:f>
        <x:v>-254629.19824348087</x:v>
      </x:c>
      <x:c r="V16" s="1286" t="n">
        <x:f>U16+V9</x:f>
        <x:v>-234823.45574868785</x:v>
      </x:c>
      <x:c r="W16" s="1286" t="n">
        <x:f>V16+W9</x:f>
        <x:v>-216305.27819555812</x:v>
      </x:c>
      <x:c r="X16" s="1286" t="n">
        <x:f>W16+X9</x:f>
        <x:v>-196255.66331267176</x:v>
      </x:c>
      <x:c r="Y16" s="1286" t="n">
        <x:f>X16+Y9</x:f>
        <x:v>-176795.96671743182</x:v>
      </x:c>
      <x:c r="Z16" s="1286" t="n">
        <x:f>Y16+Z9</x:f>
        <x:v>-156500.66597750716</x:v>
      </x:c>
      <x:c r="AA16" s="1286" t="n">
        <x:f>Z16+AA9</x:f>
        <x:v>-136802.3265027058</x:v>
      </x:c>
      <x:c r="AB16" s="1286" t="n">
        <x:f>AA16+AB9</x:f>
        <x:v>-115757.08532659092</x:v>
      </x:c>
      <x:c r="AC16" s="1286" t="n">
        <x:f>AB16+AC9</x:f>
        <x:v>-94587.39839554741</x:v>
      </x:c>
      <x:c r="AD16" s="1286" t="n">
        <x:f>AC16+AD9</x:f>
        <x:v>-74044.44551598004</x:v>
      </x:c>
      <x:c r="AE16" s="1286" t="n">
        <x:f>AD16+AE9</x:f>
        <x:v>-52624.47983819386</x:v>
      </x:c>
      <x:c r="AF16" s="1286" t="n">
        <x:f>AE16+AF9</x:f>
        <x:v>-31838.42285187942</x:v>
      </x:c>
      <x:c r="AG16" s="1286" t="n">
        <x:f>AF16+AG9</x:f>
        <x:v>-10166.31731983299</x:v>
      </x:c>
      <x:c r="AH16" s="1286" t="n">
        <x:f>AG16+AH9</x:f>
        <x:v>11632.560375480964</x:v>
      </x:c>
      <x:c r="AI16" s="1286" t="n">
        <x:f>AH16+AI9</x:f>
        <x:v>31242.64036602259</x:v>
      </x:c>
      <x:c r="AJ16" s="1286" t="n">
        <x:f>AI16+AJ9</x:f>
        <x:v>53296.47555797954</x:v>
      </x:c>
      <x:c r="AK16" s="1286" t="n">
        <x:f>AJ16+AK9</x:f>
        <x:v>74698.23117648799</x:v>
      </x:c>
      <x:c r="AL16" s="1286" t="n">
        <x:f>AK16+AL9</x:f>
        <x:v>97008.91976443955</x:v>
      </x:c>
      <x:c r="AM16" s="1287" t="n">
        <x:f>AL16+AM9</x:f>
        <x:v>118660.16566612583</x:v>
      </x:c>
    </x:row>
    <x:row r="17">
      <x:c r="A17" s="243" t="str">
        <x:v>Peak funding required</x:v>
      </x:c>
      <x:c r="B17" s="244" t="str">
        <x:v>ZAR'000</x:v>
      </x:c>
      <x:c r="C17" s="245" t="str">
        <x:v>Running peak of cumulative burn</x:v>
      </x:c>
      <x:c r="D17" s="1297" t="n">
        <x:f>MAX(0,-D16)</x:f>
        <x:v>45956.336565105</x:v>
      </x:c>
      <x:c r="E17" s="1298" t="n">
        <x:f>MAX(D17,-E16)</x:f>
        <x:v>110778.181364005</x:v>
      </x:c>
      <x:c r="F17" s="1298" t="n">
        <x:f>MAX(E17,-F16)</x:f>
        <x:v>227650.58125395395</x:v>
      </x:c>
      <x:c r="G17" s="1298" t="n">
        <x:f>MAX(F17,-G16)</x:f>
        <x:v>342186.77616264636</x:v>
      </x:c>
      <x:c r="H17" s="1298" t="n">
        <x:f>MAX(G17,-H16)</x:f>
        <x:v>432610.26623106084</x:v>
      </x:c>
      <x:c r="I17" s="1298" t="n">
        <x:f>MAX(H17,-I16)</x:f>
        <x:v>470888.2514298901</x:v>
      </x:c>
      <x:c r="J17" s="1298" t="n">
        <x:f>MAX(I17,-J16)</x:f>
        <x:v>470888.2514298901</x:v>
      </x:c>
      <x:c r="K17" s="1298" t="n">
        <x:f>MAX(J17,-K16)</x:f>
        <x:v>470888.2514298901</x:v>
      </x:c>
      <x:c r="L17" s="1298" t="n">
        <x:f>MAX(K17,-L16)</x:f>
        <x:v>470888.2514298901</x:v>
      </x:c>
      <x:c r="M17" s="1298" t="n">
        <x:f>MAX(L17,-M16)</x:f>
        <x:v>470888.2514298901</x:v>
      </x:c>
      <x:c r="N17" s="1298" t="n">
        <x:f>MAX(M17,-N16)</x:f>
        <x:v>470888.2514298901</x:v>
      </x:c>
      <x:c r="O17" s="1298" t="n">
        <x:f>MAX(N17,-O16)</x:f>
        <x:v>470888.2514298901</x:v>
      </x:c>
      <x:c r="P17" s="1298" t="n">
        <x:f>MAX(O17,-P16)</x:f>
        <x:v>470888.2514298901</x:v>
      </x:c>
      <x:c r="Q17" s="1298" t="n">
        <x:f>MAX(P17,-Q16)</x:f>
        <x:v>470888.2514298901</x:v>
      </x:c>
      <x:c r="R17" s="1298" t="n">
        <x:f>MAX(Q17,-R16)</x:f>
        <x:v>470888.2514298901</x:v>
      </x:c>
      <x:c r="S17" s="1298" t="n">
        <x:f>MAX(R17,-S16)</x:f>
        <x:v>470888.2514298901</x:v>
      </x:c>
      <x:c r="T17" s="1298" t="n">
        <x:f>MAX(S17,-T16)</x:f>
        <x:v>470888.2514298901</x:v>
      </x:c>
      <x:c r="U17" s="1298" t="n">
        <x:f>MAX(T17,-U16)</x:f>
        <x:v>470888.2514298901</x:v>
      </x:c>
      <x:c r="V17" s="1298" t="n">
        <x:f>MAX(U17,-V16)</x:f>
        <x:v>470888.2514298901</x:v>
      </x:c>
      <x:c r="W17" s="1298" t="n">
        <x:f>MAX(V17,-W16)</x:f>
        <x:v>470888.2514298901</x:v>
      </x:c>
      <x:c r="X17" s="1298" t="n">
        <x:f>MAX(W17,-X16)</x:f>
        <x:v>470888.2514298901</x:v>
      </x:c>
      <x:c r="Y17" s="1298" t="n">
        <x:f>MAX(X17,-Y16)</x:f>
        <x:v>470888.2514298901</x:v>
      </x:c>
      <x:c r="Z17" s="1298" t="n">
        <x:f>MAX(Y17,-Z16)</x:f>
        <x:v>470888.2514298901</x:v>
      </x:c>
      <x:c r="AA17" s="1298" t="n">
        <x:f>MAX(Z17,-AA16)</x:f>
        <x:v>470888.2514298901</x:v>
      </x:c>
      <x:c r="AB17" s="1298" t="n">
        <x:f>MAX(AA17,-AB16)</x:f>
        <x:v>470888.2514298901</x:v>
      </x:c>
      <x:c r="AC17" s="1298" t="n">
        <x:f>MAX(AB17,-AC16)</x:f>
        <x:v>470888.2514298901</x:v>
      </x:c>
      <x:c r="AD17" s="1298" t="n">
        <x:f>MAX(AC17,-AD16)</x:f>
        <x:v>470888.2514298901</x:v>
      </x:c>
      <x:c r="AE17" s="1298" t="n">
        <x:f>MAX(AD17,-AE16)</x:f>
        <x:v>470888.2514298901</x:v>
      </x:c>
      <x:c r="AF17" s="1298" t="n">
        <x:f>MAX(AE17,-AF16)</x:f>
        <x:v>470888.2514298901</x:v>
      </x:c>
      <x:c r="AG17" s="1298" t="n">
        <x:f>MAX(AF17,-AG16)</x:f>
        <x:v>470888.2514298901</x:v>
      </x:c>
      <x:c r="AH17" s="1298" t="n">
        <x:f>MAX(AG17,-AH16)</x:f>
        <x:v>470888.2514298901</x:v>
      </x:c>
      <x:c r="AI17" s="1298" t="n">
        <x:f>MAX(AH17,-AI16)</x:f>
        <x:v>470888.2514298901</x:v>
      </x:c>
      <x:c r="AJ17" s="1298" t="n">
        <x:f>MAX(AI17,-AJ16)</x:f>
        <x:v>470888.2514298901</x:v>
      </x:c>
      <x:c r="AK17" s="1298" t="n">
        <x:f>MAX(AJ17,-AK16)</x:f>
        <x:v>470888.2514298901</x:v>
      </x:c>
      <x:c r="AL17" s="1298" t="n">
        <x:f>MAX(AK17,-AL16)</x:f>
        <x:v>470888.2514298901</x:v>
      </x:c>
      <x:c r="AM17" s="1299" t="n">
        <x:f>MAX(AL17,-AM16)</x:f>
        <x:v>470888.2514298901</x:v>
      </x:c>
    </x:row>
    <x:row r="18">
      <x:c r="A18" s="243" t="str">
        <x:v>Cumulative equity drawn</x:v>
      </x:c>
      <x:c r="B18" s="244" t="str">
        <x:v>ZAR'000</x:v>
      </x:c>
      <x:c r="C18" s="245" t="str">
        <x:v>Running total</x:v>
      </x:c>
      <x:c r="D18" s="1297" t="n">
        <x:f>D11</x:f>
        <x:v>45956.336565105</x:v>
      </x:c>
      <x:c r="E18" s="1298" t="n">
        <x:f>D18+E11</x:f>
        <x:v>110778.181364005</x:v>
      </x:c>
      <x:c r="F18" s="1298" t="n">
        <x:f>E18+F11</x:f>
        <x:v>227650.58125395395</x:v>
      </x:c>
      <x:c r="G18" s="1298" t="n">
        <x:f>F18+G11</x:f>
        <x:v>342186.77616264636</x:v>
      </x:c>
      <x:c r="H18" s="1298" t="n">
        <x:f>G18+H11</x:f>
        <x:v>432610.26623106084</x:v>
      </x:c>
      <x:c r="I18" s="1298" t="n">
        <x:f>H18+I11</x:f>
        <x:v>470888.2514298901</x:v>
      </x:c>
      <x:c r="J18" s="1298" t="n">
        <x:f>I18+J11</x:f>
        <x:v>470888.2514298901</x:v>
      </x:c>
      <x:c r="K18" s="1298" t="n">
        <x:f>J18+K11</x:f>
        <x:v>470888.2514298901</x:v>
      </x:c>
      <x:c r="L18" s="1298" t="n">
        <x:f>K18+L11</x:f>
        <x:v>470888.2514298901</x:v>
      </x:c>
      <x:c r="M18" s="1298" t="n">
        <x:f>L18+M11</x:f>
        <x:v>470888.2514298901</x:v>
      </x:c>
      <x:c r="N18" s="1298" t="n">
        <x:f>M18+N11</x:f>
        <x:v>470888.2514298901</x:v>
      </x:c>
      <x:c r="O18" s="1298" t="n">
        <x:f>N18+O11</x:f>
        <x:v>470888.2514298901</x:v>
      </x:c>
      <x:c r="P18" s="1298" t="n">
        <x:f>O18+P11</x:f>
        <x:v>470888.2514298901</x:v>
      </x:c>
      <x:c r="Q18" s="1298" t="n">
        <x:f>P18+Q11</x:f>
        <x:v>470888.2514298901</x:v>
      </x:c>
      <x:c r="R18" s="1298" t="n">
        <x:f>Q18+R11</x:f>
        <x:v>470888.2514298901</x:v>
      </x:c>
      <x:c r="S18" s="1298" t="n">
        <x:f>R18+S11</x:f>
        <x:v>470888.2514298901</x:v>
      </x:c>
      <x:c r="T18" s="1298" t="n">
        <x:f>S18+T11</x:f>
        <x:v>470888.2514298901</x:v>
      </x:c>
      <x:c r="U18" s="1298" t="n">
        <x:f>T18+U11</x:f>
        <x:v>470888.2514298901</x:v>
      </x:c>
      <x:c r="V18" s="1298" t="n">
        <x:f>U18+V11</x:f>
        <x:v>470888.2514298901</x:v>
      </x:c>
      <x:c r="W18" s="1298" t="n">
        <x:f>V18+W11</x:f>
        <x:v>470888.2514298901</x:v>
      </x:c>
      <x:c r="X18" s="1298" t="n">
        <x:f>W18+X11</x:f>
        <x:v>470888.2514298901</x:v>
      </x:c>
      <x:c r="Y18" s="1298" t="n">
        <x:f>X18+Y11</x:f>
        <x:v>470888.2514298901</x:v>
      </x:c>
      <x:c r="Z18" s="1298" t="n">
        <x:f>Y18+Z11</x:f>
        <x:v>470888.2514298901</x:v>
      </x:c>
      <x:c r="AA18" s="1298" t="n">
        <x:f>Z18+AA11</x:f>
        <x:v>470888.2514298901</x:v>
      </x:c>
      <x:c r="AB18" s="1298" t="n">
        <x:f>AA18+AB11</x:f>
        <x:v>470888.2514298901</x:v>
      </x:c>
      <x:c r="AC18" s="1298" t="n">
        <x:f>AB18+AC11</x:f>
        <x:v>470888.2514298901</x:v>
      </x:c>
      <x:c r="AD18" s="1298" t="n">
        <x:f>AC18+AD11</x:f>
        <x:v>470888.2514298901</x:v>
      </x:c>
      <x:c r="AE18" s="1298" t="n">
        <x:f>AD18+AE11</x:f>
        <x:v>470888.2514298901</x:v>
      </x:c>
      <x:c r="AF18" s="1298" t="n">
        <x:f>AE18+AF11</x:f>
        <x:v>470888.2514298901</x:v>
      </x:c>
      <x:c r="AG18" s="1298" t="n">
        <x:f>AF18+AG11</x:f>
        <x:v>470888.2514298901</x:v>
      </x:c>
      <x:c r="AH18" s="1298" t="n">
        <x:f>AG18+AH11</x:f>
        <x:v>470888.2514298901</x:v>
      </x:c>
      <x:c r="AI18" s="1298" t="n">
        <x:f>AH18+AI11</x:f>
        <x:v>470888.2514298901</x:v>
      </x:c>
      <x:c r="AJ18" s="1298" t="n">
        <x:f>AI18+AJ11</x:f>
        <x:v>470888.2514298901</x:v>
      </x:c>
      <x:c r="AK18" s="1298" t="n">
        <x:f>AJ18+AK11</x:f>
        <x:v>470888.2514298901</x:v>
      </x:c>
      <x:c r="AL18" s="1298" t="n">
        <x:f>AK18+AL11</x:f>
        <x:v>470888.2514298901</x:v>
      </x:c>
      <x:c r="AM18" s="1299" t="n">
        <x:f>AL18+AM11</x:f>
        <x:v>470888.2514298901</x:v>
      </x:c>
    </x:row>
    <x:row r="19">
      <x:c r="A19" s="261" t="str">
        <x:v>Cumulative senior debt drawn</x:v>
      </x:c>
      <x:c r="B19" s="262" t="str">
        <x:v>ZAR'000</x:v>
      </x:c>
      <x:c r="C19" s="263" t="str">
        <x:v>Running total</x:v>
      </x:c>
      <x:c r="D19" s="1303" t="n">
        <x:f>D12</x:f>
        <x:v>0</x:v>
      </x:c>
      <x:c r="E19" s="1304" t="n">
        <x:f>D19+E12</x:f>
        <x:v>0</x:v>
      </x:c>
      <x:c r="F19" s="1304" t="n">
        <x:f>E19+F12</x:f>
        <x:v>0</x:v>
      </x:c>
      <x:c r="G19" s="1304" t="n">
        <x:f>F19+G12</x:f>
        <x:v>0</x:v>
      </x:c>
      <x:c r="H19" s="1304" t="n">
        <x:f>G19+H12</x:f>
        <x:v>0</x:v>
      </x:c>
      <x:c r="I19" s="1304" t="n">
        <x:f>H19+I12</x:f>
        <x:v>0</x:v>
      </x:c>
      <x:c r="J19" s="1304" t="n">
        <x:f>I19+J12</x:f>
        <x:v>0</x:v>
      </x:c>
      <x:c r="K19" s="1304" t="n">
        <x:f>J19+K12</x:f>
        <x:v>0</x:v>
      </x:c>
      <x:c r="L19" s="1304" t="n">
        <x:f>K19+L12</x:f>
        <x:v>0</x:v>
      </x:c>
      <x:c r="M19" s="1304" t="n">
        <x:f>L19+M12</x:f>
        <x:v>0</x:v>
      </x:c>
      <x:c r="N19" s="1304" t="n">
        <x:f>M19+N12</x:f>
        <x:v>0</x:v>
      </x:c>
      <x:c r="O19" s="1304" t="n">
        <x:f>N19+O12</x:f>
        <x:v>0</x:v>
      </x:c>
      <x:c r="P19" s="1304" t="n">
        <x:f>O19+P12</x:f>
        <x:v>0</x:v>
      </x:c>
      <x:c r="Q19" s="1304" t="n">
        <x:f>P19+Q12</x:f>
        <x:v>0</x:v>
      </x:c>
      <x:c r="R19" s="1304" t="n">
        <x:f>Q19+R12</x:f>
        <x:v>0</x:v>
      </x:c>
      <x:c r="S19" s="1304" t="n">
        <x:f>R19+S12</x:f>
        <x:v>0</x:v>
      </x:c>
      <x:c r="T19" s="1304" t="n">
        <x:f>S19+T12</x:f>
        <x:v>0</x:v>
      </x:c>
      <x:c r="U19" s="1304" t="n">
        <x:f>T19+U12</x:f>
        <x:v>0</x:v>
      </x:c>
      <x:c r="V19" s="1304" t="n">
        <x:f>U19+V12</x:f>
        <x:v>0</x:v>
      </x:c>
      <x:c r="W19" s="1304" t="n">
        <x:f>V19+W12</x:f>
        <x:v>0</x:v>
      </x:c>
      <x:c r="X19" s="1304" t="n">
        <x:f>W19+X12</x:f>
        <x:v>0</x:v>
      </x:c>
      <x:c r="Y19" s="1304" t="n">
        <x:f>X19+Y12</x:f>
        <x:v>0</x:v>
      </x:c>
      <x:c r="Z19" s="1304" t="n">
        <x:f>Y19+Z12</x:f>
        <x:v>0</x:v>
      </x:c>
      <x:c r="AA19" s="1304" t="n">
        <x:f>Z19+AA12</x:f>
        <x:v>0</x:v>
      </x:c>
      <x:c r="AB19" s="1304" t="n">
        <x:f>AA19+AB12</x:f>
        <x:v>0</x:v>
      </x:c>
      <x:c r="AC19" s="1304" t="n">
        <x:f>AB19+AC12</x:f>
        <x:v>0</x:v>
      </x:c>
      <x:c r="AD19" s="1304" t="n">
        <x:f>AC19+AD12</x:f>
        <x:v>0</x:v>
      </x:c>
      <x:c r="AE19" s="1304" t="n">
        <x:f>AD19+AE12</x:f>
        <x:v>0</x:v>
      </x:c>
      <x:c r="AF19" s="1304" t="n">
        <x:f>AE19+AF12</x:f>
        <x:v>0</x:v>
      </x:c>
      <x:c r="AG19" s="1304" t="n">
        <x:f>AF19+AG12</x:f>
        <x:v>0</x:v>
      </x:c>
      <x:c r="AH19" s="1304" t="n">
        <x:f>AG19+AH12</x:f>
        <x:v>0</x:v>
      </x:c>
      <x:c r="AI19" s="1304" t="n">
        <x:f>AH19+AI12</x:f>
        <x:v>0</x:v>
      </x:c>
      <x:c r="AJ19" s="1304" t="n">
        <x:f>AI19+AJ12</x:f>
        <x:v>0</x:v>
      </x:c>
      <x:c r="AK19" s="1304" t="n">
        <x:f>AJ19+AK12</x:f>
        <x:v>0</x:v>
      </x:c>
      <x:c r="AL19" s="1304" t="n">
        <x:f>AK19+AL12</x:f>
        <x:v>0</x:v>
      </x:c>
      <x:c r="AM19" s="1305" t="n">
        <x:f>AL19+AM12</x:f>
        <x:v>0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0.709999084472656" hidden="0" customWidth="1"/>
    <x:col min="2" max="2" width="12.140000343322754" hidden="0" customWidth="1"/>
    <x:col min="3" max="3" width="29.290000915527344" hidden="0" customWidth="1"/>
    <x:col min="4" max="4" width="9.569999694824219" hidden="0" customWidth="1"/>
    <x:col min="5" max="5" width="9.569999694824219" hidden="0" customWidth="1"/>
    <x:col min="6" max="6" width="9.569999694824219" hidden="0" customWidth="1"/>
    <x:col min="7" max="7" width="9.569999694824219" hidden="0" customWidth="1"/>
    <x:col min="8" max="8" width="9.569999694824219" hidden="0" customWidth="1"/>
    <x:col min="9" max="9" width="9.569999694824219" hidden="0" customWidth="1"/>
    <x:col min="10" max="10" width="9.569999694824219" hidden="0" customWidth="1"/>
    <x:col min="11" max="11" width="9.569999694824219" hidden="0" customWidth="1"/>
    <x:col min="12" max="12" width="9.569999694824219" hidden="0" customWidth="1"/>
    <x:col min="13" max="13" width="9.569999694824219" hidden="0" customWidth="1"/>
    <x:col min="14" max="14" width="9.569999694824219" hidden="0" customWidth="1"/>
    <x:col min="15" max="15" width="9.569999694824219" hidden="0" customWidth="1"/>
    <x:col min="16" max="16" width="9.569999694824219" hidden="0" customWidth="1"/>
    <x:col min="17" max="17" width="9.569999694824219" hidden="0" customWidth="1"/>
    <x:col min="18" max="18" width="9.569999694824219" hidden="0" customWidth="1"/>
    <x:col min="19" max="19" width="9.569999694824219" hidden="0" customWidth="1"/>
    <x:col min="20" max="20" width="9.569999694824219" hidden="0" customWidth="1"/>
    <x:col min="21" max="21" width="9.569999694824219" hidden="0" customWidth="1"/>
    <x:col min="22" max="22" width="9.569999694824219" hidden="0" customWidth="1"/>
    <x:col min="23" max="23" width="9.569999694824219" hidden="0" customWidth="1"/>
    <x:col min="24" max="24" width="9.569999694824219" hidden="0" customWidth="1"/>
    <x:col min="25" max="25" width="9.569999694824219" hidden="0" customWidth="1"/>
    <x:col min="26" max="26" width="9.569999694824219" hidden="0" customWidth="1"/>
    <x:col min="27" max="27" width="9.569999694824219" hidden="0" customWidth="1"/>
    <x:col min="28" max="28" width="9.569999694824219" hidden="0" customWidth="1"/>
    <x:col min="29" max="29" width="9.569999694824219" hidden="0" customWidth="1"/>
    <x:col min="30" max="30" width="9.569999694824219" hidden="0" customWidth="1"/>
    <x:col min="31" max="31" width="9.569999694824219" hidden="0" customWidth="1"/>
    <x:col min="32" max="32" width="9.569999694824219" hidden="0" customWidth="1"/>
    <x:col min="33" max="33" width="9.569999694824219" hidden="0" customWidth="1"/>
    <x:col min="34" max="34" width="9.569999694824219" hidden="0" customWidth="1"/>
    <x:col min="35" max="35" width="9.569999694824219" hidden="0" customWidth="1"/>
    <x:col min="36" max="36" width="9.569999694824219" hidden="0" customWidth="1"/>
    <x:col min="37" max="37" width="9.569999694824219" hidden="0" customWidth="1"/>
    <x:col min="38" max="38" width="9.569999694824219" hidden="0" customWidth="1"/>
    <x:col min="39" max="39" width="9.569999694824219" hidden="0" customWidth="1"/>
    <x:col min="40" max="40" width="9.569999694824219" hidden="0" customWidth="1"/>
    <x:col min="41" max="41" width="9.569999694824219" hidden="0" customWidth="1"/>
    <x:col min="42" max="42" width="9.569999694824219" hidden="0" customWidth="1"/>
    <x:col min="43" max="43" width="9.569999694824219" hidden="0" customWidth="1"/>
    <x:col min="44" max="44" width="9.569999694824219" hidden="0" customWidth="1"/>
    <x:col min="45" max="45" width="9.569999694824219" hidden="0" customWidth="1"/>
    <x:col min="46" max="46" width="9.569999694824219" hidden="0" customWidth="1"/>
    <x:col min="47" max="47" width="9.569999694824219" hidden="0" customWidth="1"/>
    <x:col min="48" max="48" width="9.569999694824219" hidden="0" customWidth="1"/>
    <x:col min="49" max="49" width="9.569999694824219" hidden="0" customWidth="1"/>
    <x:col min="50" max="50" width="9.569999694824219" hidden="0" customWidth="1"/>
    <x:col min="51" max="51" width="9.569999694824219" hidden="0" customWidth="1"/>
    <x:col min="52" max="52" width="9.569999694824219" hidden="0" customWidth="1"/>
    <x:col min="53" max="53" width="9.569999694824219" hidden="0" customWidth="1"/>
    <x:col min="54" max="54" width="9.569999694824219" hidden="0" customWidth="1"/>
    <x:col min="55" max="55" width="9.569999694824219" hidden="0" customWidth="1"/>
    <x:col min="56" max="56" width="9.569999694824219" hidden="0" customWidth="1"/>
    <x:col min="57" max="57" width="9.569999694824219" hidden="0" customWidth="1"/>
    <x:col min="58" max="58" width="9.569999694824219" hidden="0" customWidth="1"/>
    <x:col min="59" max="59" width="9.569999694824219" hidden="0" customWidth="1"/>
    <x:col min="60" max="60" width="9.569999694824219" hidden="0" customWidth="1"/>
    <x:col min="61" max="61" width="9.569999694824219" hidden="0" customWidth="1"/>
    <x:col min="62" max="62" width="9.569999694824219" hidden="0" customWidth="1"/>
    <x:col min="63" max="63" width="9.569999694824219" hidden="0" customWidth="1"/>
  </x:cols>
  <x:sheetData>
    <x:row r="1">
      <x:c r="A1" s="282" t="str">
        <x:v>Debt_Schedule | Optional monthly senior debt amortisation</x:v>
      </x:c>
      <x:c r="B1" s="283"/>
      <x:c r="C1" s="284"/>
      <x:c r="D1" s="283"/>
      <x:c r="E1" s="283"/>
      <x:c r="F1" s="283"/>
      <x:c r="G1" s="283"/>
      <x:c r="H1" s="284"/>
    </x:row>
    <x:row r="2">
      <x:c r="A2" s="307" t="str">
        <x:v>Schedule is formula-driven. Default workbook assumption = 0% debt / 100% equity, but the schedule activates automatically if debt share is changed on Inputs.</x:v>
      </x:c>
      <x:c r="B2" s="308"/>
      <x:c r="C2" s="309"/>
      <x:c r="D2" s="308"/>
      <x:c r="E2" s="308"/>
      <x:c r="F2" s="308"/>
      <x:c r="G2" s="308"/>
      <x:c r="H2" s="309"/>
    </x:row>
    <x:row r="3">
      <x:c r="A3" s="365"/>
      <x:c r="B3" s="357"/>
      <x:c r="C3" s="366"/>
    </x:row>
    <x:row r="4">
      <x:c r="A4" s="334" t="str">
        <x:v>Metric</x:v>
      </x:c>
      <x:c r="B4" s="335" t="str">
        <x:v>Unit</x:v>
      </x:c>
      <x:c r="C4" s="336" t="str">
        <x:v>Notes</x:v>
      </x:c>
      <x:c r="D4" s="334"/>
      <x:c r="E4" s="335"/>
      <x:c r="F4" s="335"/>
      <x:c r="G4" s="335"/>
      <x:c r="H4" s="335"/>
      <x:c r="I4" s="335"/>
      <x:c r="J4" s="335"/>
      <x:c r="K4" s="335"/>
      <x:c r="L4" s="335"/>
      <x:c r="M4" s="335"/>
      <x:c r="N4" s="335"/>
      <x:c r="O4" s="335"/>
      <x:c r="P4" s="335"/>
      <x:c r="Q4" s="335"/>
      <x:c r="R4" s="335"/>
      <x:c r="S4" s="335"/>
      <x:c r="T4" s="335"/>
      <x:c r="U4" s="335"/>
      <x:c r="V4" s="335"/>
      <x:c r="W4" s="335"/>
      <x:c r="X4" s="335"/>
      <x:c r="Y4" s="335"/>
      <x:c r="Z4" s="335"/>
      <x:c r="AA4" s="335"/>
      <x:c r="AB4" s="335"/>
      <x:c r="AC4" s="335"/>
      <x:c r="AD4" s="335"/>
      <x:c r="AE4" s="335"/>
      <x:c r="AF4" s="335"/>
      <x:c r="AG4" s="335"/>
      <x:c r="AH4" s="335"/>
      <x:c r="AI4" s="335"/>
      <x:c r="AJ4" s="335"/>
      <x:c r="AK4" s="335"/>
      <x:c r="AL4" s="335"/>
      <x:c r="AM4" s="335"/>
      <x:c r="AN4" s="335"/>
      <x:c r="AO4" s="335"/>
      <x:c r="AP4" s="335"/>
      <x:c r="AQ4" s="335"/>
      <x:c r="AR4" s="335"/>
      <x:c r="AS4" s="335"/>
      <x:c r="AT4" s="335"/>
      <x:c r="AU4" s="335"/>
      <x:c r="AV4" s="335"/>
      <x:c r="AW4" s="335"/>
      <x:c r="AX4" s="335"/>
      <x:c r="AY4" s="335"/>
      <x:c r="AZ4" s="335"/>
      <x:c r="BA4" s="335"/>
      <x:c r="BB4" s="335"/>
      <x:c r="BC4" s="335"/>
      <x:c r="BD4" s="335"/>
      <x:c r="BE4" s="335"/>
      <x:c r="BF4" s="335"/>
      <x:c r="BG4" s="335"/>
      <x:c r="BH4" s="335"/>
      <x:c r="BI4" s="335"/>
      <x:c r="BJ4" s="335"/>
      <x:c r="BK4" s="336"/>
    </x:row>
    <x:row r="5">
      <x:c r="A5" s="365"/>
      <x:c r="B5" s="357"/>
      <x:c r="C5" s="366"/>
      <x:c r="D5" s="375" t="n">
        <x:f>Inputs!C5</x:f>
        <x:v>46204</x:v>
      </x:c>
      <x:c r="E5" s="126" t="n">
        <x:f>EDATE(D5,1)</x:f>
        <x:v>46235</x:v>
      </x:c>
      <x:c r="F5" s="126" t="n">
        <x:f>EDATE(E5,1)</x:f>
        <x:v>46266</x:v>
      </x:c>
      <x:c r="G5" s="126" t="n">
        <x:f>EDATE(F5,1)</x:f>
        <x:v>46296</x:v>
      </x:c>
      <x:c r="H5" s="126" t="n">
        <x:f>EDATE(G5,1)</x:f>
        <x:v>46327</x:v>
      </x:c>
      <x:c r="I5" s="126" t="n">
        <x:f>EDATE(H5,1)</x:f>
        <x:v>46357</x:v>
      </x:c>
      <x:c r="J5" s="126" t="n">
        <x:f>EDATE(I5,1)</x:f>
        <x:v>46388</x:v>
      </x:c>
      <x:c r="K5" s="126" t="n">
        <x:f>EDATE(J5,1)</x:f>
        <x:v>46419</x:v>
      </x:c>
      <x:c r="L5" s="126" t="n">
        <x:f>EDATE(K5,1)</x:f>
        <x:v>46447</x:v>
      </x:c>
      <x:c r="M5" s="126" t="n">
        <x:f>EDATE(L5,1)</x:f>
        <x:v>46478</x:v>
      </x:c>
      <x:c r="N5" s="126" t="n">
        <x:f>EDATE(M5,1)</x:f>
        <x:v>46508</x:v>
      </x:c>
      <x:c r="O5" s="126" t="n">
        <x:f>EDATE(N5,1)</x:f>
        <x:v>46539</x:v>
      </x:c>
      <x:c r="P5" s="126" t="n">
        <x:f>EDATE(O5,1)</x:f>
        <x:v>46569</x:v>
      </x:c>
      <x:c r="Q5" s="126" t="n">
        <x:f>EDATE(P5,1)</x:f>
        <x:v>46600</x:v>
      </x:c>
      <x:c r="R5" s="126" t="n">
        <x:f>EDATE(Q5,1)</x:f>
        <x:v>46631</x:v>
      </x:c>
      <x:c r="S5" s="126" t="n">
        <x:f>EDATE(R5,1)</x:f>
        <x:v>46661</x:v>
      </x:c>
      <x:c r="T5" s="126" t="n">
        <x:f>EDATE(S5,1)</x:f>
        <x:v>46692</x:v>
      </x:c>
      <x:c r="U5" s="126" t="n">
        <x:f>EDATE(T5,1)</x:f>
        <x:v>46722</x:v>
      </x:c>
      <x:c r="V5" s="126" t="n">
        <x:f>EDATE(U5,1)</x:f>
        <x:v>46753</x:v>
      </x:c>
      <x:c r="W5" s="126" t="n">
        <x:f>EDATE(V5,1)</x:f>
        <x:v>46784</x:v>
      </x:c>
      <x:c r="X5" s="126" t="n">
        <x:f>EDATE(W5,1)</x:f>
        <x:v>46813</x:v>
      </x:c>
      <x:c r="Y5" s="126" t="n">
        <x:f>EDATE(X5,1)</x:f>
        <x:v>46844</x:v>
      </x:c>
      <x:c r="Z5" s="126" t="n">
        <x:f>EDATE(Y5,1)</x:f>
        <x:v>46874</x:v>
      </x:c>
      <x:c r="AA5" s="126" t="n">
        <x:f>EDATE(Z5,1)</x:f>
        <x:v>46905</x:v>
      </x:c>
      <x:c r="AB5" s="126" t="n">
        <x:f>EDATE(AA5,1)</x:f>
        <x:v>46935</x:v>
      </x:c>
      <x:c r="AC5" s="126" t="n">
        <x:f>EDATE(AB5,1)</x:f>
        <x:v>46966</x:v>
      </x:c>
      <x:c r="AD5" s="126" t="n">
        <x:f>EDATE(AC5,1)</x:f>
        <x:v>46997</x:v>
      </x:c>
      <x:c r="AE5" s="126" t="n">
        <x:f>EDATE(AD5,1)</x:f>
        <x:v>47027</x:v>
      </x:c>
      <x:c r="AF5" s="126" t="n">
        <x:f>EDATE(AE5,1)</x:f>
        <x:v>47058</x:v>
      </x:c>
      <x:c r="AG5" s="126" t="n">
        <x:f>EDATE(AF5,1)</x:f>
        <x:v>47088</x:v>
      </x:c>
      <x:c r="AH5" s="126" t="n">
        <x:f>EDATE(AG5,1)</x:f>
        <x:v>47119</x:v>
      </x:c>
      <x:c r="AI5" s="126" t="n">
        <x:f>EDATE(AH5,1)</x:f>
        <x:v>47150</x:v>
      </x:c>
      <x:c r="AJ5" s="126" t="n">
        <x:f>EDATE(AI5,1)</x:f>
        <x:v>47178</x:v>
      </x:c>
      <x:c r="AK5" s="126" t="n">
        <x:f>EDATE(AJ5,1)</x:f>
        <x:v>47209</x:v>
      </x:c>
      <x:c r="AL5" s="126" t="n">
        <x:f>EDATE(AK5,1)</x:f>
        <x:v>47239</x:v>
      </x:c>
      <x:c r="AM5" s="126" t="n">
        <x:f>EDATE(AL5,1)</x:f>
        <x:v>47270</x:v>
      </x:c>
      <x:c r="AN5" s="126" t="n">
        <x:f>EDATE(AM5,1)</x:f>
        <x:v>47300</x:v>
      </x:c>
      <x:c r="AO5" s="126" t="n">
        <x:f>EDATE(AN5,1)</x:f>
        <x:v>47331</x:v>
      </x:c>
      <x:c r="AP5" s="126" t="n">
        <x:f>EDATE(AO5,1)</x:f>
        <x:v>47362</x:v>
      </x:c>
      <x:c r="AQ5" s="126" t="n">
        <x:f>EDATE(AP5,1)</x:f>
        <x:v>47392</x:v>
      </x:c>
      <x:c r="AR5" s="126" t="n">
        <x:f>EDATE(AQ5,1)</x:f>
        <x:v>47423</x:v>
      </x:c>
      <x:c r="AS5" s="126" t="n">
        <x:f>EDATE(AR5,1)</x:f>
        <x:v>47453</x:v>
      </x:c>
      <x:c r="AT5" s="126" t="n">
        <x:f>EDATE(AS5,1)</x:f>
        <x:v>47484</x:v>
      </x:c>
      <x:c r="AU5" s="126" t="n">
        <x:f>EDATE(AT5,1)</x:f>
        <x:v>47515</x:v>
      </x:c>
      <x:c r="AV5" s="126" t="n">
        <x:f>EDATE(AU5,1)</x:f>
        <x:v>47543</x:v>
      </x:c>
      <x:c r="AW5" s="126" t="n">
        <x:f>EDATE(AV5,1)</x:f>
        <x:v>47574</x:v>
      </x:c>
      <x:c r="AX5" s="126" t="n">
        <x:f>EDATE(AW5,1)</x:f>
        <x:v>47604</x:v>
      </x:c>
      <x:c r="AY5" s="126" t="n">
        <x:f>EDATE(AX5,1)</x:f>
        <x:v>47635</x:v>
      </x:c>
      <x:c r="AZ5" s="126" t="n">
        <x:f>EDATE(AY5,1)</x:f>
        <x:v>47665</x:v>
      </x:c>
      <x:c r="BA5" s="126" t="n">
        <x:f>EDATE(AZ5,1)</x:f>
        <x:v>47696</x:v>
      </x:c>
      <x:c r="BB5" s="126" t="n">
        <x:f>EDATE(BA5,1)</x:f>
        <x:v>47727</x:v>
      </x:c>
      <x:c r="BC5" s="126" t="n">
        <x:f>EDATE(BB5,1)</x:f>
        <x:v>47757</x:v>
      </x:c>
      <x:c r="BD5" s="126" t="n">
        <x:f>EDATE(BC5,1)</x:f>
        <x:v>47788</x:v>
      </x:c>
      <x:c r="BE5" s="126" t="n">
        <x:f>EDATE(BD5,1)</x:f>
        <x:v>47818</x:v>
      </x:c>
      <x:c r="BF5" s="126" t="n">
        <x:f>EDATE(BE5,1)</x:f>
        <x:v>47849</x:v>
      </x:c>
      <x:c r="BG5" s="126" t="n">
        <x:f>EDATE(BF5,1)</x:f>
        <x:v>47880</x:v>
      </x:c>
      <x:c r="BH5" s="126" t="n">
        <x:f>EDATE(BG5,1)</x:f>
        <x:v>47908</x:v>
      </x:c>
      <x:c r="BI5" s="126" t="n">
        <x:f>EDATE(BH5,1)</x:f>
        <x:v>47939</x:v>
      </x:c>
      <x:c r="BJ5" s="126" t="n">
        <x:f>EDATE(BI5,1)</x:f>
        <x:v>47969</x:v>
      </x:c>
      <x:c r="BK5" s="376" t="n">
        <x:f>EDATE(BJ5,1)</x:f>
        <x:v>48000</x:v>
      </x:c>
    </x:row>
    <x:row r="6">
      <x:c r="A6" s="365"/>
      <x:c r="B6" s="357"/>
      <x:c r="C6" s="366"/>
      <x:c r="D6" s="377" t="n">
        <x:f>DAY(EOMONTH(D5,0))</x:f>
        <x:v>31</x:v>
      </x:c>
      <x:c r="E6" s="351" t="n">
        <x:f>DAY(EOMONTH(E5,0))</x:f>
        <x:v>31</x:v>
      </x:c>
      <x:c r="F6" s="351" t="n">
        <x:f>DAY(EOMONTH(F5,0))</x:f>
        <x:v>30</x:v>
      </x:c>
      <x:c r="G6" s="351" t="n">
        <x:f>DAY(EOMONTH(G5,0))</x:f>
        <x:v>31</x:v>
      </x:c>
      <x:c r="H6" s="351" t="n">
        <x:f>DAY(EOMONTH(H5,0))</x:f>
        <x:v>30</x:v>
      </x:c>
      <x:c r="I6" s="351" t="n">
        <x:f>DAY(EOMONTH(I5,0))</x:f>
        <x:v>31</x:v>
      </x:c>
      <x:c r="J6" s="351" t="n">
        <x:f>DAY(EOMONTH(J5,0))</x:f>
        <x:v>31</x:v>
      </x:c>
      <x:c r="K6" s="351" t="n">
        <x:f>DAY(EOMONTH(K5,0))</x:f>
        <x:v>28</x:v>
      </x:c>
      <x:c r="L6" s="351" t="n">
        <x:f>DAY(EOMONTH(L5,0))</x:f>
        <x:v>31</x:v>
      </x:c>
      <x:c r="M6" s="351" t="n">
        <x:f>DAY(EOMONTH(M5,0))</x:f>
        <x:v>30</x:v>
      </x:c>
      <x:c r="N6" s="351" t="n">
        <x:f>DAY(EOMONTH(N5,0))</x:f>
        <x:v>31</x:v>
      </x:c>
      <x:c r="O6" s="351" t="n">
        <x:f>DAY(EOMONTH(O5,0))</x:f>
        <x:v>30</x:v>
      </x:c>
      <x:c r="P6" s="351" t="n">
        <x:f>DAY(EOMONTH(P5,0))</x:f>
        <x:v>31</x:v>
      </x:c>
      <x:c r="Q6" s="351" t="n">
        <x:f>DAY(EOMONTH(Q5,0))</x:f>
        <x:v>31</x:v>
      </x:c>
      <x:c r="R6" s="351" t="n">
        <x:f>DAY(EOMONTH(R5,0))</x:f>
        <x:v>30</x:v>
      </x:c>
      <x:c r="S6" s="351" t="n">
        <x:f>DAY(EOMONTH(S5,0))</x:f>
        <x:v>31</x:v>
      </x:c>
      <x:c r="T6" s="351" t="n">
        <x:f>DAY(EOMONTH(T5,0))</x:f>
        <x:v>30</x:v>
      </x:c>
      <x:c r="U6" s="351" t="n">
        <x:f>DAY(EOMONTH(U5,0))</x:f>
        <x:v>31</x:v>
      </x:c>
      <x:c r="V6" s="351" t="n">
        <x:f>DAY(EOMONTH(V5,0))</x:f>
        <x:v>31</x:v>
      </x:c>
      <x:c r="W6" s="351" t="n">
        <x:f>DAY(EOMONTH(W5,0))</x:f>
        <x:v>29</x:v>
      </x:c>
      <x:c r="X6" s="351" t="n">
        <x:f>DAY(EOMONTH(X5,0))</x:f>
        <x:v>31</x:v>
      </x:c>
      <x:c r="Y6" s="351" t="n">
        <x:f>DAY(EOMONTH(Y5,0))</x:f>
        <x:v>30</x:v>
      </x:c>
      <x:c r="Z6" s="351" t="n">
        <x:f>DAY(EOMONTH(Z5,0))</x:f>
        <x:v>31</x:v>
      </x:c>
      <x:c r="AA6" s="351" t="n">
        <x:f>DAY(EOMONTH(AA5,0))</x:f>
        <x:v>30</x:v>
      </x:c>
      <x:c r="AB6" s="351" t="n">
        <x:f>DAY(EOMONTH(AB5,0))</x:f>
        <x:v>31</x:v>
      </x:c>
      <x:c r="AC6" s="351" t="n">
        <x:f>DAY(EOMONTH(AC5,0))</x:f>
        <x:v>31</x:v>
      </x:c>
      <x:c r="AD6" s="351" t="n">
        <x:f>DAY(EOMONTH(AD5,0))</x:f>
        <x:v>30</x:v>
      </x:c>
      <x:c r="AE6" s="351" t="n">
        <x:f>DAY(EOMONTH(AE5,0))</x:f>
        <x:v>31</x:v>
      </x:c>
      <x:c r="AF6" s="351" t="n">
        <x:f>DAY(EOMONTH(AF5,0))</x:f>
        <x:v>30</x:v>
      </x:c>
      <x:c r="AG6" s="351" t="n">
        <x:f>DAY(EOMONTH(AG5,0))</x:f>
        <x:v>31</x:v>
      </x:c>
      <x:c r="AH6" s="351" t="n">
        <x:f>DAY(EOMONTH(AH5,0))</x:f>
        <x:v>31</x:v>
      </x:c>
      <x:c r="AI6" s="351" t="n">
        <x:f>DAY(EOMONTH(AI5,0))</x:f>
        <x:v>28</x:v>
      </x:c>
      <x:c r="AJ6" s="351" t="n">
        <x:f>DAY(EOMONTH(AJ5,0))</x:f>
        <x:v>31</x:v>
      </x:c>
      <x:c r="AK6" s="351" t="n">
        <x:f>DAY(EOMONTH(AK5,0))</x:f>
        <x:v>30</x:v>
      </x:c>
      <x:c r="AL6" s="351" t="n">
        <x:f>DAY(EOMONTH(AL5,0))</x:f>
        <x:v>31</x:v>
      </x:c>
      <x:c r="AM6" s="351" t="n">
        <x:f>DAY(EOMONTH(AM5,0))</x:f>
        <x:v>30</x:v>
      </x:c>
      <x:c r="AN6" s="351" t="n">
        <x:f>DAY(EOMONTH(AN5,0))</x:f>
        <x:v>31</x:v>
      </x:c>
      <x:c r="AO6" s="351" t="n">
        <x:f>DAY(EOMONTH(AO5,0))</x:f>
        <x:v>31</x:v>
      </x:c>
      <x:c r="AP6" s="351" t="n">
        <x:f>DAY(EOMONTH(AP5,0))</x:f>
        <x:v>30</x:v>
      </x:c>
      <x:c r="AQ6" s="351" t="n">
        <x:f>DAY(EOMONTH(AQ5,0))</x:f>
        <x:v>31</x:v>
      </x:c>
      <x:c r="AR6" s="351" t="n">
        <x:f>DAY(EOMONTH(AR5,0))</x:f>
        <x:v>30</x:v>
      </x:c>
      <x:c r="AS6" s="351" t="n">
        <x:f>DAY(EOMONTH(AS5,0))</x:f>
        <x:v>31</x:v>
      </x:c>
      <x:c r="AT6" s="351" t="n">
        <x:f>DAY(EOMONTH(AT5,0))</x:f>
        <x:v>31</x:v>
      </x:c>
      <x:c r="AU6" s="351" t="n">
        <x:f>DAY(EOMONTH(AU5,0))</x:f>
        <x:v>28</x:v>
      </x:c>
      <x:c r="AV6" s="351" t="n">
        <x:f>DAY(EOMONTH(AV5,0))</x:f>
        <x:v>31</x:v>
      </x:c>
      <x:c r="AW6" s="351" t="n">
        <x:f>DAY(EOMONTH(AW5,0))</x:f>
        <x:v>30</x:v>
      </x:c>
      <x:c r="AX6" s="351" t="n">
        <x:f>DAY(EOMONTH(AX5,0))</x:f>
        <x:v>31</x:v>
      </x:c>
      <x:c r="AY6" s="351" t="n">
        <x:f>DAY(EOMONTH(AY5,0))</x:f>
        <x:v>30</x:v>
      </x:c>
      <x:c r="AZ6" s="351" t="n">
        <x:f>DAY(EOMONTH(AZ5,0))</x:f>
        <x:v>31</x:v>
      </x:c>
      <x:c r="BA6" s="351" t="n">
        <x:f>DAY(EOMONTH(BA5,0))</x:f>
        <x:v>31</x:v>
      </x:c>
      <x:c r="BB6" s="351" t="n">
        <x:f>DAY(EOMONTH(BB5,0))</x:f>
        <x:v>30</x:v>
      </x:c>
      <x:c r="BC6" s="351" t="n">
        <x:f>DAY(EOMONTH(BC5,0))</x:f>
        <x:v>31</x:v>
      </x:c>
      <x:c r="BD6" s="351" t="n">
        <x:f>DAY(EOMONTH(BD5,0))</x:f>
        <x:v>30</x:v>
      </x:c>
      <x:c r="BE6" s="351" t="n">
        <x:f>DAY(EOMONTH(BE5,0))</x:f>
        <x:v>31</x:v>
      </x:c>
      <x:c r="BF6" s="351" t="n">
        <x:f>DAY(EOMONTH(BF5,0))</x:f>
        <x:v>31</x:v>
      </x:c>
      <x:c r="BG6" s="351" t="n">
        <x:f>DAY(EOMONTH(BG5,0))</x:f>
        <x:v>28</x:v>
      </x:c>
      <x:c r="BH6" s="351" t="n">
        <x:f>DAY(EOMONTH(BH5,0))</x:f>
        <x:v>31</x:v>
      </x:c>
      <x:c r="BI6" s="351" t="n">
        <x:f>DAY(EOMONTH(BI5,0))</x:f>
        <x:v>30</x:v>
      </x:c>
      <x:c r="BJ6" s="351" t="n">
        <x:f>DAY(EOMONTH(BJ5,0))</x:f>
        <x:v>31</x:v>
      </x:c>
      <x:c r="BK6" s="378" t="n">
        <x:f>DAY(EOMONTH(BK5,0))</x:f>
        <x:v>30</x:v>
      </x:c>
    </x:row>
    <x:row r="7">
      <x:c r="A7" s="365"/>
      <x:c r="B7" s="357"/>
      <x:c r="C7" s="366"/>
      <x:c r="D7" s="377"/>
      <x:c r="E7" s="351"/>
      <x:c r="F7" s="351"/>
      <x:c r="G7" s="351"/>
      <x:c r="H7" s="351"/>
      <x:c r="I7" s="351"/>
      <x:c r="J7" s="351"/>
      <x:c r="K7" s="351"/>
      <x:c r="L7" s="351"/>
      <x:c r="M7" s="351"/>
      <x:c r="N7" s="351"/>
      <x:c r="O7" s="351"/>
      <x:c r="P7" s="351"/>
      <x:c r="Q7" s="351"/>
      <x:c r="R7" s="351"/>
      <x:c r="S7" s="351"/>
      <x:c r="T7" s="351"/>
      <x:c r="U7" s="351"/>
      <x:c r="V7" s="351"/>
      <x:c r="W7" s="351"/>
      <x:c r="X7" s="351"/>
      <x:c r="Y7" s="351"/>
      <x:c r="Z7" s="351"/>
      <x:c r="AA7" s="351"/>
      <x:c r="AB7" s="351"/>
      <x:c r="AC7" s="351"/>
      <x:c r="AD7" s="351"/>
      <x:c r="AE7" s="351"/>
      <x:c r="AF7" s="351"/>
      <x:c r="AG7" s="351"/>
      <x:c r="AH7" s="351"/>
      <x:c r="AI7" s="351"/>
      <x:c r="AJ7" s="351"/>
      <x:c r="AK7" s="351"/>
      <x:c r="AL7" s="351"/>
      <x:c r="AM7" s="351"/>
      <x:c r="AN7" s="351"/>
      <x:c r="AO7" s="351"/>
      <x:c r="AP7" s="351"/>
      <x:c r="AQ7" s="351"/>
      <x:c r="AR7" s="351"/>
      <x:c r="AS7" s="351"/>
      <x:c r="AT7" s="351"/>
      <x:c r="AU7" s="351"/>
      <x:c r="AV7" s="351"/>
      <x:c r="AW7" s="351"/>
      <x:c r="AX7" s="351"/>
      <x:c r="AY7" s="351"/>
      <x:c r="AZ7" s="351"/>
      <x:c r="BA7" s="351"/>
      <x:c r="BB7" s="351"/>
      <x:c r="BC7" s="351"/>
      <x:c r="BD7" s="351"/>
      <x:c r="BE7" s="351"/>
      <x:c r="BF7" s="351"/>
      <x:c r="BG7" s="351"/>
      <x:c r="BH7" s="351"/>
      <x:c r="BI7" s="351"/>
      <x:c r="BJ7" s="351"/>
      <x:c r="BK7" s="378"/>
    </x:row>
    <x:row r="8">
      <x:c r="A8" s="365" t="str">
        <x:v>New gross debt draw</x:v>
      </x:c>
      <x:c r="B8" s="357" t="str">
        <x:v>ZAR'000</x:v>
      </x:c>
      <x:c r="C8" s="366" t="str">
        <x:v>Linked from Funding_36M first 36 months; 0 thereafter</x:v>
      </x:c>
      <x:c r="D8" s="379" t="n">
        <x:f>Funding_36M!D12</x:f>
        <x:v>0</x:v>
      </x:c>
      <x:c r="E8" s="359" t="n">
        <x:f>Funding_36M!E12</x:f>
        <x:v>0</x:v>
      </x:c>
      <x:c r="F8" s="359" t="n">
        <x:f>Funding_36M!F12</x:f>
        <x:v>0</x:v>
      </x:c>
      <x:c r="G8" s="359" t="n">
        <x:f>Funding_36M!G12</x:f>
        <x:v>0</x:v>
      </x:c>
      <x:c r="H8" s="359" t="n">
        <x:f>Funding_36M!H12</x:f>
        <x:v>0</x:v>
      </x:c>
      <x:c r="I8" s="359" t="n">
        <x:f>Funding_36M!I12</x:f>
        <x:v>0</x:v>
      </x:c>
      <x:c r="J8" s="359" t="n">
        <x:f>Funding_36M!J12</x:f>
        <x:v>0</x:v>
      </x:c>
      <x:c r="K8" s="359" t="n">
        <x:f>Funding_36M!K12</x:f>
        <x:v>0</x:v>
      </x:c>
      <x:c r="L8" s="359" t="n">
        <x:f>Funding_36M!L12</x:f>
        <x:v>0</x:v>
      </x:c>
      <x:c r="M8" s="359" t="n">
        <x:f>Funding_36M!M12</x:f>
        <x:v>0</x:v>
      </x:c>
      <x:c r="N8" s="359" t="n">
        <x:f>Funding_36M!N12</x:f>
        <x:v>0</x:v>
      </x:c>
      <x:c r="O8" s="359" t="n">
        <x:f>Funding_36M!O12</x:f>
        <x:v>0</x:v>
      </x:c>
      <x:c r="P8" s="359" t="n">
        <x:f>Funding_36M!P12</x:f>
        <x:v>0</x:v>
      </x:c>
      <x:c r="Q8" s="359" t="n">
        <x:f>Funding_36M!Q12</x:f>
        <x:v>0</x:v>
      </x:c>
      <x:c r="R8" s="359" t="n">
        <x:f>Funding_36M!R12</x:f>
        <x:v>0</x:v>
      </x:c>
      <x:c r="S8" s="359" t="n">
        <x:f>Funding_36M!S12</x:f>
        <x:v>0</x:v>
      </x:c>
      <x:c r="T8" s="359" t="n">
        <x:f>Funding_36M!T12</x:f>
        <x:v>0</x:v>
      </x:c>
      <x:c r="U8" s="359" t="n">
        <x:f>Funding_36M!U12</x:f>
        <x:v>0</x:v>
      </x:c>
      <x:c r="V8" s="359" t="n">
        <x:f>Funding_36M!V12</x:f>
        <x:v>0</x:v>
      </x:c>
      <x:c r="W8" s="359" t="n">
        <x:f>Funding_36M!W12</x:f>
        <x:v>0</x:v>
      </x:c>
      <x:c r="X8" s="359" t="n">
        <x:f>Funding_36M!X12</x:f>
        <x:v>0</x:v>
      </x:c>
      <x:c r="Y8" s="359" t="n">
        <x:f>Funding_36M!Y12</x:f>
        <x:v>0</x:v>
      </x:c>
      <x:c r="Z8" s="359" t="n">
        <x:f>Funding_36M!Z12</x:f>
        <x:v>0</x:v>
      </x:c>
      <x:c r="AA8" s="359" t="n">
        <x:f>Funding_36M!AA12</x:f>
        <x:v>0</x:v>
      </x:c>
      <x:c r="AB8" s="359" t="n">
        <x:f>Funding_36M!AB12</x:f>
        <x:v>0</x:v>
      </x:c>
      <x:c r="AC8" s="359" t="n">
        <x:f>Funding_36M!AC12</x:f>
        <x:v>0</x:v>
      </x:c>
      <x:c r="AD8" s="359" t="n">
        <x:f>Funding_36M!AD12</x:f>
        <x:v>0</x:v>
      </x:c>
      <x:c r="AE8" s="359" t="n">
        <x:f>Funding_36M!AE12</x:f>
        <x:v>0</x:v>
      </x:c>
      <x:c r="AF8" s="359" t="n">
        <x:f>Funding_36M!AF12</x:f>
        <x:v>0</x:v>
      </x:c>
      <x:c r="AG8" s="359" t="n">
        <x:f>Funding_36M!AG12</x:f>
        <x:v>0</x:v>
      </x:c>
      <x:c r="AH8" s="359" t="n">
        <x:f>Funding_36M!AH12</x:f>
        <x:v>0</x:v>
      </x:c>
      <x:c r="AI8" s="359" t="n">
        <x:f>Funding_36M!AI12</x:f>
        <x:v>0</x:v>
      </x:c>
      <x:c r="AJ8" s="359" t="n">
        <x:f>Funding_36M!AJ12</x:f>
        <x:v>0</x:v>
      </x:c>
      <x:c r="AK8" s="359" t="n">
        <x:f>Funding_36M!AK12</x:f>
        <x:v>0</x:v>
      </x:c>
      <x:c r="AL8" s="359" t="n">
        <x:f>Funding_36M!AL12</x:f>
        <x:v>0</x:v>
      </x:c>
      <x:c r="AM8" s="359" t="n">
        <x:f>Funding_36M!AM12</x:f>
        <x:v>0</x:v>
      </x:c>
      <x:c r="AN8" s="359" t="n">
        <x:f>0</x:f>
        <x:v>0</x:v>
      </x:c>
      <x:c r="AO8" s="359" t="n">
        <x:f>0</x:f>
        <x:v>0</x:v>
      </x:c>
      <x:c r="AP8" s="359" t="n">
        <x:f>0</x:f>
        <x:v>0</x:v>
      </x:c>
      <x:c r="AQ8" s="359" t="n">
        <x:f>0</x:f>
        <x:v>0</x:v>
      </x:c>
      <x:c r="AR8" s="359" t="n">
        <x:f>0</x:f>
        <x:v>0</x:v>
      </x:c>
      <x:c r="AS8" s="359" t="n">
        <x:f>0</x:f>
        <x:v>0</x:v>
      </x:c>
      <x:c r="AT8" s="359" t="n">
        <x:f>0</x:f>
        <x:v>0</x:v>
      </x:c>
      <x:c r="AU8" s="359" t="n">
        <x:f>0</x:f>
        <x:v>0</x:v>
      </x:c>
      <x:c r="AV8" s="359" t="n">
        <x:f>0</x:f>
        <x:v>0</x:v>
      </x:c>
      <x:c r="AW8" s="359" t="n">
        <x:f>0</x:f>
        <x:v>0</x:v>
      </x:c>
      <x:c r="AX8" s="359" t="n">
        <x:f>0</x:f>
        <x:v>0</x:v>
      </x:c>
      <x:c r="AY8" s="359" t="n">
        <x:f>0</x:f>
        <x:v>0</x:v>
      </x:c>
      <x:c r="AZ8" s="359" t="n">
        <x:f>0</x:f>
        <x:v>0</x:v>
      </x:c>
      <x:c r="BA8" s="359" t="n">
        <x:f>0</x:f>
        <x:v>0</x:v>
      </x:c>
      <x:c r="BB8" s="359" t="n">
        <x:f>0</x:f>
        <x:v>0</x:v>
      </x:c>
      <x:c r="BC8" s="359" t="n">
        <x:f>0</x:f>
        <x:v>0</x:v>
      </x:c>
      <x:c r="BD8" s="359" t="n">
        <x:f>0</x:f>
        <x:v>0</x:v>
      </x:c>
      <x:c r="BE8" s="359" t="n">
        <x:f>0</x:f>
        <x:v>0</x:v>
      </x:c>
      <x:c r="BF8" s="359" t="n">
        <x:f>0</x:f>
        <x:v>0</x:v>
      </x:c>
      <x:c r="BG8" s="359" t="n">
        <x:f>0</x:f>
        <x:v>0</x:v>
      </x:c>
      <x:c r="BH8" s="359" t="n">
        <x:f>0</x:f>
        <x:v>0</x:v>
      </x:c>
      <x:c r="BI8" s="359" t="n">
        <x:f>0</x:f>
        <x:v>0</x:v>
      </x:c>
      <x:c r="BJ8" s="359" t="n">
        <x:f>0</x:f>
        <x:v>0</x:v>
      </x:c>
      <x:c r="BK8" s="380" t="n">
        <x:f>0</x:f>
        <x:v>0</x:v>
      </x:c>
    </x:row>
    <x:row r="9">
      <x:c r="A9" s="365" t="str">
        <x:v>Opening balance</x:v>
      </x:c>
      <x:c r="B9" s="357" t="str">
        <x:v>ZAR'000</x:v>
      </x:c>
      <x:c r="C9" s="366" t="str">
        <x:v>Prior month closing balance</x:v>
      </x:c>
      <x:c r="D9" s="381" t="n">
        <x:f>0</x:f>
        <x:v>0</x:v>
      </x:c>
      <x:c r="E9" s="361" t="n">
        <x:f>D13</x:f>
        <x:v>0</x:v>
      </x:c>
      <x:c r="F9" s="361" t="n">
        <x:f>E13</x:f>
        <x:v>0</x:v>
      </x:c>
      <x:c r="G9" s="361" t="n">
        <x:f>F13</x:f>
        <x:v>0</x:v>
      </x:c>
      <x:c r="H9" s="361" t="n">
        <x:f>G13</x:f>
        <x:v>0</x:v>
      </x:c>
      <x:c r="I9" s="361" t="n">
        <x:f>H13</x:f>
        <x:v>0</x:v>
      </x:c>
      <x:c r="J9" s="361" t="n">
        <x:f>I13</x:f>
        <x:v>0</x:v>
      </x:c>
      <x:c r="K9" s="361" t="n">
        <x:f>J13</x:f>
        <x:v>0</x:v>
      </x:c>
      <x:c r="L9" s="361" t="n">
        <x:f>K13</x:f>
        <x:v>0</x:v>
      </x:c>
      <x:c r="M9" s="361" t="n">
        <x:f>L13</x:f>
        <x:v>0</x:v>
      </x:c>
      <x:c r="N9" s="361" t="n">
        <x:f>M13</x:f>
        <x:v>0</x:v>
      </x:c>
      <x:c r="O9" s="361" t="n">
        <x:f>N13</x:f>
        <x:v>0</x:v>
      </x:c>
      <x:c r="P9" s="361" t="n">
        <x:f>O13</x:f>
        <x:v>0</x:v>
      </x:c>
      <x:c r="Q9" s="361" t="n">
        <x:f>P13</x:f>
        <x:v>0</x:v>
      </x:c>
      <x:c r="R9" s="361" t="n">
        <x:f>Q13</x:f>
        <x:v>0</x:v>
      </x:c>
      <x:c r="S9" s="361" t="n">
        <x:f>R13</x:f>
        <x:v>0</x:v>
      </x:c>
      <x:c r="T9" s="361" t="n">
        <x:f>S13</x:f>
        <x:v>0</x:v>
      </x:c>
      <x:c r="U9" s="361" t="n">
        <x:f>T13</x:f>
        <x:v>0</x:v>
      </x:c>
      <x:c r="V9" s="361" t="n">
        <x:f>U13</x:f>
        <x:v>0</x:v>
      </x:c>
      <x:c r="W9" s="361" t="n">
        <x:f>V13</x:f>
        <x:v>0</x:v>
      </x:c>
      <x:c r="X9" s="361" t="n">
        <x:f>W13</x:f>
        <x:v>0</x:v>
      </x:c>
      <x:c r="Y9" s="361" t="n">
        <x:f>X13</x:f>
        <x:v>0</x:v>
      </x:c>
      <x:c r="Z9" s="361" t="n">
        <x:f>Y13</x:f>
        <x:v>0</x:v>
      </x:c>
      <x:c r="AA9" s="361" t="n">
        <x:f>Z13</x:f>
        <x:v>0</x:v>
      </x:c>
      <x:c r="AB9" s="361" t="n">
        <x:f>AA13</x:f>
        <x:v>0</x:v>
      </x:c>
      <x:c r="AC9" s="361" t="n">
        <x:f>AB13</x:f>
        <x:v>0</x:v>
      </x:c>
      <x:c r="AD9" s="361" t="n">
        <x:f>AC13</x:f>
        <x:v>0</x:v>
      </x:c>
      <x:c r="AE9" s="361" t="n">
        <x:f>AD13</x:f>
        <x:v>0</x:v>
      </x:c>
      <x:c r="AF9" s="361" t="n">
        <x:f>AE13</x:f>
        <x:v>0</x:v>
      </x:c>
      <x:c r="AG9" s="361" t="n">
        <x:f>AF13</x:f>
        <x:v>0</x:v>
      </x:c>
      <x:c r="AH9" s="361" t="n">
        <x:f>AG13</x:f>
        <x:v>0</x:v>
      </x:c>
      <x:c r="AI9" s="361" t="n">
        <x:f>AH13</x:f>
        <x:v>0</x:v>
      </x:c>
      <x:c r="AJ9" s="361" t="n">
        <x:f>AI13</x:f>
        <x:v>0</x:v>
      </x:c>
      <x:c r="AK9" s="361" t="n">
        <x:f>AJ13</x:f>
        <x:v>0</x:v>
      </x:c>
      <x:c r="AL9" s="361" t="n">
        <x:f>AK13</x:f>
        <x:v>0</x:v>
      </x:c>
      <x:c r="AM9" s="361" t="n">
        <x:f>AL13</x:f>
        <x:v>0</x:v>
      </x:c>
      <x:c r="AN9" s="361" t="n">
        <x:f>AM13</x:f>
        <x:v>0</x:v>
      </x:c>
      <x:c r="AO9" s="361" t="n">
        <x:f>AN13</x:f>
        <x:v>0</x:v>
      </x:c>
      <x:c r="AP9" s="361" t="n">
        <x:f>AO13</x:f>
        <x:v>0</x:v>
      </x:c>
      <x:c r="AQ9" s="361" t="n">
        <x:f>AP13</x:f>
        <x:v>0</x:v>
      </x:c>
      <x:c r="AR9" s="361" t="n">
        <x:f>AQ13</x:f>
        <x:v>0</x:v>
      </x:c>
      <x:c r="AS9" s="361" t="n">
        <x:f>AR13</x:f>
        <x:v>0</x:v>
      </x:c>
      <x:c r="AT9" s="361" t="n">
        <x:f>AS13</x:f>
        <x:v>0</x:v>
      </x:c>
      <x:c r="AU9" s="361" t="n">
        <x:f>AT13</x:f>
        <x:v>0</x:v>
      </x:c>
      <x:c r="AV9" s="361" t="n">
        <x:f>AU13</x:f>
        <x:v>0</x:v>
      </x:c>
      <x:c r="AW9" s="361" t="n">
        <x:f>AV13</x:f>
        <x:v>0</x:v>
      </x:c>
      <x:c r="AX9" s="361" t="n">
        <x:f>AW13</x:f>
        <x:v>0</x:v>
      </x:c>
      <x:c r="AY9" s="361" t="n">
        <x:f>AX13</x:f>
        <x:v>0</x:v>
      </x:c>
      <x:c r="AZ9" s="361" t="n">
        <x:f>AY13</x:f>
        <x:v>0</x:v>
      </x:c>
      <x:c r="BA9" s="361" t="n">
        <x:f>AZ13</x:f>
        <x:v>0</x:v>
      </x:c>
      <x:c r="BB9" s="361" t="n">
        <x:f>BA13</x:f>
        <x:v>0</x:v>
      </x:c>
      <x:c r="BC9" s="361" t="n">
        <x:f>BB13</x:f>
        <x:v>0</x:v>
      </x:c>
      <x:c r="BD9" s="361" t="n">
        <x:f>BC13</x:f>
        <x:v>0</x:v>
      </x:c>
      <x:c r="BE9" s="361" t="n">
        <x:f>BD13</x:f>
        <x:v>0</x:v>
      </x:c>
      <x:c r="BF9" s="361" t="n">
        <x:f>BE13</x:f>
        <x:v>0</x:v>
      </x:c>
      <x:c r="BG9" s="361" t="n">
        <x:f>BF13</x:f>
        <x:v>0</x:v>
      </x:c>
      <x:c r="BH9" s="361" t="n">
        <x:f>BG13</x:f>
        <x:v>0</x:v>
      </x:c>
      <x:c r="BI9" s="361" t="n">
        <x:f>BH13</x:f>
        <x:v>0</x:v>
      </x:c>
      <x:c r="BJ9" s="361" t="n">
        <x:f>BI13</x:f>
        <x:v>0</x:v>
      </x:c>
      <x:c r="BK9" s="382" t="n">
        <x:f>BJ13</x:f>
        <x:v>0</x:v>
      </x:c>
    </x:row>
    <x:row r="10">
      <x:c r="A10" s="365" t="str">
        <x:v>Interest accrued</x:v>
      </x:c>
      <x:c r="B10" s="357" t="str">
        <x:v>ZAR'000</x:v>
      </x:c>
      <x:c r="C10" s="366" t="str">
        <x:v>Opening balance × monthly rate</x:v>
      </x:c>
      <x:c r="D10" s="381" t="n">
        <x:f>D9*Inputs!C95/12</x:f>
        <x:v>0</x:v>
      </x:c>
      <x:c r="E10" s="361" t="n">
        <x:f>E9*Inputs!C95/12</x:f>
        <x:v>0</x:v>
      </x:c>
      <x:c r="F10" s="361" t="n">
        <x:f>F9*Inputs!C95/12</x:f>
        <x:v>0</x:v>
      </x:c>
      <x:c r="G10" s="361" t="n">
        <x:f>G9*Inputs!C95/12</x:f>
        <x:v>0</x:v>
      </x:c>
      <x:c r="H10" s="361" t="n">
        <x:f>H9*Inputs!C95/12</x:f>
        <x:v>0</x:v>
      </x:c>
      <x:c r="I10" s="361" t="n">
        <x:f>I9*Inputs!C95/12</x:f>
        <x:v>0</x:v>
      </x:c>
      <x:c r="J10" s="361" t="n">
        <x:f>J9*Inputs!C95/12</x:f>
        <x:v>0</x:v>
      </x:c>
      <x:c r="K10" s="361" t="n">
        <x:f>K9*Inputs!C95/12</x:f>
        <x:v>0</x:v>
      </x:c>
      <x:c r="L10" s="361" t="n">
        <x:f>L9*Inputs!C95/12</x:f>
        <x:v>0</x:v>
      </x:c>
      <x:c r="M10" s="361" t="n">
        <x:f>M9*Inputs!C95/12</x:f>
        <x:v>0</x:v>
      </x:c>
      <x:c r="N10" s="361" t="n">
        <x:f>N9*Inputs!C95/12</x:f>
        <x:v>0</x:v>
      </x:c>
      <x:c r="O10" s="361" t="n">
        <x:f>O9*Inputs!C95/12</x:f>
        <x:v>0</x:v>
      </x:c>
      <x:c r="P10" s="361" t="n">
        <x:f>P9*Inputs!C95/12</x:f>
        <x:v>0</x:v>
      </x:c>
      <x:c r="Q10" s="361" t="n">
        <x:f>Q9*Inputs!C95/12</x:f>
        <x:v>0</x:v>
      </x:c>
      <x:c r="R10" s="361" t="n">
        <x:f>R9*Inputs!C95/12</x:f>
        <x:v>0</x:v>
      </x:c>
      <x:c r="S10" s="361" t="n">
        <x:f>S9*Inputs!C95/12</x:f>
        <x:v>0</x:v>
      </x:c>
      <x:c r="T10" s="361" t="n">
        <x:f>T9*Inputs!C95/12</x:f>
        <x:v>0</x:v>
      </x:c>
      <x:c r="U10" s="361" t="n">
        <x:f>U9*Inputs!C95/12</x:f>
        <x:v>0</x:v>
      </x:c>
      <x:c r="V10" s="361" t="n">
        <x:f>V9*Inputs!C95/12</x:f>
        <x:v>0</x:v>
      </x:c>
      <x:c r="W10" s="361" t="n">
        <x:f>W9*Inputs!C95/12</x:f>
        <x:v>0</x:v>
      </x:c>
      <x:c r="X10" s="361" t="n">
        <x:f>X9*Inputs!C95/12</x:f>
        <x:v>0</x:v>
      </x:c>
      <x:c r="Y10" s="361" t="n">
        <x:f>Y9*Inputs!C95/12</x:f>
        <x:v>0</x:v>
      </x:c>
      <x:c r="Z10" s="361" t="n">
        <x:f>Z9*Inputs!C95/12</x:f>
        <x:v>0</x:v>
      </x:c>
      <x:c r="AA10" s="361" t="n">
        <x:f>AA9*Inputs!C95/12</x:f>
        <x:v>0</x:v>
      </x:c>
      <x:c r="AB10" s="361" t="n">
        <x:f>AB9*Inputs!C95/12</x:f>
        <x:v>0</x:v>
      </x:c>
      <x:c r="AC10" s="361" t="n">
        <x:f>AC9*Inputs!C95/12</x:f>
        <x:v>0</x:v>
      </x:c>
      <x:c r="AD10" s="361" t="n">
        <x:f>AD9*Inputs!C95/12</x:f>
        <x:v>0</x:v>
      </x:c>
      <x:c r="AE10" s="361" t="n">
        <x:f>AE9*Inputs!C95/12</x:f>
        <x:v>0</x:v>
      </x:c>
      <x:c r="AF10" s="361" t="n">
        <x:f>AF9*Inputs!C95/12</x:f>
        <x:v>0</x:v>
      </x:c>
      <x:c r="AG10" s="361" t="n">
        <x:f>AG9*Inputs!C95/12</x:f>
        <x:v>0</x:v>
      </x:c>
      <x:c r="AH10" s="361" t="n">
        <x:f>AH9*Inputs!C95/12</x:f>
        <x:v>0</x:v>
      </x:c>
      <x:c r="AI10" s="361" t="n">
        <x:f>AI9*Inputs!C95/12</x:f>
        <x:v>0</x:v>
      </x:c>
      <x:c r="AJ10" s="361" t="n">
        <x:f>AJ9*Inputs!C95/12</x:f>
        <x:v>0</x:v>
      </x:c>
      <x:c r="AK10" s="361" t="n">
        <x:f>AK9*Inputs!C95/12</x:f>
        <x:v>0</x:v>
      </x:c>
      <x:c r="AL10" s="361" t="n">
        <x:f>AL9*Inputs!C95/12</x:f>
        <x:v>0</x:v>
      </x:c>
      <x:c r="AM10" s="361" t="n">
        <x:f>AM9*Inputs!C95/12</x:f>
        <x:v>0</x:v>
      </x:c>
      <x:c r="AN10" s="361" t="n">
        <x:f>AN9*Inputs!C95/12</x:f>
        <x:v>0</x:v>
      </x:c>
      <x:c r="AO10" s="361" t="n">
        <x:f>AO9*Inputs!C95/12</x:f>
        <x:v>0</x:v>
      </x:c>
      <x:c r="AP10" s="361" t="n">
        <x:f>AP9*Inputs!C95/12</x:f>
        <x:v>0</x:v>
      </x:c>
      <x:c r="AQ10" s="361" t="n">
        <x:f>AQ9*Inputs!C95/12</x:f>
        <x:v>0</x:v>
      </x:c>
      <x:c r="AR10" s="361" t="n">
        <x:f>AR9*Inputs!C95/12</x:f>
        <x:v>0</x:v>
      </x:c>
      <x:c r="AS10" s="361" t="n">
        <x:f>AS9*Inputs!C95/12</x:f>
        <x:v>0</x:v>
      </x:c>
      <x:c r="AT10" s="361" t="n">
        <x:f>AT9*Inputs!C95/12</x:f>
        <x:v>0</x:v>
      </x:c>
      <x:c r="AU10" s="361" t="n">
        <x:f>AU9*Inputs!C95/12</x:f>
        <x:v>0</x:v>
      </x:c>
      <x:c r="AV10" s="361" t="n">
        <x:f>AV9*Inputs!C95/12</x:f>
        <x:v>0</x:v>
      </x:c>
      <x:c r="AW10" s="361" t="n">
        <x:f>AW9*Inputs!C95/12</x:f>
        <x:v>0</x:v>
      </x:c>
      <x:c r="AX10" s="361" t="n">
        <x:f>AX9*Inputs!C95/12</x:f>
        <x:v>0</x:v>
      </x:c>
      <x:c r="AY10" s="361" t="n">
        <x:f>AY9*Inputs!C95/12</x:f>
        <x:v>0</x:v>
      </x:c>
      <x:c r="AZ10" s="361" t="n">
        <x:f>AZ9*Inputs!C95/12</x:f>
        <x:v>0</x:v>
      </x:c>
      <x:c r="BA10" s="361" t="n">
        <x:f>BA9*Inputs!C95/12</x:f>
        <x:v>0</x:v>
      </x:c>
      <x:c r="BB10" s="361" t="n">
        <x:f>BB9*Inputs!C95/12</x:f>
        <x:v>0</x:v>
      </x:c>
      <x:c r="BC10" s="361" t="n">
        <x:f>BC9*Inputs!C95/12</x:f>
        <x:v>0</x:v>
      </x:c>
      <x:c r="BD10" s="361" t="n">
        <x:f>BD9*Inputs!C95/12</x:f>
        <x:v>0</x:v>
      </x:c>
      <x:c r="BE10" s="361" t="n">
        <x:f>BE9*Inputs!C95/12</x:f>
        <x:v>0</x:v>
      </x:c>
      <x:c r="BF10" s="361" t="n">
        <x:f>BF9*Inputs!C95/12</x:f>
        <x:v>0</x:v>
      </x:c>
      <x:c r="BG10" s="361" t="n">
        <x:f>BG9*Inputs!C95/12</x:f>
        <x:v>0</x:v>
      </x:c>
      <x:c r="BH10" s="361" t="n">
        <x:f>BH9*Inputs!C95/12</x:f>
        <x:v>0</x:v>
      </x:c>
      <x:c r="BI10" s="361" t="n">
        <x:f>BI9*Inputs!C95/12</x:f>
        <x:v>0</x:v>
      </x:c>
      <x:c r="BJ10" s="361" t="n">
        <x:f>BJ9*Inputs!C95/12</x:f>
        <x:v>0</x:v>
      </x:c>
      <x:c r="BK10" s="382" t="n">
        <x:f>BK9*Inputs!C95/12</x:f>
        <x:v>0</x:v>
      </x:c>
    </x:row>
    <x:row r="11">
      <x:c r="A11" s="365" t="str">
        <x:v>Scheduled principal</x:v>
      </x:c>
      <x:c r="B11" s="357" t="str">
        <x:v>ZAR'000</x:v>
      </x:c>
      <x:c r="C11" s="366" t="str">
        <x:v>Straight-line after grace period, capped by available balance</x:v>
      </x:c>
      <x:c r="D11" s="381" t="n">
        <x:f>IF(1&lt;=Inputs!C97,0,MIN(MAX(D9+D8+D10,0),MAX(D14/MAX(Inputs!C96-Inputs!C97,1),0)))</x:f>
        <x:v>0</x:v>
      </x:c>
      <x:c r="E11" s="361" t="n">
        <x:f>IF(2&lt;=Inputs!C97,0,MIN(MAX(E9+E8+E10,0),MAX(E14/MAX(Inputs!C96-Inputs!C97,1),0)))</x:f>
        <x:v>0</x:v>
      </x:c>
      <x:c r="F11" s="361" t="n">
        <x:f>IF(3&lt;=Inputs!C97,0,MIN(MAX(F9+F8+F10,0),MAX(F14/MAX(Inputs!C96-Inputs!C97,1),0)))</x:f>
        <x:v>0</x:v>
      </x:c>
      <x:c r="G11" s="361" t="n">
        <x:f>IF(4&lt;=Inputs!C97,0,MIN(MAX(G9+G8+G10,0),MAX(G14/MAX(Inputs!C96-Inputs!C97,1),0)))</x:f>
        <x:v>0</x:v>
      </x:c>
      <x:c r="H11" s="361" t="n">
        <x:f>IF(5&lt;=Inputs!C97,0,MIN(MAX(H9+H8+H10,0),MAX(H14/MAX(Inputs!C96-Inputs!C97,1),0)))</x:f>
        <x:v>0</x:v>
      </x:c>
      <x:c r="I11" s="361" t="n">
        <x:f>IF(6&lt;=Inputs!C97,0,MIN(MAX(I9+I8+I10,0),MAX(I14/MAX(Inputs!C96-Inputs!C97,1),0)))</x:f>
        <x:v>0</x:v>
      </x:c>
      <x:c r="J11" s="361" t="n">
        <x:f>IF(7&lt;=Inputs!C97,0,MIN(MAX(J9+J8+J10,0),MAX(J14/MAX(Inputs!C96-Inputs!C97,1),0)))</x:f>
        <x:v>0</x:v>
      </x:c>
      <x:c r="K11" s="361" t="n">
        <x:f>IF(8&lt;=Inputs!C97,0,MIN(MAX(K9+K8+K10,0),MAX(K14/MAX(Inputs!C96-Inputs!C97,1),0)))</x:f>
        <x:v>0</x:v>
      </x:c>
      <x:c r="L11" s="361" t="n">
        <x:f>IF(9&lt;=Inputs!C97,0,MIN(MAX(L9+L8+L10,0),MAX(L14/MAX(Inputs!C96-Inputs!C97,1),0)))</x:f>
        <x:v>0</x:v>
      </x:c>
      <x:c r="M11" s="361" t="n">
        <x:f>IF(10&lt;=Inputs!C97,0,MIN(MAX(M9+M8+M10,0),MAX(M14/MAX(Inputs!C96-Inputs!C97,1),0)))</x:f>
        <x:v>0</x:v>
      </x:c>
      <x:c r="N11" s="361" t="n">
        <x:f>IF(11&lt;=Inputs!C97,0,MIN(MAX(N9+N8+N10,0),MAX(N14/MAX(Inputs!C96-Inputs!C97,1),0)))</x:f>
        <x:v>0</x:v>
      </x:c>
      <x:c r="O11" s="361" t="n">
        <x:f>IF(12&lt;=Inputs!C97,0,MIN(MAX(O9+O8+O10,0),MAX(O14/MAX(Inputs!C96-Inputs!C97,1),0)))</x:f>
        <x:v>0</x:v>
      </x:c>
      <x:c r="P11" s="361" t="n">
        <x:f>IF(13&lt;=Inputs!C97,0,MIN(MAX(P9+P8+P10,0),MAX(P14/MAX(Inputs!C96-Inputs!C97,1),0)))</x:f>
        <x:v>0</x:v>
      </x:c>
      <x:c r="Q11" s="361" t="n">
        <x:f>IF(14&lt;=Inputs!C97,0,MIN(MAX(Q9+Q8+Q10,0),MAX(Q14/MAX(Inputs!C96-Inputs!C97,1),0)))</x:f>
        <x:v>0</x:v>
      </x:c>
      <x:c r="R11" s="361" t="n">
        <x:f>IF(15&lt;=Inputs!C97,0,MIN(MAX(R9+R8+R10,0),MAX(R14/MAX(Inputs!C96-Inputs!C97,1),0)))</x:f>
        <x:v>0</x:v>
      </x:c>
      <x:c r="S11" s="361" t="n">
        <x:f>IF(16&lt;=Inputs!C97,0,MIN(MAX(S9+S8+S10,0),MAX(S14/MAX(Inputs!C96-Inputs!C97,1),0)))</x:f>
        <x:v>0</x:v>
      </x:c>
      <x:c r="T11" s="361" t="n">
        <x:f>IF(17&lt;=Inputs!C97,0,MIN(MAX(T9+T8+T10,0),MAX(T14/MAX(Inputs!C96-Inputs!C97,1),0)))</x:f>
        <x:v>0</x:v>
      </x:c>
      <x:c r="U11" s="361" t="n">
        <x:f>IF(18&lt;=Inputs!C97,0,MIN(MAX(U9+U8+U10,0),MAX(U14/MAX(Inputs!C96-Inputs!C97,1),0)))</x:f>
        <x:v>0</x:v>
      </x:c>
      <x:c r="V11" s="361" t="n">
        <x:f>IF(19&lt;=Inputs!C97,0,MIN(MAX(V9+V8+V10,0),MAX(V14/MAX(Inputs!C96-Inputs!C97,1),0)))</x:f>
        <x:v>0</x:v>
      </x:c>
      <x:c r="W11" s="361" t="n">
        <x:f>IF(20&lt;=Inputs!C97,0,MIN(MAX(W9+W8+W10,0),MAX(W14/MAX(Inputs!C96-Inputs!C97,1),0)))</x:f>
        <x:v>0</x:v>
      </x:c>
      <x:c r="X11" s="361" t="n">
        <x:f>IF(21&lt;=Inputs!C97,0,MIN(MAX(X9+X8+X10,0),MAX(X14/MAX(Inputs!C96-Inputs!C97,1),0)))</x:f>
        <x:v>0</x:v>
      </x:c>
      <x:c r="Y11" s="361" t="n">
        <x:f>IF(22&lt;=Inputs!C97,0,MIN(MAX(Y9+Y8+Y10,0),MAX(Y14/MAX(Inputs!C96-Inputs!C97,1),0)))</x:f>
        <x:v>0</x:v>
      </x:c>
      <x:c r="Z11" s="361" t="n">
        <x:f>IF(23&lt;=Inputs!C97,0,MIN(MAX(Z9+Z8+Z10,0),MAX(Z14/MAX(Inputs!C96-Inputs!C97,1),0)))</x:f>
        <x:v>0</x:v>
      </x:c>
      <x:c r="AA11" s="361" t="n">
        <x:f>IF(24&lt;=Inputs!C97,0,MIN(MAX(AA9+AA8+AA10,0),MAX(AA14/MAX(Inputs!C96-Inputs!C97,1),0)))</x:f>
        <x:v>0</x:v>
      </x:c>
      <x:c r="AB11" s="361" t="n">
        <x:f>IF(25&lt;=Inputs!C97,0,MIN(MAX(AB9+AB8+AB10,0),MAX(AB14/MAX(Inputs!C96-Inputs!C97,1),0)))</x:f>
        <x:v>0</x:v>
      </x:c>
      <x:c r="AC11" s="361" t="n">
        <x:f>IF(26&lt;=Inputs!C97,0,MIN(MAX(AC9+AC8+AC10,0),MAX(AC14/MAX(Inputs!C96-Inputs!C97,1),0)))</x:f>
        <x:v>0</x:v>
      </x:c>
      <x:c r="AD11" s="361" t="n">
        <x:f>IF(27&lt;=Inputs!C97,0,MIN(MAX(AD9+AD8+AD10,0),MAX(AD14/MAX(Inputs!C96-Inputs!C97,1),0)))</x:f>
        <x:v>0</x:v>
      </x:c>
      <x:c r="AE11" s="361" t="n">
        <x:f>IF(28&lt;=Inputs!C97,0,MIN(MAX(AE9+AE8+AE10,0),MAX(AE14/MAX(Inputs!C96-Inputs!C97,1),0)))</x:f>
        <x:v>0</x:v>
      </x:c>
      <x:c r="AF11" s="361" t="n">
        <x:f>IF(29&lt;=Inputs!C97,0,MIN(MAX(AF9+AF8+AF10,0),MAX(AF14/MAX(Inputs!C96-Inputs!C97,1),0)))</x:f>
        <x:v>0</x:v>
      </x:c>
      <x:c r="AG11" s="361" t="n">
        <x:f>IF(30&lt;=Inputs!C97,0,MIN(MAX(AG9+AG8+AG10,0),MAX(AG14/MAX(Inputs!C96-Inputs!C97,1),0)))</x:f>
        <x:v>0</x:v>
      </x:c>
      <x:c r="AH11" s="361" t="n">
        <x:f>IF(31&lt;=Inputs!C97,0,MIN(MAX(AH9+AH8+AH10,0),MAX(AH14/MAX(Inputs!C96-Inputs!C97,1),0)))</x:f>
        <x:v>0</x:v>
      </x:c>
      <x:c r="AI11" s="361" t="n">
        <x:f>IF(32&lt;=Inputs!C97,0,MIN(MAX(AI9+AI8+AI10,0),MAX(AI14/MAX(Inputs!C96-Inputs!C97,1),0)))</x:f>
        <x:v>0</x:v>
      </x:c>
      <x:c r="AJ11" s="361" t="n">
        <x:f>IF(33&lt;=Inputs!C97,0,MIN(MAX(AJ9+AJ8+AJ10,0),MAX(AJ14/MAX(Inputs!C96-Inputs!C97,1),0)))</x:f>
        <x:v>0</x:v>
      </x:c>
      <x:c r="AK11" s="361" t="n">
        <x:f>IF(34&lt;=Inputs!C97,0,MIN(MAX(AK9+AK8+AK10,0),MAX(AK14/MAX(Inputs!C96-Inputs!C97,1),0)))</x:f>
        <x:v>0</x:v>
      </x:c>
      <x:c r="AL11" s="361" t="n">
        <x:f>IF(35&lt;=Inputs!C97,0,MIN(MAX(AL9+AL8+AL10,0),MAX(AL14/MAX(Inputs!C96-Inputs!C97,1),0)))</x:f>
        <x:v>0</x:v>
      </x:c>
      <x:c r="AM11" s="361" t="n">
        <x:f>IF(36&lt;=Inputs!C97,0,MIN(MAX(AM9+AM8+AM10,0),MAX(AM14/MAX(Inputs!C96-Inputs!C97,1),0)))</x:f>
        <x:v>0</x:v>
      </x:c>
      <x:c r="AN11" s="361" t="n">
        <x:f>IF(37&lt;=Inputs!C97,0,MIN(MAX(AN9+AN8+AN10,0),MAX(AN14/MAX(Inputs!C96-Inputs!C97,1),0)))</x:f>
        <x:v>0</x:v>
      </x:c>
      <x:c r="AO11" s="361" t="n">
        <x:f>IF(38&lt;=Inputs!C97,0,MIN(MAX(AO9+AO8+AO10,0),MAX(AO14/MAX(Inputs!C96-Inputs!C97,1),0)))</x:f>
        <x:v>0</x:v>
      </x:c>
      <x:c r="AP11" s="361" t="n">
        <x:f>IF(39&lt;=Inputs!C97,0,MIN(MAX(AP9+AP8+AP10,0),MAX(AP14/MAX(Inputs!C96-Inputs!C97,1),0)))</x:f>
        <x:v>0</x:v>
      </x:c>
      <x:c r="AQ11" s="361" t="n">
        <x:f>IF(40&lt;=Inputs!C97,0,MIN(MAX(AQ9+AQ8+AQ10,0),MAX(AQ14/MAX(Inputs!C96-Inputs!C97,1),0)))</x:f>
        <x:v>0</x:v>
      </x:c>
      <x:c r="AR11" s="361" t="n">
        <x:f>IF(41&lt;=Inputs!C97,0,MIN(MAX(AR9+AR8+AR10,0),MAX(AR14/MAX(Inputs!C96-Inputs!C97,1),0)))</x:f>
        <x:v>0</x:v>
      </x:c>
      <x:c r="AS11" s="361" t="n">
        <x:f>IF(42&lt;=Inputs!C97,0,MIN(MAX(AS9+AS8+AS10,0),MAX(AS14/MAX(Inputs!C96-Inputs!C97,1),0)))</x:f>
        <x:v>0</x:v>
      </x:c>
      <x:c r="AT11" s="361" t="n">
        <x:f>IF(43&lt;=Inputs!C97,0,MIN(MAX(AT9+AT8+AT10,0),MAX(AT14/MAX(Inputs!C96-Inputs!C97,1),0)))</x:f>
        <x:v>0</x:v>
      </x:c>
      <x:c r="AU11" s="361" t="n">
        <x:f>IF(44&lt;=Inputs!C97,0,MIN(MAX(AU9+AU8+AU10,0),MAX(AU14/MAX(Inputs!C96-Inputs!C97,1),0)))</x:f>
        <x:v>0</x:v>
      </x:c>
      <x:c r="AV11" s="361" t="n">
        <x:f>IF(45&lt;=Inputs!C97,0,MIN(MAX(AV9+AV8+AV10,0),MAX(AV14/MAX(Inputs!C96-Inputs!C97,1),0)))</x:f>
        <x:v>0</x:v>
      </x:c>
      <x:c r="AW11" s="361" t="n">
        <x:f>IF(46&lt;=Inputs!C97,0,MIN(MAX(AW9+AW8+AW10,0),MAX(AW14/MAX(Inputs!C96-Inputs!C97,1),0)))</x:f>
        <x:v>0</x:v>
      </x:c>
      <x:c r="AX11" s="361" t="n">
        <x:f>IF(47&lt;=Inputs!C97,0,MIN(MAX(AX9+AX8+AX10,0),MAX(AX14/MAX(Inputs!C96-Inputs!C97,1),0)))</x:f>
        <x:v>0</x:v>
      </x:c>
      <x:c r="AY11" s="361" t="n">
        <x:f>IF(48&lt;=Inputs!C97,0,MIN(MAX(AY9+AY8+AY10,0),MAX(AY14/MAX(Inputs!C96-Inputs!C97,1),0)))</x:f>
        <x:v>0</x:v>
      </x:c>
      <x:c r="AZ11" s="361" t="n">
        <x:f>IF(49&lt;=Inputs!C97,0,MIN(MAX(AZ9+AZ8+AZ10,0),MAX(AZ14/MAX(Inputs!C96-Inputs!C97,1),0)))</x:f>
        <x:v>0</x:v>
      </x:c>
      <x:c r="BA11" s="361" t="n">
        <x:f>IF(50&lt;=Inputs!C97,0,MIN(MAX(BA9+BA8+BA10,0),MAX(BA14/MAX(Inputs!C96-Inputs!C97,1),0)))</x:f>
        <x:v>0</x:v>
      </x:c>
      <x:c r="BB11" s="361" t="n">
        <x:f>IF(51&lt;=Inputs!C97,0,MIN(MAX(BB9+BB8+BB10,0),MAX(BB14/MAX(Inputs!C96-Inputs!C97,1),0)))</x:f>
        <x:v>0</x:v>
      </x:c>
      <x:c r="BC11" s="361" t="n">
        <x:f>IF(52&lt;=Inputs!C97,0,MIN(MAX(BC9+BC8+BC10,0),MAX(BC14/MAX(Inputs!C96-Inputs!C97,1),0)))</x:f>
        <x:v>0</x:v>
      </x:c>
      <x:c r="BD11" s="361" t="n">
        <x:f>IF(53&lt;=Inputs!C97,0,MIN(MAX(BD9+BD8+BD10,0),MAX(BD14/MAX(Inputs!C96-Inputs!C97,1),0)))</x:f>
        <x:v>0</x:v>
      </x:c>
      <x:c r="BE11" s="361" t="n">
        <x:f>IF(54&lt;=Inputs!C97,0,MIN(MAX(BE9+BE8+BE10,0),MAX(BE14/MAX(Inputs!C96-Inputs!C97,1),0)))</x:f>
        <x:v>0</x:v>
      </x:c>
      <x:c r="BF11" s="361" t="n">
        <x:f>IF(55&lt;=Inputs!C97,0,MIN(MAX(BF9+BF8+BF10,0),MAX(BF14/MAX(Inputs!C96-Inputs!C97,1),0)))</x:f>
        <x:v>0</x:v>
      </x:c>
      <x:c r="BG11" s="361" t="n">
        <x:f>IF(56&lt;=Inputs!C97,0,MIN(MAX(BG9+BG8+BG10,0),MAX(BG14/MAX(Inputs!C96-Inputs!C97,1),0)))</x:f>
        <x:v>0</x:v>
      </x:c>
      <x:c r="BH11" s="361" t="n">
        <x:f>IF(57&lt;=Inputs!C97,0,MIN(MAX(BH9+BH8+BH10,0),MAX(BH14/MAX(Inputs!C96-Inputs!C97,1),0)))</x:f>
        <x:v>0</x:v>
      </x:c>
      <x:c r="BI11" s="361" t="n">
        <x:f>IF(58&lt;=Inputs!C97,0,MIN(MAX(BI9+BI8+BI10,0),MAX(BI14/MAX(Inputs!C96-Inputs!C97,1),0)))</x:f>
        <x:v>0</x:v>
      </x:c>
      <x:c r="BJ11" s="361" t="n">
        <x:f>IF(59&lt;=Inputs!C97,0,MIN(MAX(BJ9+BJ8+BJ10,0),MAX(BJ14/MAX(Inputs!C96-Inputs!C97,1),0)))</x:f>
        <x:v>0</x:v>
      </x:c>
      <x:c r="BK11" s="382" t="n">
        <x:f>IF(60&lt;=Inputs!C97,0,MIN(MAX(BK9+BK8+BK10,0),MAX(BK14/MAX(Inputs!C96-Inputs!C97,1),0)))</x:f>
        <x:v>0</x:v>
      </x:c>
    </x:row>
    <x:row r="12">
      <x:c r="A12" s="365" t="str">
        <x:v>Debt service cash</x:v>
      </x:c>
      <x:c r="B12" s="357" t="str">
        <x:v>ZAR'000</x:v>
      </x:c>
      <x:c r="C12" s="366" t="str">
        <x:v>Interest + principal</x:v>
      </x:c>
      <x:c r="D12" s="381" t="n">
        <x:f>D10+D11</x:f>
        <x:v>0</x:v>
      </x:c>
      <x:c r="E12" s="361" t="n">
        <x:f>E10+E11</x:f>
        <x:v>0</x:v>
      </x:c>
      <x:c r="F12" s="361" t="n">
        <x:f>F10+F11</x:f>
        <x:v>0</x:v>
      </x:c>
      <x:c r="G12" s="361" t="n">
        <x:f>G10+G11</x:f>
        <x:v>0</x:v>
      </x:c>
      <x:c r="H12" s="361" t="n">
        <x:f>H10+H11</x:f>
        <x:v>0</x:v>
      </x:c>
      <x:c r="I12" s="361" t="n">
        <x:f>I10+I11</x:f>
        <x:v>0</x:v>
      </x:c>
      <x:c r="J12" s="361" t="n">
        <x:f>J10+J11</x:f>
        <x:v>0</x:v>
      </x:c>
      <x:c r="K12" s="361" t="n">
        <x:f>K10+K11</x:f>
        <x:v>0</x:v>
      </x:c>
      <x:c r="L12" s="361" t="n">
        <x:f>L10+L11</x:f>
        <x:v>0</x:v>
      </x:c>
      <x:c r="M12" s="361" t="n">
        <x:f>M10+M11</x:f>
        <x:v>0</x:v>
      </x:c>
      <x:c r="N12" s="361" t="n">
        <x:f>N10+N11</x:f>
        <x:v>0</x:v>
      </x:c>
      <x:c r="O12" s="361" t="n">
        <x:f>O10+O11</x:f>
        <x:v>0</x:v>
      </x:c>
      <x:c r="P12" s="361" t="n">
        <x:f>P10+P11</x:f>
        <x:v>0</x:v>
      </x:c>
      <x:c r="Q12" s="361" t="n">
        <x:f>Q10+Q11</x:f>
        <x:v>0</x:v>
      </x:c>
      <x:c r="R12" s="361" t="n">
        <x:f>R10+R11</x:f>
        <x:v>0</x:v>
      </x:c>
      <x:c r="S12" s="361" t="n">
        <x:f>S10+S11</x:f>
        <x:v>0</x:v>
      </x:c>
      <x:c r="T12" s="361" t="n">
        <x:f>T10+T11</x:f>
        <x:v>0</x:v>
      </x:c>
      <x:c r="U12" s="361" t="n">
        <x:f>U10+U11</x:f>
        <x:v>0</x:v>
      </x:c>
      <x:c r="V12" s="361" t="n">
        <x:f>V10+V11</x:f>
        <x:v>0</x:v>
      </x:c>
      <x:c r="W12" s="361" t="n">
        <x:f>W10+W11</x:f>
        <x:v>0</x:v>
      </x:c>
      <x:c r="X12" s="361" t="n">
        <x:f>X10+X11</x:f>
        <x:v>0</x:v>
      </x:c>
      <x:c r="Y12" s="361" t="n">
        <x:f>Y10+Y11</x:f>
        <x:v>0</x:v>
      </x:c>
      <x:c r="Z12" s="361" t="n">
        <x:f>Z10+Z11</x:f>
        <x:v>0</x:v>
      </x:c>
      <x:c r="AA12" s="361" t="n">
        <x:f>AA10+AA11</x:f>
        <x:v>0</x:v>
      </x:c>
      <x:c r="AB12" s="361" t="n">
        <x:f>AB10+AB11</x:f>
        <x:v>0</x:v>
      </x:c>
      <x:c r="AC12" s="361" t="n">
        <x:f>AC10+AC11</x:f>
        <x:v>0</x:v>
      </x:c>
      <x:c r="AD12" s="361" t="n">
        <x:f>AD10+AD11</x:f>
        <x:v>0</x:v>
      </x:c>
      <x:c r="AE12" s="361" t="n">
        <x:f>AE10+AE11</x:f>
        <x:v>0</x:v>
      </x:c>
      <x:c r="AF12" s="361" t="n">
        <x:f>AF10+AF11</x:f>
        <x:v>0</x:v>
      </x:c>
      <x:c r="AG12" s="361" t="n">
        <x:f>AG10+AG11</x:f>
        <x:v>0</x:v>
      </x:c>
      <x:c r="AH12" s="361" t="n">
        <x:f>AH10+AH11</x:f>
        <x:v>0</x:v>
      </x:c>
      <x:c r="AI12" s="361" t="n">
        <x:f>AI10+AI11</x:f>
        <x:v>0</x:v>
      </x:c>
      <x:c r="AJ12" s="361" t="n">
        <x:f>AJ10+AJ11</x:f>
        <x:v>0</x:v>
      </x:c>
      <x:c r="AK12" s="361" t="n">
        <x:f>AK10+AK11</x:f>
        <x:v>0</x:v>
      </x:c>
      <x:c r="AL12" s="361" t="n">
        <x:f>AL10+AL11</x:f>
        <x:v>0</x:v>
      </x:c>
      <x:c r="AM12" s="361" t="n">
        <x:f>AM10+AM11</x:f>
        <x:v>0</x:v>
      </x:c>
      <x:c r="AN12" s="361" t="n">
        <x:f>AN10+AN11</x:f>
        <x:v>0</x:v>
      </x:c>
      <x:c r="AO12" s="361" t="n">
        <x:f>AO10+AO11</x:f>
        <x:v>0</x:v>
      </x:c>
      <x:c r="AP12" s="361" t="n">
        <x:f>AP10+AP11</x:f>
        <x:v>0</x:v>
      </x:c>
      <x:c r="AQ12" s="361" t="n">
        <x:f>AQ10+AQ11</x:f>
        <x:v>0</x:v>
      </x:c>
      <x:c r="AR12" s="361" t="n">
        <x:f>AR10+AR11</x:f>
        <x:v>0</x:v>
      </x:c>
      <x:c r="AS12" s="361" t="n">
        <x:f>AS10+AS11</x:f>
        <x:v>0</x:v>
      </x:c>
      <x:c r="AT12" s="361" t="n">
        <x:f>AT10+AT11</x:f>
        <x:v>0</x:v>
      </x:c>
      <x:c r="AU12" s="361" t="n">
        <x:f>AU10+AU11</x:f>
        <x:v>0</x:v>
      </x:c>
      <x:c r="AV12" s="361" t="n">
        <x:f>AV10+AV11</x:f>
        <x:v>0</x:v>
      </x:c>
      <x:c r="AW12" s="361" t="n">
        <x:f>AW10+AW11</x:f>
        <x:v>0</x:v>
      </x:c>
      <x:c r="AX12" s="361" t="n">
        <x:f>AX10+AX11</x:f>
        <x:v>0</x:v>
      </x:c>
      <x:c r="AY12" s="361" t="n">
        <x:f>AY10+AY11</x:f>
        <x:v>0</x:v>
      </x:c>
      <x:c r="AZ12" s="361" t="n">
        <x:f>AZ10+AZ11</x:f>
        <x:v>0</x:v>
      </x:c>
      <x:c r="BA12" s="361" t="n">
        <x:f>BA10+BA11</x:f>
        <x:v>0</x:v>
      </x:c>
      <x:c r="BB12" s="361" t="n">
        <x:f>BB10+BB11</x:f>
        <x:v>0</x:v>
      </x:c>
      <x:c r="BC12" s="361" t="n">
        <x:f>BC10+BC11</x:f>
        <x:v>0</x:v>
      </x:c>
      <x:c r="BD12" s="361" t="n">
        <x:f>BD10+BD11</x:f>
        <x:v>0</x:v>
      </x:c>
      <x:c r="BE12" s="361" t="n">
        <x:f>BE10+BE11</x:f>
        <x:v>0</x:v>
      </x:c>
      <x:c r="BF12" s="361" t="n">
        <x:f>BF10+BF11</x:f>
        <x:v>0</x:v>
      </x:c>
      <x:c r="BG12" s="361" t="n">
        <x:f>BG10+BG11</x:f>
        <x:v>0</x:v>
      </x:c>
      <x:c r="BH12" s="361" t="n">
        <x:f>BH10+BH11</x:f>
        <x:v>0</x:v>
      </x:c>
      <x:c r="BI12" s="361" t="n">
        <x:f>BI10+BI11</x:f>
        <x:v>0</x:v>
      </x:c>
      <x:c r="BJ12" s="361" t="n">
        <x:f>BJ10+BJ11</x:f>
        <x:v>0</x:v>
      </x:c>
      <x:c r="BK12" s="382" t="n">
        <x:f>BK10+BK11</x:f>
        <x:v>0</x:v>
      </x:c>
    </x:row>
    <x:row r="13">
      <x:c r="A13" s="365" t="str">
        <x:v>Closing balance</x:v>
      </x:c>
      <x:c r="B13" s="357" t="str">
        <x:v>ZAR'000</x:v>
      </x:c>
      <x:c r="C13" s="366" t="str">
        <x:v>Opening + draws + interest - principal</x:v>
      </x:c>
      <x:c r="D13" s="381" t="n">
        <x:f>MAX(D9+D8+D10-D11,0)</x:f>
        <x:v>0</x:v>
      </x:c>
      <x:c r="E13" s="361" t="n">
        <x:f>MAX(E9+E8+E10-E11,0)</x:f>
        <x:v>0</x:v>
      </x:c>
      <x:c r="F13" s="361" t="n">
        <x:f>MAX(F9+F8+F10-F11,0)</x:f>
        <x:v>0</x:v>
      </x:c>
      <x:c r="G13" s="361" t="n">
        <x:f>MAX(G9+G8+G10-G11,0)</x:f>
        <x:v>0</x:v>
      </x:c>
      <x:c r="H13" s="361" t="n">
        <x:f>MAX(H9+H8+H10-H11,0)</x:f>
        <x:v>0</x:v>
      </x:c>
      <x:c r="I13" s="361" t="n">
        <x:f>MAX(I9+I8+I10-I11,0)</x:f>
        <x:v>0</x:v>
      </x:c>
      <x:c r="J13" s="361" t="n">
        <x:f>MAX(J9+J8+J10-J11,0)</x:f>
        <x:v>0</x:v>
      </x:c>
      <x:c r="K13" s="361" t="n">
        <x:f>MAX(K9+K8+K10-K11,0)</x:f>
        <x:v>0</x:v>
      </x:c>
      <x:c r="L13" s="361" t="n">
        <x:f>MAX(L9+L8+L10-L11,0)</x:f>
        <x:v>0</x:v>
      </x:c>
      <x:c r="M13" s="361" t="n">
        <x:f>MAX(M9+M8+M10-M11,0)</x:f>
        <x:v>0</x:v>
      </x:c>
      <x:c r="N13" s="361" t="n">
        <x:f>MAX(N9+N8+N10-N11,0)</x:f>
        <x:v>0</x:v>
      </x:c>
      <x:c r="O13" s="361" t="n">
        <x:f>MAX(O9+O8+O10-O11,0)</x:f>
        <x:v>0</x:v>
      </x:c>
      <x:c r="P13" s="361" t="n">
        <x:f>MAX(P9+P8+P10-P11,0)</x:f>
        <x:v>0</x:v>
      </x:c>
      <x:c r="Q13" s="361" t="n">
        <x:f>MAX(Q9+Q8+Q10-Q11,0)</x:f>
        <x:v>0</x:v>
      </x:c>
      <x:c r="R13" s="361" t="n">
        <x:f>MAX(R9+R8+R10-R11,0)</x:f>
        <x:v>0</x:v>
      </x:c>
      <x:c r="S13" s="361" t="n">
        <x:f>MAX(S9+S8+S10-S11,0)</x:f>
        <x:v>0</x:v>
      </x:c>
      <x:c r="T13" s="361" t="n">
        <x:f>MAX(T9+T8+T10-T11,0)</x:f>
        <x:v>0</x:v>
      </x:c>
      <x:c r="U13" s="361" t="n">
        <x:f>MAX(U9+U8+U10-U11,0)</x:f>
        <x:v>0</x:v>
      </x:c>
      <x:c r="V13" s="361" t="n">
        <x:f>MAX(V9+V8+V10-V11,0)</x:f>
        <x:v>0</x:v>
      </x:c>
      <x:c r="W13" s="361" t="n">
        <x:f>MAX(W9+W8+W10-W11,0)</x:f>
        <x:v>0</x:v>
      </x:c>
      <x:c r="X13" s="361" t="n">
        <x:f>MAX(X9+X8+X10-X11,0)</x:f>
        <x:v>0</x:v>
      </x:c>
      <x:c r="Y13" s="361" t="n">
        <x:f>MAX(Y9+Y8+Y10-Y11,0)</x:f>
        <x:v>0</x:v>
      </x:c>
      <x:c r="Z13" s="361" t="n">
        <x:f>MAX(Z9+Z8+Z10-Z11,0)</x:f>
        <x:v>0</x:v>
      </x:c>
      <x:c r="AA13" s="361" t="n">
        <x:f>MAX(AA9+AA8+AA10-AA11,0)</x:f>
        <x:v>0</x:v>
      </x:c>
      <x:c r="AB13" s="361" t="n">
        <x:f>MAX(AB9+AB8+AB10-AB11,0)</x:f>
        <x:v>0</x:v>
      </x:c>
      <x:c r="AC13" s="361" t="n">
        <x:f>MAX(AC9+AC8+AC10-AC11,0)</x:f>
        <x:v>0</x:v>
      </x:c>
      <x:c r="AD13" s="361" t="n">
        <x:f>MAX(AD9+AD8+AD10-AD11,0)</x:f>
        <x:v>0</x:v>
      </x:c>
      <x:c r="AE13" s="361" t="n">
        <x:f>MAX(AE9+AE8+AE10-AE11,0)</x:f>
        <x:v>0</x:v>
      </x:c>
      <x:c r="AF13" s="361" t="n">
        <x:f>MAX(AF9+AF8+AF10-AF11,0)</x:f>
        <x:v>0</x:v>
      </x:c>
      <x:c r="AG13" s="361" t="n">
        <x:f>MAX(AG9+AG8+AG10-AG11,0)</x:f>
        <x:v>0</x:v>
      </x:c>
      <x:c r="AH13" s="361" t="n">
        <x:f>MAX(AH9+AH8+AH10-AH11,0)</x:f>
        <x:v>0</x:v>
      </x:c>
      <x:c r="AI13" s="361" t="n">
        <x:f>MAX(AI9+AI8+AI10-AI11,0)</x:f>
        <x:v>0</x:v>
      </x:c>
      <x:c r="AJ13" s="361" t="n">
        <x:f>MAX(AJ9+AJ8+AJ10-AJ11,0)</x:f>
        <x:v>0</x:v>
      </x:c>
      <x:c r="AK13" s="361" t="n">
        <x:f>MAX(AK9+AK8+AK10-AK11,0)</x:f>
        <x:v>0</x:v>
      </x:c>
      <x:c r="AL13" s="361" t="n">
        <x:f>MAX(AL9+AL8+AL10-AL11,0)</x:f>
        <x:v>0</x:v>
      </x:c>
      <x:c r="AM13" s="361" t="n">
        <x:f>MAX(AM9+AM8+AM10-AM11,0)</x:f>
        <x:v>0</x:v>
      </x:c>
      <x:c r="AN13" s="361" t="n">
        <x:f>MAX(AN9+AN8+AN10-AN11,0)</x:f>
        <x:v>0</x:v>
      </x:c>
      <x:c r="AO13" s="361" t="n">
        <x:f>MAX(AO9+AO8+AO10-AO11,0)</x:f>
        <x:v>0</x:v>
      </x:c>
      <x:c r="AP13" s="361" t="n">
        <x:f>MAX(AP9+AP8+AP10-AP11,0)</x:f>
        <x:v>0</x:v>
      </x:c>
      <x:c r="AQ13" s="361" t="n">
        <x:f>MAX(AQ9+AQ8+AQ10-AQ11,0)</x:f>
        <x:v>0</x:v>
      </x:c>
      <x:c r="AR13" s="361" t="n">
        <x:f>MAX(AR9+AR8+AR10-AR11,0)</x:f>
        <x:v>0</x:v>
      </x:c>
      <x:c r="AS13" s="361" t="n">
        <x:f>MAX(AS9+AS8+AS10-AS11,0)</x:f>
        <x:v>0</x:v>
      </x:c>
      <x:c r="AT13" s="361" t="n">
        <x:f>MAX(AT9+AT8+AT10-AT11,0)</x:f>
        <x:v>0</x:v>
      </x:c>
      <x:c r="AU13" s="361" t="n">
        <x:f>MAX(AU9+AU8+AU10-AU11,0)</x:f>
        <x:v>0</x:v>
      </x:c>
      <x:c r="AV13" s="361" t="n">
        <x:f>MAX(AV9+AV8+AV10-AV11,0)</x:f>
        <x:v>0</x:v>
      </x:c>
      <x:c r="AW13" s="361" t="n">
        <x:f>MAX(AW9+AW8+AW10-AW11,0)</x:f>
        <x:v>0</x:v>
      </x:c>
      <x:c r="AX13" s="361" t="n">
        <x:f>MAX(AX9+AX8+AX10-AX11,0)</x:f>
        <x:v>0</x:v>
      </x:c>
      <x:c r="AY13" s="361" t="n">
        <x:f>MAX(AY9+AY8+AY10-AY11,0)</x:f>
        <x:v>0</x:v>
      </x:c>
      <x:c r="AZ13" s="361" t="n">
        <x:f>MAX(AZ9+AZ8+AZ10-AZ11,0)</x:f>
        <x:v>0</x:v>
      </x:c>
      <x:c r="BA13" s="361" t="n">
        <x:f>MAX(BA9+BA8+BA10-BA11,0)</x:f>
        <x:v>0</x:v>
      </x:c>
      <x:c r="BB13" s="361" t="n">
        <x:f>MAX(BB9+BB8+BB10-BB11,0)</x:f>
        <x:v>0</x:v>
      </x:c>
      <x:c r="BC13" s="361" t="n">
        <x:f>MAX(BC9+BC8+BC10-BC11,0)</x:f>
        <x:v>0</x:v>
      </x:c>
      <x:c r="BD13" s="361" t="n">
        <x:f>MAX(BD9+BD8+BD10-BD11,0)</x:f>
        <x:v>0</x:v>
      </x:c>
      <x:c r="BE13" s="361" t="n">
        <x:f>MAX(BE9+BE8+BE10-BE11,0)</x:f>
        <x:v>0</x:v>
      </x:c>
      <x:c r="BF13" s="361" t="n">
        <x:f>MAX(BF9+BF8+BF10-BF11,0)</x:f>
        <x:v>0</x:v>
      </x:c>
      <x:c r="BG13" s="361" t="n">
        <x:f>MAX(BG9+BG8+BG10-BG11,0)</x:f>
        <x:v>0</x:v>
      </x:c>
      <x:c r="BH13" s="361" t="n">
        <x:f>MAX(BH9+BH8+BH10-BH11,0)</x:f>
        <x:v>0</x:v>
      </x:c>
      <x:c r="BI13" s="361" t="n">
        <x:f>MAX(BI9+BI8+BI10-BI11,0)</x:f>
        <x:v>0</x:v>
      </x:c>
      <x:c r="BJ13" s="361" t="n">
        <x:f>MAX(BJ9+BJ8+BJ10-BJ11,0)</x:f>
        <x:v>0</x:v>
      </x:c>
      <x:c r="BK13" s="382" t="n">
        <x:f>MAX(BK9+BK8+BK10-BK11,0)</x:f>
        <x:v>0</x:v>
      </x:c>
    </x:row>
    <x:row r="14">
      <x:c r="A14" s="365" t="str">
        <x:v>Cumulative draws</x:v>
      </x:c>
      <x:c r="B14" s="357" t="str">
        <x:v>ZAR'000</x:v>
      </x:c>
      <x:c r="C14" s="366" t="str">
        <x:v>Running total</x:v>
      </x:c>
      <x:c r="D14" s="381" t="n">
        <x:f>D8</x:f>
        <x:v>0</x:v>
      </x:c>
      <x:c r="E14" s="361" t="n">
        <x:f>D14+E8</x:f>
        <x:v>0</x:v>
      </x:c>
      <x:c r="F14" s="361" t="n">
        <x:f>E14+F8</x:f>
        <x:v>0</x:v>
      </x:c>
      <x:c r="G14" s="361" t="n">
        <x:f>F14+G8</x:f>
        <x:v>0</x:v>
      </x:c>
      <x:c r="H14" s="361" t="n">
        <x:f>G14+H8</x:f>
        <x:v>0</x:v>
      </x:c>
      <x:c r="I14" s="361" t="n">
        <x:f>H14+I8</x:f>
        <x:v>0</x:v>
      </x:c>
      <x:c r="J14" s="361" t="n">
        <x:f>I14+J8</x:f>
        <x:v>0</x:v>
      </x:c>
      <x:c r="K14" s="361" t="n">
        <x:f>J14+K8</x:f>
        <x:v>0</x:v>
      </x:c>
      <x:c r="L14" s="361" t="n">
        <x:f>K14+L8</x:f>
        <x:v>0</x:v>
      </x:c>
      <x:c r="M14" s="361" t="n">
        <x:f>L14+M8</x:f>
        <x:v>0</x:v>
      </x:c>
      <x:c r="N14" s="361" t="n">
        <x:f>M14+N8</x:f>
        <x:v>0</x:v>
      </x:c>
      <x:c r="O14" s="361" t="n">
        <x:f>N14+O8</x:f>
        <x:v>0</x:v>
      </x:c>
      <x:c r="P14" s="361" t="n">
        <x:f>O14+P8</x:f>
        <x:v>0</x:v>
      </x:c>
      <x:c r="Q14" s="361" t="n">
        <x:f>P14+Q8</x:f>
        <x:v>0</x:v>
      </x:c>
      <x:c r="R14" s="361" t="n">
        <x:f>Q14+R8</x:f>
        <x:v>0</x:v>
      </x:c>
      <x:c r="S14" s="361" t="n">
        <x:f>R14+S8</x:f>
        <x:v>0</x:v>
      </x:c>
      <x:c r="T14" s="361" t="n">
        <x:f>S14+T8</x:f>
        <x:v>0</x:v>
      </x:c>
      <x:c r="U14" s="361" t="n">
        <x:f>T14+U8</x:f>
        <x:v>0</x:v>
      </x:c>
      <x:c r="V14" s="361" t="n">
        <x:f>U14+V8</x:f>
        <x:v>0</x:v>
      </x:c>
      <x:c r="W14" s="361" t="n">
        <x:f>V14+W8</x:f>
        <x:v>0</x:v>
      </x:c>
      <x:c r="X14" s="361" t="n">
        <x:f>W14+X8</x:f>
        <x:v>0</x:v>
      </x:c>
      <x:c r="Y14" s="361" t="n">
        <x:f>X14+Y8</x:f>
        <x:v>0</x:v>
      </x:c>
      <x:c r="Z14" s="361" t="n">
        <x:f>Y14+Z8</x:f>
        <x:v>0</x:v>
      </x:c>
      <x:c r="AA14" s="361" t="n">
        <x:f>Z14+AA8</x:f>
        <x:v>0</x:v>
      </x:c>
      <x:c r="AB14" s="361" t="n">
        <x:f>AA14+AB8</x:f>
        <x:v>0</x:v>
      </x:c>
      <x:c r="AC14" s="361" t="n">
        <x:f>AB14+AC8</x:f>
        <x:v>0</x:v>
      </x:c>
      <x:c r="AD14" s="361" t="n">
        <x:f>AC14+AD8</x:f>
        <x:v>0</x:v>
      </x:c>
      <x:c r="AE14" s="361" t="n">
        <x:f>AD14+AE8</x:f>
        <x:v>0</x:v>
      </x:c>
      <x:c r="AF14" s="361" t="n">
        <x:f>AE14+AF8</x:f>
        <x:v>0</x:v>
      </x:c>
      <x:c r="AG14" s="361" t="n">
        <x:f>AF14+AG8</x:f>
        <x:v>0</x:v>
      </x:c>
      <x:c r="AH14" s="361" t="n">
        <x:f>AG14+AH8</x:f>
        <x:v>0</x:v>
      </x:c>
      <x:c r="AI14" s="361" t="n">
        <x:f>AH14+AI8</x:f>
        <x:v>0</x:v>
      </x:c>
      <x:c r="AJ14" s="361" t="n">
        <x:f>AI14+AJ8</x:f>
        <x:v>0</x:v>
      </x:c>
      <x:c r="AK14" s="361" t="n">
        <x:f>AJ14+AK8</x:f>
        <x:v>0</x:v>
      </x:c>
      <x:c r="AL14" s="361" t="n">
        <x:f>AK14+AL8</x:f>
        <x:v>0</x:v>
      </x:c>
      <x:c r="AM14" s="361" t="n">
        <x:f>AL14+AM8</x:f>
        <x:v>0</x:v>
      </x:c>
      <x:c r="AN14" s="361" t="n">
        <x:f>AM14+AN8</x:f>
        <x:v>0</x:v>
      </x:c>
      <x:c r="AO14" s="361" t="n">
        <x:f>AN14+AO8</x:f>
        <x:v>0</x:v>
      </x:c>
      <x:c r="AP14" s="361" t="n">
        <x:f>AO14+AP8</x:f>
        <x:v>0</x:v>
      </x:c>
      <x:c r="AQ14" s="361" t="n">
        <x:f>AP14+AQ8</x:f>
        <x:v>0</x:v>
      </x:c>
      <x:c r="AR14" s="361" t="n">
        <x:f>AQ14+AR8</x:f>
        <x:v>0</x:v>
      </x:c>
      <x:c r="AS14" s="361" t="n">
        <x:f>AR14+AS8</x:f>
        <x:v>0</x:v>
      </x:c>
      <x:c r="AT14" s="361" t="n">
        <x:f>AS14+AT8</x:f>
        <x:v>0</x:v>
      </x:c>
      <x:c r="AU14" s="361" t="n">
        <x:f>AT14+AU8</x:f>
        <x:v>0</x:v>
      </x:c>
      <x:c r="AV14" s="361" t="n">
        <x:f>AU14+AV8</x:f>
        <x:v>0</x:v>
      </x:c>
      <x:c r="AW14" s="361" t="n">
        <x:f>AV14+AW8</x:f>
        <x:v>0</x:v>
      </x:c>
      <x:c r="AX14" s="361" t="n">
        <x:f>AW14+AX8</x:f>
        <x:v>0</x:v>
      </x:c>
      <x:c r="AY14" s="361" t="n">
        <x:f>AX14+AY8</x:f>
        <x:v>0</x:v>
      </x:c>
      <x:c r="AZ14" s="361" t="n">
        <x:f>AY14+AZ8</x:f>
        <x:v>0</x:v>
      </x:c>
      <x:c r="BA14" s="361" t="n">
        <x:f>AZ14+BA8</x:f>
        <x:v>0</x:v>
      </x:c>
      <x:c r="BB14" s="361" t="n">
        <x:f>BA14+BB8</x:f>
        <x:v>0</x:v>
      </x:c>
      <x:c r="BC14" s="361" t="n">
        <x:f>BB14+BC8</x:f>
        <x:v>0</x:v>
      </x:c>
      <x:c r="BD14" s="361" t="n">
        <x:f>BC14+BD8</x:f>
        <x:v>0</x:v>
      </x:c>
      <x:c r="BE14" s="361" t="n">
        <x:f>BD14+BE8</x:f>
        <x:v>0</x:v>
      </x:c>
      <x:c r="BF14" s="361" t="n">
        <x:f>BE14+BF8</x:f>
        <x:v>0</x:v>
      </x:c>
      <x:c r="BG14" s="361" t="n">
        <x:f>BF14+BG8</x:f>
        <x:v>0</x:v>
      </x:c>
      <x:c r="BH14" s="361" t="n">
        <x:f>BG14+BH8</x:f>
        <x:v>0</x:v>
      </x:c>
      <x:c r="BI14" s="361" t="n">
        <x:f>BH14+BI8</x:f>
        <x:v>0</x:v>
      </x:c>
      <x:c r="BJ14" s="361" t="n">
        <x:f>BI14+BJ8</x:f>
        <x:v>0</x:v>
      </x:c>
      <x:c r="BK14" s="382" t="n">
        <x:f>BJ14+BK8</x:f>
        <x:v>0</x:v>
      </x:c>
    </x:row>
    <x:row r="15">
      <x:c r="A15" s="365" t="str">
        <x:v>Cumulative interest</x:v>
      </x:c>
      <x:c r="B15" s="357" t="str">
        <x:v>ZAR'000</x:v>
      </x:c>
      <x:c r="C15" s="366" t="str">
        <x:v>Running total</x:v>
      </x:c>
      <x:c r="D15" s="381" t="n">
        <x:f>D10</x:f>
        <x:v>0</x:v>
      </x:c>
      <x:c r="E15" s="361" t="n">
        <x:f>D15+E10</x:f>
        <x:v>0</x:v>
      </x:c>
      <x:c r="F15" s="361" t="n">
        <x:f>E15+F10</x:f>
        <x:v>0</x:v>
      </x:c>
      <x:c r="G15" s="361" t="n">
        <x:f>F15+G10</x:f>
        <x:v>0</x:v>
      </x:c>
      <x:c r="H15" s="361" t="n">
        <x:f>G15+H10</x:f>
        <x:v>0</x:v>
      </x:c>
      <x:c r="I15" s="361" t="n">
        <x:f>H15+I10</x:f>
        <x:v>0</x:v>
      </x:c>
      <x:c r="J15" s="361" t="n">
        <x:f>I15+J10</x:f>
        <x:v>0</x:v>
      </x:c>
      <x:c r="K15" s="361" t="n">
        <x:f>J15+K10</x:f>
        <x:v>0</x:v>
      </x:c>
      <x:c r="L15" s="361" t="n">
        <x:f>K15+L10</x:f>
        <x:v>0</x:v>
      </x:c>
      <x:c r="M15" s="361" t="n">
        <x:f>L15+M10</x:f>
        <x:v>0</x:v>
      </x:c>
      <x:c r="N15" s="361" t="n">
        <x:f>M15+N10</x:f>
        <x:v>0</x:v>
      </x:c>
      <x:c r="O15" s="361" t="n">
        <x:f>N15+O10</x:f>
        <x:v>0</x:v>
      </x:c>
      <x:c r="P15" s="361" t="n">
        <x:f>O15+P10</x:f>
        <x:v>0</x:v>
      </x:c>
      <x:c r="Q15" s="361" t="n">
        <x:f>P15+Q10</x:f>
        <x:v>0</x:v>
      </x:c>
      <x:c r="R15" s="361" t="n">
        <x:f>Q15+R10</x:f>
        <x:v>0</x:v>
      </x:c>
      <x:c r="S15" s="361" t="n">
        <x:f>R15+S10</x:f>
        <x:v>0</x:v>
      </x:c>
      <x:c r="T15" s="361" t="n">
        <x:f>S15+T10</x:f>
        <x:v>0</x:v>
      </x:c>
      <x:c r="U15" s="361" t="n">
        <x:f>T15+U10</x:f>
        <x:v>0</x:v>
      </x:c>
      <x:c r="V15" s="361" t="n">
        <x:f>U15+V10</x:f>
        <x:v>0</x:v>
      </x:c>
      <x:c r="W15" s="361" t="n">
        <x:f>V15+W10</x:f>
        <x:v>0</x:v>
      </x:c>
      <x:c r="X15" s="361" t="n">
        <x:f>W15+X10</x:f>
        <x:v>0</x:v>
      </x:c>
      <x:c r="Y15" s="361" t="n">
        <x:f>X15+Y10</x:f>
        <x:v>0</x:v>
      </x:c>
      <x:c r="Z15" s="361" t="n">
        <x:f>Y15+Z10</x:f>
        <x:v>0</x:v>
      </x:c>
      <x:c r="AA15" s="361" t="n">
        <x:f>Z15+AA10</x:f>
        <x:v>0</x:v>
      </x:c>
      <x:c r="AB15" s="361" t="n">
        <x:f>AA15+AB10</x:f>
        <x:v>0</x:v>
      </x:c>
      <x:c r="AC15" s="361" t="n">
        <x:f>AB15+AC10</x:f>
        <x:v>0</x:v>
      </x:c>
      <x:c r="AD15" s="361" t="n">
        <x:f>AC15+AD10</x:f>
        <x:v>0</x:v>
      </x:c>
      <x:c r="AE15" s="361" t="n">
        <x:f>AD15+AE10</x:f>
        <x:v>0</x:v>
      </x:c>
      <x:c r="AF15" s="361" t="n">
        <x:f>AE15+AF10</x:f>
        <x:v>0</x:v>
      </x:c>
      <x:c r="AG15" s="361" t="n">
        <x:f>AF15+AG10</x:f>
        <x:v>0</x:v>
      </x:c>
      <x:c r="AH15" s="361" t="n">
        <x:f>AG15+AH10</x:f>
        <x:v>0</x:v>
      </x:c>
      <x:c r="AI15" s="361" t="n">
        <x:f>AH15+AI10</x:f>
        <x:v>0</x:v>
      </x:c>
      <x:c r="AJ15" s="361" t="n">
        <x:f>AI15+AJ10</x:f>
        <x:v>0</x:v>
      </x:c>
      <x:c r="AK15" s="361" t="n">
        <x:f>AJ15+AK10</x:f>
        <x:v>0</x:v>
      </x:c>
      <x:c r="AL15" s="361" t="n">
        <x:f>AK15+AL10</x:f>
        <x:v>0</x:v>
      </x:c>
      <x:c r="AM15" s="361" t="n">
        <x:f>AL15+AM10</x:f>
        <x:v>0</x:v>
      </x:c>
      <x:c r="AN15" s="361" t="n">
        <x:f>AM15+AN10</x:f>
        <x:v>0</x:v>
      </x:c>
      <x:c r="AO15" s="361" t="n">
        <x:f>AN15+AO10</x:f>
        <x:v>0</x:v>
      </x:c>
      <x:c r="AP15" s="361" t="n">
        <x:f>AO15+AP10</x:f>
        <x:v>0</x:v>
      </x:c>
      <x:c r="AQ15" s="361" t="n">
        <x:f>AP15+AQ10</x:f>
        <x:v>0</x:v>
      </x:c>
      <x:c r="AR15" s="361" t="n">
        <x:f>AQ15+AR10</x:f>
        <x:v>0</x:v>
      </x:c>
      <x:c r="AS15" s="361" t="n">
        <x:f>AR15+AS10</x:f>
        <x:v>0</x:v>
      </x:c>
      <x:c r="AT15" s="361" t="n">
        <x:f>AS15+AT10</x:f>
        <x:v>0</x:v>
      </x:c>
      <x:c r="AU15" s="361" t="n">
        <x:f>AT15+AU10</x:f>
        <x:v>0</x:v>
      </x:c>
      <x:c r="AV15" s="361" t="n">
        <x:f>AU15+AV10</x:f>
        <x:v>0</x:v>
      </x:c>
      <x:c r="AW15" s="361" t="n">
        <x:f>AV15+AW10</x:f>
        <x:v>0</x:v>
      </x:c>
      <x:c r="AX15" s="361" t="n">
        <x:f>AW15+AX10</x:f>
        <x:v>0</x:v>
      </x:c>
      <x:c r="AY15" s="361" t="n">
        <x:f>AX15+AY10</x:f>
        <x:v>0</x:v>
      </x:c>
      <x:c r="AZ15" s="361" t="n">
        <x:f>AY15+AZ10</x:f>
        <x:v>0</x:v>
      </x:c>
      <x:c r="BA15" s="361" t="n">
        <x:f>AZ15+BA10</x:f>
        <x:v>0</x:v>
      </x:c>
      <x:c r="BB15" s="361" t="n">
        <x:f>BA15+BB10</x:f>
        <x:v>0</x:v>
      </x:c>
      <x:c r="BC15" s="361" t="n">
        <x:f>BB15+BC10</x:f>
        <x:v>0</x:v>
      </x:c>
      <x:c r="BD15" s="361" t="n">
        <x:f>BC15+BD10</x:f>
        <x:v>0</x:v>
      </x:c>
      <x:c r="BE15" s="361" t="n">
        <x:f>BD15+BE10</x:f>
        <x:v>0</x:v>
      </x:c>
      <x:c r="BF15" s="361" t="n">
        <x:f>BE15+BF10</x:f>
        <x:v>0</x:v>
      </x:c>
      <x:c r="BG15" s="361" t="n">
        <x:f>BF15+BG10</x:f>
        <x:v>0</x:v>
      </x:c>
      <x:c r="BH15" s="361" t="n">
        <x:f>BG15+BH10</x:f>
        <x:v>0</x:v>
      </x:c>
      <x:c r="BI15" s="361" t="n">
        <x:f>BH15+BI10</x:f>
        <x:v>0</x:v>
      </x:c>
      <x:c r="BJ15" s="361" t="n">
        <x:f>BI15+BJ10</x:f>
        <x:v>0</x:v>
      </x:c>
      <x:c r="BK15" s="382" t="n">
        <x:f>BJ15+BK10</x:f>
        <x:v>0</x:v>
      </x:c>
    </x:row>
    <x:row r="16">
      <x:c r="A16" s="365" t="str">
        <x:v>Cumulative debt service</x:v>
      </x:c>
      <x:c r="B16" s="357" t="str">
        <x:v>ZAR'000</x:v>
      </x:c>
      <x:c r="C16" s="366" t="str">
        <x:v>Running total</x:v>
      </x:c>
      <x:c r="D16" s="381" t="n">
        <x:f>D12</x:f>
        <x:v>0</x:v>
      </x:c>
      <x:c r="E16" s="361" t="n">
        <x:f>D16+E12</x:f>
        <x:v>0</x:v>
      </x:c>
      <x:c r="F16" s="361" t="n">
        <x:f>E16+F12</x:f>
        <x:v>0</x:v>
      </x:c>
      <x:c r="G16" s="361" t="n">
        <x:f>F16+G12</x:f>
        <x:v>0</x:v>
      </x:c>
      <x:c r="H16" s="361" t="n">
        <x:f>G16+H12</x:f>
        <x:v>0</x:v>
      </x:c>
      <x:c r="I16" s="361" t="n">
        <x:f>H16+I12</x:f>
        <x:v>0</x:v>
      </x:c>
      <x:c r="J16" s="361" t="n">
        <x:f>I16+J12</x:f>
        <x:v>0</x:v>
      </x:c>
      <x:c r="K16" s="361" t="n">
        <x:f>J16+K12</x:f>
        <x:v>0</x:v>
      </x:c>
      <x:c r="L16" s="361" t="n">
        <x:f>K16+L12</x:f>
        <x:v>0</x:v>
      </x:c>
      <x:c r="M16" s="361" t="n">
        <x:f>L16+M12</x:f>
        <x:v>0</x:v>
      </x:c>
      <x:c r="N16" s="361" t="n">
        <x:f>M16+N12</x:f>
        <x:v>0</x:v>
      </x:c>
      <x:c r="O16" s="361" t="n">
        <x:f>N16+O12</x:f>
        <x:v>0</x:v>
      </x:c>
      <x:c r="P16" s="361" t="n">
        <x:f>O16+P12</x:f>
        <x:v>0</x:v>
      </x:c>
      <x:c r="Q16" s="361" t="n">
        <x:f>P16+Q12</x:f>
        <x:v>0</x:v>
      </x:c>
      <x:c r="R16" s="361" t="n">
        <x:f>Q16+R12</x:f>
        <x:v>0</x:v>
      </x:c>
      <x:c r="S16" s="361" t="n">
        <x:f>R16+S12</x:f>
        <x:v>0</x:v>
      </x:c>
      <x:c r="T16" s="361" t="n">
        <x:f>S16+T12</x:f>
        <x:v>0</x:v>
      </x:c>
      <x:c r="U16" s="361" t="n">
        <x:f>T16+U12</x:f>
        <x:v>0</x:v>
      </x:c>
      <x:c r="V16" s="361" t="n">
        <x:f>U16+V12</x:f>
        <x:v>0</x:v>
      </x:c>
      <x:c r="W16" s="361" t="n">
        <x:f>V16+W12</x:f>
        <x:v>0</x:v>
      </x:c>
      <x:c r="X16" s="361" t="n">
        <x:f>W16+X12</x:f>
        <x:v>0</x:v>
      </x:c>
      <x:c r="Y16" s="361" t="n">
        <x:f>X16+Y12</x:f>
        <x:v>0</x:v>
      </x:c>
      <x:c r="Z16" s="361" t="n">
        <x:f>Y16+Z12</x:f>
        <x:v>0</x:v>
      </x:c>
      <x:c r="AA16" s="361" t="n">
        <x:f>Z16+AA12</x:f>
        <x:v>0</x:v>
      </x:c>
      <x:c r="AB16" s="361" t="n">
        <x:f>AA16+AB12</x:f>
        <x:v>0</x:v>
      </x:c>
      <x:c r="AC16" s="361" t="n">
        <x:f>AB16+AC12</x:f>
        <x:v>0</x:v>
      </x:c>
      <x:c r="AD16" s="361" t="n">
        <x:f>AC16+AD12</x:f>
        <x:v>0</x:v>
      </x:c>
      <x:c r="AE16" s="361" t="n">
        <x:f>AD16+AE12</x:f>
        <x:v>0</x:v>
      </x:c>
      <x:c r="AF16" s="361" t="n">
        <x:f>AE16+AF12</x:f>
        <x:v>0</x:v>
      </x:c>
      <x:c r="AG16" s="361" t="n">
        <x:f>AF16+AG12</x:f>
        <x:v>0</x:v>
      </x:c>
      <x:c r="AH16" s="361" t="n">
        <x:f>AG16+AH12</x:f>
        <x:v>0</x:v>
      </x:c>
      <x:c r="AI16" s="361" t="n">
        <x:f>AH16+AI12</x:f>
        <x:v>0</x:v>
      </x:c>
      <x:c r="AJ16" s="361" t="n">
        <x:f>AI16+AJ12</x:f>
        <x:v>0</x:v>
      </x:c>
      <x:c r="AK16" s="361" t="n">
        <x:f>AJ16+AK12</x:f>
        <x:v>0</x:v>
      </x:c>
      <x:c r="AL16" s="361" t="n">
        <x:f>AK16+AL12</x:f>
        <x:v>0</x:v>
      </x:c>
      <x:c r="AM16" s="361" t="n">
        <x:f>AL16+AM12</x:f>
        <x:v>0</x:v>
      </x:c>
      <x:c r="AN16" s="361" t="n">
        <x:f>AM16+AN12</x:f>
        <x:v>0</x:v>
      </x:c>
      <x:c r="AO16" s="361" t="n">
        <x:f>AN16+AO12</x:f>
        <x:v>0</x:v>
      </x:c>
      <x:c r="AP16" s="361" t="n">
        <x:f>AO16+AP12</x:f>
        <x:v>0</x:v>
      </x:c>
      <x:c r="AQ16" s="361" t="n">
        <x:f>AP16+AQ12</x:f>
        <x:v>0</x:v>
      </x:c>
      <x:c r="AR16" s="361" t="n">
        <x:f>AQ16+AR12</x:f>
        <x:v>0</x:v>
      </x:c>
      <x:c r="AS16" s="361" t="n">
        <x:f>AR16+AS12</x:f>
        <x:v>0</x:v>
      </x:c>
      <x:c r="AT16" s="361" t="n">
        <x:f>AS16+AT12</x:f>
        <x:v>0</x:v>
      </x:c>
      <x:c r="AU16" s="361" t="n">
        <x:f>AT16+AU12</x:f>
        <x:v>0</x:v>
      </x:c>
      <x:c r="AV16" s="361" t="n">
        <x:f>AU16+AV12</x:f>
        <x:v>0</x:v>
      </x:c>
      <x:c r="AW16" s="361" t="n">
        <x:f>AV16+AW12</x:f>
        <x:v>0</x:v>
      </x:c>
      <x:c r="AX16" s="361" t="n">
        <x:f>AW16+AX12</x:f>
        <x:v>0</x:v>
      </x:c>
      <x:c r="AY16" s="361" t="n">
        <x:f>AX16+AY12</x:f>
        <x:v>0</x:v>
      </x:c>
      <x:c r="AZ16" s="361" t="n">
        <x:f>AY16+AZ12</x:f>
        <x:v>0</x:v>
      </x:c>
      <x:c r="BA16" s="361" t="n">
        <x:f>AZ16+BA12</x:f>
        <x:v>0</x:v>
      </x:c>
      <x:c r="BB16" s="361" t="n">
        <x:f>BA16+BB12</x:f>
        <x:v>0</x:v>
      </x:c>
      <x:c r="BC16" s="361" t="n">
        <x:f>BB16+BC12</x:f>
        <x:v>0</x:v>
      </x:c>
      <x:c r="BD16" s="361" t="n">
        <x:f>BC16+BD12</x:f>
        <x:v>0</x:v>
      </x:c>
      <x:c r="BE16" s="361" t="n">
        <x:f>BD16+BE12</x:f>
        <x:v>0</x:v>
      </x:c>
      <x:c r="BF16" s="361" t="n">
        <x:f>BE16+BF12</x:f>
        <x:v>0</x:v>
      </x:c>
      <x:c r="BG16" s="361" t="n">
        <x:f>BF16+BG12</x:f>
        <x:v>0</x:v>
      </x:c>
      <x:c r="BH16" s="361" t="n">
        <x:f>BG16+BH12</x:f>
        <x:v>0</x:v>
      </x:c>
      <x:c r="BI16" s="361" t="n">
        <x:f>BH16+BI12</x:f>
        <x:v>0</x:v>
      </x:c>
      <x:c r="BJ16" s="361" t="n">
        <x:f>BI16+BJ12</x:f>
        <x:v>0</x:v>
      </x:c>
      <x:c r="BK16" s="382" t="n">
        <x:f>BJ16+BK12</x:f>
        <x:v>0</x:v>
      </x:c>
    </x:row>
    <x:row r="17">
      <x:c r="A17" s="365" t="str">
        <x:v>DSCR (base revenue)</x:v>
      </x:c>
      <x:c r="B17" s="357" t="str">
        <x:v>x</x:v>
      </x:c>
      <x:c r="C17" s="366" t="str">
        <x:v>(Revenue base - opex) / debt service</x:v>
      </x:c>
      <x:c r="D17" s="383" t="str">
        <x:f>IF(D12=0,"",MAX((Revenue_36M!D20-Opex_36M!D28)/D12,0))</x:f>
      </x:c>
      <x:c r="E17" s="362" t="str">
        <x:f>IF(E12=0,"",MAX((Revenue_36M!E20-Opex_36M!E28)/E12,0))</x:f>
      </x:c>
      <x:c r="F17" s="362" t="str">
        <x:f>IF(F12=0,"",MAX((Revenue_36M!F20-Opex_36M!F28)/F12,0))</x:f>
      </x:c>
      <x:c r="G17" s="362" t="str">
        <x:f>IF(G12=0,"",MAX((Revenue_36M!G20-Opex_36M!G28)/G12,0))</x:f>
      </x:c>
      <x:c r="H17" s="362" t="str">
        <x:f>IF(H12=0,"",MAX((Revenue_36M!H20-Opex_36M!H28)/H12,0))</x:f>
      </x:c>
      <x:c r="I17" s="362" t="str">
        <x:f>IF(I12=0,"",MAX((Revenue_36M!I20-Opex_36M!I28)/I12,0))</x:f>
      </x:c>
      <x:c r="J17" s="362" t="str">
        <x:f>IF(J12=0,"",MAX((Revenue_36M!J20-Opex_36M!J28)/J12,0))</x:f>
      </x:c>
      <x:c r="K17" s="362" t="str">
        <x:f>IF(K12=0,"",MAX((Revenue_36M!K20-Opex_36M!K28)/K12,0))</x:f>
      </x:c>
      <x:c r="L17" s="362" t="str">
        <x:f>IF(L12=0,"",MAX((Revenue_36M!L20-Opex_36M!L28)/L12,0))</x:f>
      </x:c>
      <x:c r="M17" s="362" t="str">
        <x:f>IF(M12=0,"",MAX((Revenue_36M!M20-Opex_36M!M28)/M12,0))</x:f>
      </x:c>
      <x:c r="N17" s="362" t="str">
        <x:f>IF(N12=0,"",MAX((Revenue_36M!N20-Opex_36M!N28)/N12,0))</x:f>
      </x:c>
      <x:c r="O17" s="362" t="str">
        <x:f>IF(O12=0,"",MAX((Revenue_36M!O20-Opex_36M!O28)/O12,0))</x:f>
      </x:c>
      <x:c r="P17" s="362" t="str">
        <x:f>IF(P12=0,"",MAX((Revenue_36M!P20-Opex_36M!P28)/P12,0))</x:f>
      </x:c>
      <x:c r="Q17" s="362" t="str">
        <x:f>IF(Q12=0,"",MAX((Revenue_36M!Q20-Opex_36M!Q28)/Q12,0))</x:f>
      </x:c>
      <x:c r="R17" s="362" t="str">
        <x:f>IF(R12=0,"",MAX((Revenue_36M!R20-Opex_36M!R28)/R12,0))</x:f>
      </x:c>
      <x:c r="S17" s="362" t="str">
        <x:f>IF(S12=0,"",MAX((Revenue_36M!S20-Opex_36M!S28)/S12,0))</x:f>
      </x:c>
      <x:c r="T17" s="362" t="str">
        <x:f>IF(T12=0,"",MAX((Revenue_36M!T20-Opex_36M!T28)/T12,0))</x:f>
      </x:c>
      <x:c r="U17" s="362" t="str">
        <x:f>IF(U12=0,"",MAX((Revenue_36M!U20-Opex_36M!U28)/U12,0))</x:f>
      </x:c>
      <x:c r="V17" s="362" t="str">
        <x:f>IF(V12=0,"",MAX((Revenue_36M!V20-Opex_36M!V28)/V12,0))</x:f>
      </x:c>
      <x:c r="W17" s="362" t="str">
        <x:f>IF(W12=0,"",MAX((Revenue_36M!W20-Opex_36M!W28)/W12,0))</x:f>
      </x:c>
      <x:c r="X17" s="362" t="str">
        <x:f>IF(X12=0,"",MAX((Revenue_36M!X20-Opex_36M!X28)/X12,0))</x:f>
      </x:c>
      <x:c r="Y17" s="362" t="str">
        <x:f>IF(Y12=0,"",MAX((Revenue_36M!Y20-Opex_36M!Y28)/Y12,0))</x:f>
      </x:c>
      <x:c r="Z17" s="362" t="str">
        <x:f>IF(Z12=0,"",MAX((Revenue_36M!Z20-Opex_36M!Z28)/Z12,0))</x:f>
      </x:c>
      <x:c r="AA17" s="362" t="str">
        <x:f>IF(AA12=0,"",MAX((Revenue_36M!AA20-Opex_36M!AA28)/AA12,0))</x:f>
      </x:c>
      <x:c r="AB17" s="362" t="str">
        <x:f>IF(AB12=0,"",MAX((Revenue_36M!AB20-Opex_36M!AB28)/AB12,0))</x:f>
      </x:c>
      <x:c r="AC17" s="362" t="str">
        <x:f>IF(AC12=0,"",MAX((Revenue_36M!AC20-Opex_36M!AC28)/AC12,0))</x:f>
      </x:c>
      <x:c r="AD17" s="362" t="str">
        <x:f>IF(AD12=0,"",MAX((Revenue_36M!AD20-Opex_36M!AD28)/AD12,0))</x:f>
      </x:c>
      <x:c r="AE17" s="362" t="str">
        <x:f>IF(AE12=0,"",MAX((Revenue_36M!AE20-Opex_36M!AE28)/AE12,0))</x:f>
      </x:c>
      <x:c r="AF17" s="362" t="str">
        <x:f>IF(AF12=0,"",MAX((Revenue_36M!AF20-Opex_36M!AF28)/AF12,0))</x:f>
      </x:c>
      <x:c r="AG17" s="362" t="str">
        <x:f>IF(AG12=0,"",MAX((Revenue_36M!AG20-Opex_36M!AG28)/AG12,0))</x:f>
      </x:c>
      <x:c r="AH17" s="362" t="str">
        <x:f>IF(AH12=0,"",MAX((Revenue_36M!AH20-Opex_36M!AH28)/AH12,0))</x:f>
      </x:c>
      <x:c r="AI17" s="362" t="str">
        <x:f>IF(AI12=0,"",MAX((Revenue_36M!AI20-Opex_36M!AI28)/AI12,0))</x:f>
      </x:c>
      <x:c r="AJ17" s="362" t="str">
        <x:f>IF(AJ12=0,"",MAX((Revenue_36M!AJ20-Opex_36M!AJ28)/AJ12,0))</x:f>
      </x:c>
      <x:c r="AK17" s="362" t="str">
        <x:f>IF(AK12=0,"",MAX((Revenue_36M!AK20-Opex_36M!AK28)/AK12,0))</x:f>
      </x:c>
      <x:c r="AL17" s="362" t="str">
        <x:f>IF(AL12=0,"",MAX((Revenue_36M!AL20-Opex_36M!AL28)/AL12,0))</x:f>
      </x:c>
      <x:c r="AM17" s="362" t="str">
        <x:f>IF(AM12=0,"",MAX((Revenue_36M!AM20-Opex_36M!AM28)/AM12,0))</x:f>
      </x:c>
      <x:c r="AN17" s="362" t="str">
        <x:f>""</x:f>
      </x:c>
      <x:c r="AO17" s="362" t="str">
        <x:f>""</x:f>
      </x:c>
      <x:c r="AP17" s="362" t="str">
        <x:f>""</x:f>
      </x:c>
      <x:c r="AQ17" s="362" t="str">
        <x:f>""</x:f>
      </x:c>
      <x:c r="AR17" s="362" t="str">
        <x:f>""</x:f>
      </x:c>
      <x:c r="AS17" s="362" t="str">
        <x:f>""</x:f>
      </x:c>
      <x:c r="AT17" s="362" t="str">
        <x:f>""</x:f>
      </x:c>
      <x:c r="AU17" s="362" t="str">
        <x:f>""</x:f>
      </x:c>
      <x:c r="AV17" s="362" t="str">
        <x:f>""</x:f>
      </x:c>
      <x:c r="AW17" s="362" t="str">
        <x:f>""</x:f>
      </x:c>
      <x:c r="AX17" s="362" t="str">
        <x:f>""</x:f>
      </x:c>
      <x:c r="AY17" s="362" t="str">
        <x:f>""</x:f>
      </x:c>
      <x:c r="AZ17" s="362" t="str">
        <x:f>""</x:f>
      </x:c>
      <x:c r="BA17" s="362" t="str">
        <x:f>""</x:f>
      </x:c>
      <x:c r="BB17" s="362" t="str">
        <x:f>""</x:f>
      </x:c>
      <x:c r="BC17" s="362" t="str">
        <x:f>""</x:f>
      </x:c>
      <x:c r="BD17" s="362" t="str">
        <x:f>""</x:f>
      </x:c>
      <x:c r="BE17" s="362" t="str">
        <x:f>""</x:f>
      </x:c>
      <x:c r="BF17" s="362" t="str">
        <x:f>""</x:f>
      </x:c>
      <x:c r="BG17" s="362" t="str">
        <x:f>""</x:f>
      </x:c>
      <x:c r="BH17" s="362" t="str">
        <x:f>""</x:f>
      </x:c>
      <x:c r="BI17" s="362" t="str">
        <x:f>""</x:f>
      </x:c>
      <x:c r="BJ17" s="362" t="str">
        <x:f>""</x:f>
      </x:c>
      <x:c r="BK17" s="384" t="str">
        <x:f>""</x:f>
      </x:c>
    </x:row>
    <x:row r="18">
      <x:c r="A18" s="367" t="str">
        <x:v>DSCR (upside revenue)</x:v>
      </x:c>
      <x:c r="B18" s="368" t="str">
        <x:v>x</x:v>
      </x:c>
      <x:c r="C18" s="369" t="str">
        <x:v>(Revenue incl optionality - opex) / debt service</x:v>
      </x:c>
      <x:c r="D18" s="385" t="str">
        <x:f>IF(D12=0,"",MAX((Revenue_36M!D21-Opex_36M!D28)/D12,0))</x:f>
      </x:c>
      <x:c r="E18" s="386" t="str">
        <x:f>IF(E12=0,"",MAX((Revenue_36M!E21-Opex_36M!E28)/E12,0))</x:f>
      </x:c>
      <x:c r="F18" s="386" t="str">
        <x:f>IF(F12=0,"",MAX((Revenue_36M!F21-Opex_36M!F28)/F12,0))</x:f>
      </x:c>
      <x:c r="G18" s="386" t="str">
        <x:f>IF(G12=0,"",MAX((Revenue_36M!G21-Opex_36M!G28)/G12,0))</x:f>
      </x:c>
      <x:c r="H18" s="386" t="str">
        <x:f>IF(H12=0,"",MAX((Revenue_36M!H21-Opex_36M!H28)/H12,0))</x:f>
      </x:c>
      <x:c r="I18" s="386" t="str">
        <x:f>IF(I12=0,"",MAX((Revenue_36M!I21-Opex_36M!I28)/I12,0))</x:f>
      </x:c>
      <x:c r="J18" s="386" t="str">
        <x:f>IF(J12=0,"",MAX((Revenue_36M!J21-Opex_36M!J28)/J12,0))</x:f>
      </x:c>
      <x:c r="K18" s="386" t="str">
        <x:f>IF(K12=0,"",MAX((Revenue_36M!K21-Opex_36M!K28)/K12,0))</x:f>
      </x:c>
      <x:c r="L18" s="386" t="str">
        <x:f>IF(L12=0,"",MAX((Revenue_36M!L21-Opex_36M!L28)/L12,0))</x:f>
      </x:c>
      <x:c r="M18" s="386" t="str">
        <x:f>IF(M12=0,"",MAX((Revenue_36M!M21-Opex_36M!M28)/M12,0))</x:f>
      </x:c>
      <x:c r="N18" s="386" t="str">
        <x:f>IF(N12=0,"",MAX((Revenue_36M!N21-Opex_36M!N28)/N12,0))</x:f>
      </x:c>
      <x:c r="O18" s="386" t="str">
        <x:f>IF(O12=0,"",MAX((Revenue_36M!O21-Opex_36M!O28)/O12,0))</x:f>
      </x:c>
      <x:c r="P18" s="386" t="str">
        <x:f>IF(P12=0,"",MAX((Revenue_36M!P21-Opex_36M!P28)/P12,0))</x:f>
      </x:c>
      <x:c r="Q18" s="386" t="str">
        <x:f>IF(Q12=0,"",MAX((Revenue_36M!Q21-Opex_36M!Q28)/Q12,0))</x:f>
      </x:c>
      <x:c r="R18" s="386" t="str">
        <x:f>IF(R12=0,"",MAX((Revenue_36M!R21-Opex_36M!R28)/R12,0))</x:f>
      </x:c>
      <x:c r="S18" s="386" t="str">
        <x:f>IF(S12=0,"",MAX((Revenue_36M!S21-Opex_36M!S28)/S12,0))</x:f>
      </x:c>
      <x:c r="T18" s="386" t="str">
        <x:f>IF(T12=0,"",MAX((Revenue_36M!T21-Opex_36M!T28)/T12,0))</x:f>
      </x:c>
      <x:c r="U18" s="386" t="str">
        <x:f>IF(U12=0,"",MAX((Revenue_36M!U21-Opex_36M!U28)/U12,0))</x:f>
      </x:c>
      <x:c r="V18" s="386" t="str">
        <x:f>IF(V12=0,"",MAX((Revenue_36M!V21-Opex_36M!V28)/V12,0))</x:f>
      </x:c>
      <x:c r="W18" s="386" t="str">
        <x:f>IF(W12=0,"",MAX((Revenue_36M!W21-Opex_36M!W28)/W12,0))</x:f>
      </x:c>
      <x:c r="X18" s="386" t="str">
        <x:f>IF(X12=0,"",MAX((Revenue_36M!X21-Opex_36M!X28)/X12,0))</x:f>
      </x:c>
      <x:c r="Y18" s="386" t="str">
        <x:f>IF(Y12=0,"",MAX((Revenue_36M!Y21-Opex_36M!Y28)/Y12,0))</x:f>
      </x:c>
      <x:c r="Z18" s="386" t="str">
        <x:f>IF(Z12=0,"",MAX((Revenue_36M!Z21-Opex_36M!Z28)/Z12,0))</x:f>
      </x:c>
      <x:c r="AA18" s="386" t="str">
        <x:f>IF(AA12=0,"",MAX((Revenue_36M!AA21-Opex_36M!AA28)/AA12,0))</x:f>
      </x:c>
      <x:c r="AB18" s="386" t="str">
        <x:f>IF(AB12=0,"",MAX((Revenue_36M!AB21-Opex_36M!AB28)/AB12,0))</x:f>
      </x:c>
      <x:c r="AC18" s="386" t="str">
        <x:f>IF(AC12=0,"",MAX((Revenue_36M!AC21-Opex_36M!AC28)/AC12,0))</x:f>
      </x:c>
      <x:c r="AD18" s="386" t="str">
        <x:f>IF(AD12=0,"",MAX((Revenue_36M!AD21-Opex_36M!AD28)/AD12,0))</x:f>
      </x:c>
      <x:c r="AE18" s="386" t="str">
        <x:f>IF(AE12=0,"",MAX((Revenue_36M!AE21-Opex_36M!AE28)/AE12,0))</x:f>
      </x:c>
      <x:c r="AF18" s="386" t="str">
        <x:f>IF(AF12=0,"",MAX((Revenue_36M!AF21-Opex_36M!AF28)/AF12,0))</x:f>
      </x:c>
      <x:c r="AG18" s="386" t="str">
        <x:f>IF(AG12=0,"",MAX((Revenue_36M!AG21-Opex_36M!AG28)/AG12,0))</x:f>
      </x:c>
      <x:c r="AH18" s="386" t="str">
        <x:f>IF(AH12=0,"",MAX((Revenue_36M!AH21-Opex_36M!AH28)/AH12,0))</x:f>
      </x:c>
      <x:c r="AI18" s="386" t="str">
        <x:f>IF(AI12=0,"",MAX((Revenue_36M!AI21-Opex_36M!AI28)/AI12,0))</x:f>
      </x:c>
      <x:c r="AJ18" s="386" t="str">
        <x:f>IF(AJ12=0,"",MAX((Revenue_36M!AJ21-Opex_36M!AJ28)/AJ12,0))</x:f>
      </x:c>
      <x:c r="AK18" s="386" t="str">
        <x:f>IF(AK12=0,"",MAX((Revenue_36M!AK21-Opex_36M!AK28)/AK12,0))</x:f>
      </x:c>
      <x:c r="AL18" s="386" t="str">
        <x:f>IF(AL12=0,"",MAX((Revenue_36M!AL21-Opex_36M!AL28)/AL12,0))</x:f>
      </x:c>
      <x:c r="AM18" s="386" t="str">
        <x:f>IF(AM12=0,"",MAX((Revenue_36M!AM21-Opex_36M!AM28)/AM12,0))</x:f>
      </x:c>
      <x:c r="AN18" s="386" t="str">
        <x:f>""</x:f>
      </x:c>
      <x:c r="AO18" s="386" t="str">
        <x:f>""</x:f>
      </x:c>
      <x:c r="AP18" s="386" t="str">
        <x:f>""</x:f>
      </x:c>
      <x:c r="AQ18" s="386" t="str">
        <x:f>""</x:f>
      </x:c>
      <x:c r="AR18" s="386" t="str">
        <x:f>""</x:f>
      </x:c>
      <x:c r="AS18" s="386" t="str">
        <x:f>""</x:f>
      </x:c>
      <x:c r="AT18" s="386" t="str">
        <x:f>""</x:f>
      </x:c>
      <x:c r="AU18" s="386" t="str">
        <x:f>""</x:f>
      </x:c>
      <x:c r="AV18" s="386" t="str">
        <x:f>""</x:f>
      </x:c>
      <x:c r="AW18" s="386" t="str">
        <x:f>""</x:f>
      </x:c>
      <x:c r="AX18" s="386" t="str">
        <x:f>""</x:f>
      </x:c>
      <x:c r="AY18" s="386" t="str">
        <x:f>""</x:f>
      </x:c>
      <x:c r="AZ18" s="386" t="str">
        <x:f>""</x:f>
      </x:c>
      <x:c r="BA18" s="386" t="str">
        <x:f>""</x:f>
      </x:c>
      <x:c r="BB18" s="386" t="str">
        <x:f>""</x:f>
      </x:c>
      <x:c r="BC18" s="386" t="str">
        <x:f>""</x:f>
      </x:c>
      <x:c r="BD18" s="386" t="str">
        <x:f>""</x:f>
      </x:c>
      <x:c r="BE18" s="386" t="str">
        <x:f>""</x:f>
      </x:c>
      <x:c r="BF18" s="386" t="str">
        <x:f>""</x:f>
      </x:c>
      <x:c r="BG18" s="386" t="str">
        <x:f>""</x:f>
      </x:c>
      <x:c r="BH18" s="386" t="str">
        <x:f>""</x:f>
      </x:c>
      <x:c r="BI18" s="386" t="str">
        <x:f>""</x:f>
      </x:c>
      <x:c r="BJ18" s="386" t="str">
        <x:f>""</x:f>
      </x:c>
      <x:c r="BK18" s="387" t="str">
        <x:f>""</x:f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2.13999938964844" hidden="0" customWidth="1"/>
    <x:col min="2" max="2" width="11.430000305175781" hidden="0" customWidth="1"/>
    <x:col min="3" max="3" width="13.569999694824219" hidden="0" customWidth="1"/>
    <x:col min="4" max="4" width="13.569999694824219" hidden="0" customWidth="1"/>
    <x:col min="5" max="5" width="13.569999694824219" hidden="0" customWidth="1"/>
    <x:col min="6" max="6" width="42.13999938964844" hidden="0" customWidth="1"/>
  </x:cols>
  <x:sheetData>
    <x:row r="1">
      <x:c r="A1" s="282" t="str">
        <x:v>Annual_Summary | 3-year output summary for the standalone 20MW model</x:v>
      </x:c>
      <x:c r="B1" s="283"/>
      <x:c r="C1" s="283"/>
      <x:c r="D1" s="283"/>
      <x:c r="E1" s="283"/>
      <x:c r="F1" s="284"/>
    </x:row>
    <x:row r="2">
      <x:c r="A2" s="307" t="str">
        <x:v>This tab is designed for lender / investor pack extraction: ramp, revenue, EBITDA, capex, funding and cash by year.</x:v>
      </x:c>
      <x:c r="B2" s="308"/>
      <x:c r="C2" s="308"/>
      <x:c r="D2" s="308"/>
      <x:c r="E2" s="308"/>
      <x:c r="F2" s="309"/>
    </x:row>
    <x:row r="4">
      <x:c r="A4" s="334" t="str">
        <x:v>Metric</x:v>
      </x:c>
      <x:c r="B4" s="335" t="str">
        <x:v>Unit</x:v>
      </x:c>
      <x:c r="C4" s="335" t="str">
        <x:v>Year 1</x:v>
      </x:c>
      <x:c r="D4" s="335" t="str">
        <x:v>Year 2</x:v>
      </x:c>
      <x:c r="E4" s="335" t="str">
        <x:v>Year 3</x:v>
      </x:c>
      <x:c r="F4" s="336" t="str">
        <x:v>Notes</x:v>
      </x:c>
    </x:row>
    <x:row r="5">
      <x:c r="A5" s="365"/>
      <x:c r="B5" s="357"/>
      <x:c r="C5" s="357"/>
      <x:c r="D5" s="357"/>
      <x:c r="E5" s="357"/>
      <x:c r="F5" s="366"/>
    </x:row>
    <x:row r="6">
      <x:c r="A6" s="365" t="str">
        <x:v>Closing gross MW</x:v>
      </x:c>
      <x:c r="B6" s="357" t="str">
        <x:v>MW</x:v>
      </x:c>
      <x:c r="C6" s="409" t="n">
        <x:f>AVERAGE(Deployment_36M!D21:O21)</x:f>
        <x:v>13.333333333333334</x:v>
      </x:c>
      <x:c r="D6" s="409" t="n">
        <x:f>AVERAGE(Deployment_36M!P21:AA21)</x:f>
        <x:v>20</x:v>
      </x:c>
      <x:c r="E6" s="409" t="n">
        <x:f>AVERAGE(Deployment_36M!AB21:AM21)</x:f>
        <x:v>20</x:v>
      </x:c>
      <x:c r="F6" s="366" t="str">
        <x:v>Uses average deployed MW across the year</x:v>
      </x:c>
    </x:row>
    <x:row r="7">
      <x:c r="A7" s="365" t="str">
        <x:v>Year-end gross MW</x:v>
      </x:c>
      <x:c r="B7" s="357" t="str">
        <x:v>MW</x:v>
      </x:c>
      <x:c r="C7" s="409" t="n">
        <x:f>Deployment_36M!O8+Deployment_36M!O9</x:f>
        <x:v>20</x:v>
      </x:c>
      <x:c r="D7" s="409" t="n">
        <x:f>Deployment_36M!AA8+Deployment_36M!AA9</x:f>
        <x:v>20</x:v>
      </x:c>
      <x:c r="E7" s="409" t="n">
        <x:f>Deployment_36M!AM8+Deployment_36M!AM9</x:f>
        <x:v>20</x:v>
      </x:c>
      <x:c r="F7" s="366" t="str">
        <x:v>Closing MW at the last month of each year</x:v>
      </x:c>
    </x:row>
    <x:row r="8">
      <x:c r="A8" s="365" t="str">
        <x:v>Year-end Grootvlei MW</x:v>
      </x:c>
      <x:c r="B8" s="357" t="str">
        <x:v>MW</x:v>
      </x:c>
      <x:c r="C8" s="409" t="n">
        <x:f>Deployment_36M!O8</x:f>
        <x:v>15</x:v>
      </x:c>
      <x:c r="D8" s="409" t="n">
        <x:f>Deployment_36M!AA8</x:f>
        <x:v>15</x:v>
      </x:c>
      <x:c r="E8" s="409" t="n">
        <x:f>Deployment_36M!AM8</x:f>
        <x:v>15</x:v>
      </x:c>
      <x:c r="F8" s="366" t="str">
        <x:v>Closing MW in December of each year</x:v>
      </x:c>
    </x:row>
    <x:row r="9">
      <x:c r="A9" s="365" t="str">
        <x:v>Year-end AMSA MW</x:v>
      </x:c>
      <x:c r="B9" s="357" t="str">
        <x:v>MW</x:v>
      </x:c>
      <x:c r="C9" s="409" t="n">
        <x:f>Deployment_36M!O9</x:f>
        <x:v>5</x:v>
      </x:c>
      <x:c r="D9" s="409" t="n">
        <x:f>Deployment_36M!AA9</x:f>
        <x:v>5</x:v>
      </x:c>
      <x:c r="E9" s="409" t="n">
        <x:f>Deployment_36M!AM9</x:f>
        <x:v>5</x:v>
      </x:c>
      <x:c r="F9" s="366" t="str">
        <x:v>Closing MW in December of each year</x:v>
      </x:c>
    </x:row>
    <x:row r="10">
      <x:c r="A10" s="365" t="str">
        <x:v>Year-end AMSA solar MW</x:v>
      </x:c>
      <x:c r="B10" s="357" t="str">
        <x:v>MW</x:v>
      </x:c>
      <x:c r="C10" s="409" t="n">
        <x:f>Deployment_36M!O10</x:f>
        <x:v>10</x:v>
      </x:c>
      <x:c r="D10" s="409" t="n">
        <x:f>Deployment_36M!AA10</x:f>
        <x:v>10</x:v>
      </x:c>
      <x:c r="E10" s="409" t="n">
        <x:f>Deployment_36M!AM10</x:f>
        <x:v>10</x:v>
      </x:c>
      <x:c r="F10" s="366" t="str">
        <x:v>Solar MW available by year-end</x:v>
      </x:c>
    </x:row>
    <x:row r="11">
      <x:c r="A11" s="365" t="str">
        <x:v>BTC mined</x:v>
      </x:c>
      <x:c r="B11" s="357" t="str">
        <x:v>BTC</x:v>
      </x:c>
      <x:c r="C11" s="409" t="n">
        <x:f>SUM(Revenue_36M!D16:O16)</x:f>
        <x:v>177.7337984767233</x:v>
      </x:c>
      <x:c r="D11" s="409" t="n">
        <x:f>SUM(Revenue_36M!P16:AA16)</x:f>
        <x:v>247.36134912201942</x:v>
      </x:c>
      <x:c r="E11" s="409" t="n">
        <x:f>SUM(Revenue_36M!AB16:AM16)</x:f>
        <x:v>224.26714137842254</x:v>
      </x:c>
      <x:c r="F11" s="366" t="str">
        <x:v>Annual BTC production</x:v>
      </x:c>
    </x:row>
    <x:row r="12">
      <x:c r="A12" s="365" t="str">
        <x:v>Revenue (base case)</x:v>
      </x:c>
      <x:c r="B12" s="357" t="str">
        <x:v>ZAR'000</x:v>
      </x:c>
      <x:c r="C12" s="410" t="n">
        <x:f>SUM(Revenue_36M!D20:O20)</x:f>
        <x:v>246952.79518970184</x:v>
      </x:c>
      <x:c r="D12" s="410" t="n">
        <x:f>SUM(Revenue_36M!P20:AA20)</x:f>
        <x:v>386487.07002439245</x:v>
      </x:c>
      <x:c r="E12" s="410" t="n">
        <x:f>SUM(Revenue_36M!AB20:AM20)</x:f>
        <x:v>402944.5506688316</x:v>
      </x:c>
      <x:c r="F12" s="366" t="str">
        <x:v>BTC revenue only</x:v>
      </x:c>
    </x:row>
    <x:row r="13">
      <x:c r="A13" s="365" t="str">
        <x:v>Revenue (incl optionality)</x:v>
      </x:c>
      <x:c r="B13" s="357" t="str">
        <x:v>ZAR'000</x:v>
      </x:c>
      <x:c r="C13" s="410" t="n">
        <x:f>SUM(Revenue_36M!D21:O21)</x:f>
        <x:v>246952.79518970184</x:v>
      </x:c>
      <x:c r="D13" s="410" t="n">
        <x:f>SUM(Revenue_36M!P21:AA21)</x:f>
        <x:v>386487.07002439245</x:v>
      </x:c>
      <x:c r="E13" s="410" t="n">
        <x:f>SUM(Revenue_36M!AB21:AM21)</x:f>
        <x:v>402944.5506688316</x:v>
      </x:c>
      <x:c r="F13" s="366" t="str">
        <x:v>BTC + DR + hyperscaler if toggled on</x:v>
      </x:c>
    </x:row>
    <x:row r="14">
      <x:c r="A14" s="365" t="str">
        <x:v>Cash opex</x:v>
      </x:c>
      <x:c r="B14" s="357" t="str">
        <x:v>ZAR'000</x:v>
      </x:c>
      <x:c r="C14" s="410" t="n">
        <x:f>SUM(Opex_36M!D28:O28)</x:f>
        <x:v>111101.93</x:v>
      </x:c>
      <x:c r="D14" s="410" t="n">
        <x:f>SUM(Opex_36M!P28:AA28)</x:f>
        <x:v>153734.62999999998</x:v>
      </x:c>
      <x:c r="E14" s="410" t="n">
        <x:f>SUM(Opex_36M!AB28:AM28)</x:f>
        <x:v>147482.05849999998</x:v>
      </x:c>
      <x:c r="F14" s="366" t="str">
        <x:v>Annual cash operating expenditure</x:v>
      </x:c>
    </x:row>
    <x:row r="15">
      <x:c r="A15" s="365" t="str">
        <x:v>EBITDA (base case)</x:v>
      </x:c>
      <x:c r="B15" s="357" t="str">
        <x:v>ZAR'000</x:v>
      </x:c>
      <x:c r="C15" s="410" t="n">
        <x:f>SUM(Opex_36M!D29:O29)</x:f>
        <x:v>135850.8651897018</x:v>
      </x:c>
      <x:c r="D15" s="410" t="n">
        <x:f>SUM(Opex_36M!P29:AA29)</x:f>
        <x:v>232752.44002439245</x:v>
      </x:c>
      <x:c r="E15" s="410" t="n">
        <x:f>SUM(Opex_36M!AB29:AM29)</x:f>
        <x:v>255462.49216883164</x:v>
      </x:c>
      <x:c r="F15" s="366" t="str">
        <x:v>Base revenue less opex</x:v>
      </x:c>
    </x:row>
    <x:row r="16">
      <x:c r="A16" s="365" t="str">
        <x:v>EBITDA (incl optionality)</x:v>
      </x:c>
      <x:c r="B16" s="357" t="str">
        <x:v>ZAR'000</x:v>
      </x:c>
      <x:c r="C16" s="410" t="n">
        <x:f>SUM(Opex_36M!D30:O30)</x:f>
        <x:v>135850.8651897018</x:v>
      </x:c>
      <x:c r="D16" s="410" t="n">
        <x:f>SUM(Opex_36M!P30:AA30)</x:f>
        <x:v>232752.44002439245</x:v>
      </x:c>
      <x:c r="E16" s="410" t="n">
        <x:f>SUM(Opex_36M!AB30:AM30)</x:f>
        <x:v>255462.49216883164</x:v>
      </x:c>
      <x:c r="F16" s="366" t="str">
        <x:v>Upside revenue less opex</x:v>
      </x:c>
    </x:row>
    <x:row r="17">
      <x:c r="A17" s="365" t="str">
        <x:v>Capex cash spend</x:v>
      </x:c>
      <x:c r="B17" s="357" t="str">
        <x:v>ZAR'000</x:v>
      </x:c>
      <x:c r="C17" s="410" t="n">
        <x:f>SUM(Capex_36M!D52:O52)</x:f>
        <x:v>505405.63171680004</x:v>
      </x:c>
      <x:c r="D17" s="410" t="n">
        <x:f>SUM(Capex_36M!P52:AA52)</x:f>
        <x:v>0</x:v>
      </x:c>
      <x:c r="E17" s="410" t="n">
        <x:f>SUM(Capex_36M!AB52:AM52)</x:f>
        <x:v>0</x:v>
      </x:c>
      <x:c r="F17" s="366" t="str">
        <x:v>Annual capital deployment</x:v>
      </x:c>
    </x:row>
    <x:row r="18">
      <x:c r="A18" s="365" t="str">
        <x:v>Unlevered cash flow</x:v>
      </x:c>
      <x:c r="B18" s="357" t="str">
        <x:v>ZAR'000</x:v>
      </x:c>
      <x:c r="C18" s="410" t="n">
        <x:f>SUM(Funding_36M!D9:O9)</x:f>
        <x:v>-369554.7665270982</x:v>
      </x:c>
      <x:c r="D18" s="410" t="n">
        <x:f>SUM(Funding_36M!P9:AA9)</x:f>
        <x:v>232752.44002439245</x:v>
      </x:c>
      <x:c r="E18" s="410" t="n">
        <x:f>SUM(Funding_36M!AB9:AM9)</x:f>
        <x:v>255462.49216883164</x:v>
      </x:c>
      <x:c r="F18" s="366" t="str">
        <x:v>Base revenue less opex and capex</x:v>
      </x:c>
    </x:row>
    <x:row r="19">
      <x:c r="A19" s="365" t="str">
        <x:v>Equity draw</x:v>
      </x:c>
      <x:c r="B19" s="357" t="str">
        <x:v>ZAR'000</x:v>
      </x:c>
      <x:c r="C19" s="410" t="n">
        <x:f>SUM(Funding_36M!D11:O11)</x:f>
        <x:v>470888.2514298901</x:v>
      </x:c>
      <x:c r="D19" s="410" t="n">
        <x:f>SUM(Funding_36M!P11:AA11)</x:f>
        <x:v>0</x:v>
      </x:c>
      <x:c r="E19" s="410" t="n">
        <x:f>SUM(Funding_36M!AB11:AM11)</x:f>
        <x:v>0</x:v>
      </x:c>
      <x:c r="F19" s="366" t="str">
        <x:v>External equity funding drawn</x:v>
      </x:c>
    </x:row>
    <x:row r="20">
      <x:c r="A20" s="365" t="str">
        <x:v>Senior debt draw</x:v>
      </x:c>
      <x:c r="B20" s="357" t="str">
        <x:v>ZAR'000</x:v>
      </x:c>
      <x:c r="C20" s="410" t="n">
        <x:f>SUM(Funding_36M!D12:O12)</x:f>
        <x:v>0</x:v>
      </x:c>
      <x:c r="D20" s="410" t="n">
        <x:f>SUM(Funding_36M!P12:AA12)</x:f>
        <x:v>0</x:v>
      </x:c>
      <x:c r="E20" s="410" t="n">
        <x:f>SUM(Funding_36M!AB12:AM12)</x:f>
        <x:v>0</x:v>
      </x:c>
      <x:c r="F20" s="366" t="str">
        <x:v>Debt draw — default is 0 in this model</x:v>
      </x:c>
    </x:row>
    <x:row r="21">
      <x:c r="A21" s="365" t="str">
        <x:v>Year-end cash</x:v>
      </x:c>
      <x:c r="B21" s="357" t="str">
        <x:v>ZAR'000</x:v>
      </x:c>
      <x:c r="C21" s="410" t="n">
        <x:f>Funding_36M!O15</x:f>
        <x:v>101333.48490279188</x:v>
      </x:c>
      <x:c r="D21" s="410" t="n">
        <x:f>Funding_36M!AA15</x:f>
        <x:v>334085.9249271844</x:v>
      </x:c>
      <x:c r="E21" s="410" t="n">
        <x:f>Funding_36M!AM15</x:f>
        <x:v>589548.417096016</x:v>
      </x:c>
      <x:c r="F21" s="366" t="str">
        <x:v>Closing cash in December</x:v>
      </x:c>
    </x:row>
    <x:row r="22">
      <x:c r="A22" s="365"/>
      <x:c r="B22" s="357"/>
      <x:c r="C22" s="357"/>
      <x:c r="D22" s="357"/>
      <x:c r="E22" s="357"/>
      <x:c r="F22" s="366"/>
    </x:row>
    <x:row r="23">
      <x:c r="A23" s="365"/>
      <x:c r="B23" s="357"/>
      <x:c r="C23" s="357"/>
      <x:c r="D23" s="357"/>
      <x:c r="E23" s="357"/>
      <x:c r="F23" s="366"/>
    </x:row>
    <x:row r="24">
      <x:c r="A24" s="334" t="str">
        <x:v>Headline metrics</x:v>
      </x:c>
      <x:c r="B24" s="335" t="str"/>
      <x:c r="C24" s="335"/>
      <x:c r="D24" s="335"/>
      <x:c r="E24" s="335"/>
      <x:c r="F24" s="336" t="str"/>
    </x:row>
    <x:row r="25">
      <x:c r="A25" s="365" t="str">
        <x:v>Peak funding required</x:v>
      </x:c>
      <x:c r="B25" s="357" t="str">
        <x:v>ZAR'000</x:v>
      </x:c>
      <x:c r="C25" s="410" t="n">
        <x:f>MAX(Funding_36M!D17:AM17)</x:f>
        <x:v>470888.2514298901</x:v>
      </x:c>
      <x:c r="D25" s="357"/>
      <x:c r="E25" s="357"/>
      <x:c r="F25" s="366" t="str">
        <x:v>Maximum external funding before cash turns positive</x:v>
      </x:c>
    </x:row>
    <x:row r="26">
      <x:c r="A26" s="365" t="str">
        <x:v>Total equity required</x:v>
      </x:c>
      <x:c r="B26" s="357" t="str">
        <x:v>ZAR'000</x:v>
      </x:c>
      <x:c r="C26" s="410" t="n">
        <x:f>SUM(Funding_36M!D11:AM11)</x:f>
        <x:v>470888.2514298901</x:v>
      </x:c>
      <x:c r="D26" s="357"/>
      <x:c r="E26" s="357"/>
      <x:c r="F26" s="366" t="str">
        <x:v>Cumulative equity draw by month 36</x:v>
      </x:c>
    </x:row>
    <x:row r="27">
      <x:c r="A27" s="365" t="str">
        <x:v>Total senior debt drawn</x:v>
      </x:c>
      <x:c r="B27" s="357" t="str">
        <x:v>ZAR'000</x:v>
      </x:c>
      <x:c r="C27" s="410" t="n">
        <x:f>SUM(Funding_36M!D12:AM12)</x:f>
        <x:v>0</x:v>
      </x:c>
      <x:c r="D27" s="357"/>
      <x:c r="E27" s="357"/>
      <x:c r="F27" s="366" t="str">
        <x:v>Cumulative senior debt draw by month 36</x:v>
      </x:c>
    </x:row>
    <x:row r="28">
      <x:c r="A28" s="367" t="str">
        <x:v>Phase 1 capex / peak funding multiple</x:v>
      </x:c>
      <x:c r="B28" s="368" t="str">
        <x:v>x</x:v>
      </x:c>
      <x:c r="C28" s="411" t="n">
        <x:f>IF(C25=0,"",SUM(Capex_36M!D52:AM52)/C25)</x:f>
        <x:v>1.0733027001249131</x:v>
      </x:c>
      <x:c r="D28" s="368"/>
      <x:c r="E28" s="368"/>
      <x:c r="F28" s="369" t="str">
        <x:v>Phase 1 capex divided by peak funding requirement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0.709999084472656" hidden="0" customWidth="1"/>
    <x:col min="2" max="2" width="23.56999969482422" hidden="0" customWidth="1"/>
    <x:col min="3" max="3" width="30.709999084472656" hidden="0" customWidth="1"/>
    <x:col min="4" max="4" width="33.56999969482422" hidden="0" customWidth="1"/>
    <x:col min="5" max="5" width="12.859999656677246" hidden="0" customWidth="1"/>
    <x:col min="6" max="6" width="35" hidden="0" customWidth="1"/>
  </x:cols>
  <x:sheetData>
    <x:row r="1">
      <x:c r="A1" s="416" t="str">
        <x:v>Sources_Notes | Scope, assumptions, and source trail for the simplified 20MW model</x:v>
      </x:c>
      <x:c r="B1" s="416"/>
      <x:c r="C1" s="416"/>
      <x:c r="D1" s="416"/>
      <x:c r="E1" s="416"/>
      <x:c r="F1" s="416"/>
    </x:row>
    <x:row r="3">
      <x:c r="A3" s="422" t="str">
        <x:v>Topic</x:v>
      </x:c>
      <x:c r="B3" s="423" t="str">
        <x:v>Default used in workbook</x:v>
      </x:c>
      <x:c r="C3" s="423" t="str">
        <x:v>Why it is used here</x:v>
      </x:c>
      <x:c r="D3" s="423" t="str">
        <x:v>Primary supporting document</x:v>
      </x:c>
      <x:c r="E3" s="423" t="str">
        <x:v>Date</x:v>
      </x:c>
      <x:c r="F3" s="424" t="str">
        <x:v>Comment / caution</x:v>
      </x:c>
    </x:row>
    <x:row r="4">
      <x:c r="A4" s="365" t="str">
        <x:v>Model scope</x:v>
      </x:c>
      <x:c r="B4" s="357" t="str">
        <x:v>Standalone 20MW, 36-month view</x:v>
      </x:c>
      <x:c r="C4" s="357" t="str">
        <x:v>Matches the current request for a smaller 2–3 year Phase 1 model</x:v>
      </x:c>
      <x:c r="D4" s="357" t="str">
        <x:v>2026-04-21 Nedbank model meeting Daniel call.txt</x:v>
      </x:c>
      <x:c r="E4" s="357" t="str">
        <x:v>2026-04-21</x:v>
      </x:c>
      <x:c r="F4" s="366" t="str">
        <x:v>Detailed master model stays internal; simplified outputs are preferred for investors.</x:v>
      </x:c>
    </x:row>
    <x:row r="5">
      <x:c r="A5" s="365" t="str">
        <x:v>Default site split</x:v>
      </x:c>
      <x:c r="B5" s="357" t="str">
        <x:v>15MW Grootvlei + 5MW AMSA</x:v>
      </x:c>
      <x:c r="C5" s="357" t="str">
        <x:v>Aligns with the latest April 2026 investor materials and current dashboard framing; editable if management wants 10/10</x:v>
      </x:c>
      <x:c r="D5" s="357" t="str">
        <x:v>Bitmach_Investor_Pres_12_April_2026_Final.pdf</x:v>
      </x:c>
      <x:c r="E5" s="357" t="str">
        <x:v>2026-04-12</x:v>
      </x:c>
      <x:c r="F5" s="366" t="str">
        <x:v>Earlier Nedbank memo discussed a 10/10 alternative; this workbook keeps the latest working split but lets the user change it.</x:v>
      </x:c>
    </x:row>
    <x:row r="6">
      <x:c r="A6" s="365" t="str">
        <x:v>Tariff progression</x:v>
      </x:c>
      <x:c r="B6" s="357" t="str">
        <x:v>GVL R1.00 / AMSA Eskom R0.90 in Y1 with editable Y2/Y3 progression</x:v>
      </x:c>
      <x:c r="C6" s="357" t="str">
        <x:v>Keeps the model conservative but commercially credible</x:v>
      </x:c>
      <x:c r="D6" s="357" t="str">
        <x:v>Bitmach_Nedbank Business Model and Project monitoring (2).docx</x:v>
      </x:c>
      <x:c r="E6" s="357" t="str">
        <x:v>2026-03-15</x:v>
      </x:c>
      <x:c r="F6" s="366" t="str">
        <x:v>Eskom pilot letter price band is higher and non-firm; this workbook reflects management's current internal working case, not a term-sheet price.</x:v>
      </x:c>
    </x:row>
    <x:row r="7">
      <x:c r="A7" s="365" t="str">
        <x:v>Uptime</x:v>
      </x:c>
      <x:c r="B7" s="357" t="str">
        <x:v>98% technical uptime</x:v>
      </x:c>
      <x:c r="C7" s="357" t="str">
        <x:v>User explicitly confirmed 98% is realistic; MARA notes show 99.9% operational uptime on a large mining site</x:v>
      </x:c>
      <x:c r="D7" s="357" t="str">
        <x:v>User instruction + BitMach_MARA_Granbury_Site_Visit_Engineering_Debrief_2026-02-16_FINAL_v2.pdf</x:v>
      </x:c>
      <x:c r="E7" s="357" t="str">
        <x:v>2026-04-22 / 2026-02-19</x:v>
      </x:c>
      <x:c r="F7" s="366" t="str">
        <x:v>Model separates uptime from site operating hours.</x:v>
      </x:c>
    </x:row>
    <x:row r="8">
      <x:c r="A8" s="365" t="str">
        <x:v>Grootvlei availability</x:v>
      </x:c>
      <x:c r="B8" s="357" t="str">
        <x:v>22 hours/day</x:v>
      </x:c>
      <x:c r="C8" s="357" t="str">
        <x:v>User explicitly confirmed 22h availability is consistent with current Eskom negotiations</x:v>
      </x:c>
      <x:c r="D8" s="357" t="str">
        <x:v>User instruction</x:v>
      </x:c>
      <x:c r="E8" s="357" t="str">
        <x:v>2026-04-22</x:v>
      </x:c>
      <x:c r="F8" s="366" t="str">
        <x:v>This drives Year 1 production and energy-cost timing.</x:v>
      </x:c>
    </x:row>
    <x:row r="9">
      <x:c r="A9" s="365" t="str">
        <x:v>Optional revenue treatment</x:v>
      </x:c>
      <x:c r="B9" s="357" t="str">
        <x:v>Demand response and hyperscaler resale off by default</x:v>
      </x:c>
      <x:c r="C9" s="357" t="str">
        <x:v>Nedbank review recommended they exist as upside / optionality, not as day-one debt support</x:v>
      </x:c>
      <x:c r="D9" s="357" t="str">
        <x:v>Bitmach_Nedbank Business Model and Project monitoring (2).docx</x:v>
      </x:c>
      <x:c r="E9" s="357" t="str">
        <x:v>2026-03-15</x:v>
      </x:c>
      <x:c r="F9" s="366" t="str">
        <x:v>Toggle them on if management wants an upside case.</x:v>
      </x:c>
    </x:row>
    <x:row r="10">
      <x:c r="A10" s="365" t="str">
        <x:v>Funding default</x:v>
      </x:c>
      <x:c r="B10" s="357" t="str">
        <x:v>100% equity / 0% senior debt</x:v>
      </x:c>
      <x:c r="C10" s="357" t="str">
        <x:v>CEO message says current raise focus is equity for the first 20MW</x:v>
      </x:c>
      <x:c r="D10" s="357" t="str">
        <x:v>User message via conversation</x:v>
      </x:c>
      <x:c r="E10" s="357" t="str">
        <x:v>2026-04-22</x:v>
      </x:c>
      <x:c r="F10" s="366" t="str">
        <x:v>Debt schedule remains in the workbook and activates automatically if debt share is changed.</x:v>
      </x:c>
    </x:row>
    <x:row r="11">
      <x:c r="A11" s="365" t="str">
        <x:v>Hardware basis</x:v>
      </x:c>
      <x:c r="B11" s="357" t="str">
        <x:v>700 TH / 12.5 J/TH / ~8.75 kW per miner / hydro container basis</x:v>
      </x:c>
      <x:c r="C11" s="357" t="str">
        <x:v>Anchored to the current master model inputs; can be overwritten once final Bitmain quote is locked</x:v>
      </x:c>
      <x:c r="D11" s="357" t="str">
        <x:v>BitMach_Master_Model_v3_Financing_20260417.xlsx</x:v>
      </x:c>
      <x:c r="E11" s="357" t="str">
        <x:v>2026-04-17</x:v>
      </x:c>
      <x:c r="F11" s="366" t="str">
        <x:v>Nedbank memo also notes hardware assumptions may need refresh as Bitmain discussions evolve.</x:v>
      </x:c>
    </x:row>
    <x:row r="12">
      <x:c r="A12" s="365" t="str">
        <x:v>Electrical capex shape</x:v>
      </x:c>
      <x:c r="B12" s="357" t="str">
        <x:v>Site-fixed plus variable-per-MW EPC split</x:v>
      </x:c>
      <x:c r="C12" s="357" t="str">
        <x:v>Keeps capex scalable without rebuilding the full detailed EPC workbook</x:v>
      </x:c>
      <x:c r="D12" s="357" t="str">
        <x:v>BitMach_Master_Model_v3_Financing_20260417.xlsx + T2603-24 Cost Estimate.pdf</x:v>
      </x:c>
      <x:c r="E12" s="357" t="str">
        <x:v>2026-04-17 / 2026-03-25</x:v>
      </x:c>
      <x:c r="F12" s="366" t="str">
        <x:v>Use the detailed EPC estimate for contract negotiation, not this summary workbook.</x:v>
      </x:c>
    </x:row>
    <x:row r="13">
      <x:c r="A13" s="367" t="str">
        <x:v>Investor output design</x:v>
      </x:c>
      <x:c r="B13" s="368" t="str">
        <x:v>Dashboard + annual summary + full monthly tabs</x:v>
      </x:c>
      <x:c r="C13" s="368" t="str">
        <x:v>Directly addresses request for simple KPIs, ramp, capex, revenue mix, funding, and payback framing</x:v>
      </x:c>
      <x:c r="D13" s="368" t="str">
        <x:v>2026-04-21 Nedbank model meeting Daniel call.txt</x:v>
      </x:c>
      <x:c r="E13" s="368" t="str">
        <x:v>2026-04-21</x:v>
      </x:c>
      <x:c r="F13" s="369" t="str">
        <x:v>Built for management and investor conversation, not for full due-diligence data-room disclosure.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3.56999969482422" hidden="0" customWidth="1"/>
    <x:col min="2" max="2" width="16.43000030517578" hidden="0" customWidth="1"/>
    <x:col min="3" max="3" width="16.43000030517578" hidden="0" customWidth="1"/>
    <x:col min="4" max="4" width="12.140000343322754" hidden="0" customWidth="1"/>
    <x:col min="5" max="5" width="39.290000915527344" hidden="0" customWidth="1"/>
  </x:cols>
  <x:sheetData>
    <x:row r="1">
      <x:c r="A1" s="433" t="str">
        <x:v>Checks | High-level integrity checks</x:v>
      </x:c>
      <x:c r="B1" s="433"/>
      <x:c r="C1" s="433"/>
      <x:c r="D1" s="433"/>
      <x:c r="E1" s="433"/>
    </x:row>
    <x:row r="2">
      <x:c r="A2" s="357"/>
      <x:c r="B2" s="357"/>
      <x:c r="C2" s="357"/>
      <x:c r="D2" s="357"/>
      <x:c r="E2" s="357"/>
    </x:row>
    <x:row r="3">
      <x:c r="A3" s="334" t="str">
        <x:v>Check</x:v>
      </x:c>
      <x:c r="B3" s="335" t="str">
        <x:v>Formula result</x:v>
      </x:c>
      <x:c r="C3" s="335" t="str">
        <x:v>Expected</x:v>
      </x:c>
      <x:c r="D3" s="335" t="str">
        <x:v>Status</x:v>
      </x:c>
      <x:c r="E3" s="336" t="str">
        <x:v>Comment</x:v>
      </x:c>
    </x:row>
    <x:row r="4">
      <x:c r="A4" s="365" t="str">
        <x:v>Phase 1 year-end MW = 20</x:v>
      </x:c>
      <x:c r="B4" s="410" t="n">
        <x:f>Deployment_36M!AM8+Deployment_36M!AM9</x:f>
        <x:v>20</x:v>
      </x:c>
      <x:c r="C4" s="410" t="str">
        <x:v>20</x:v>
      </x:c>
      <x:c r="D4" s="357" t="str">
        <x:f>IF(B4=C4,"OK","CHECK")</x:f>
        <x:v>OK</x:v>
      </x:c>
      <x:c r="E4" s="366" t="str">
        <x:v>Current default schedule closes at 20MW</x:v>
      </x:c>
    </x:row>
    <x:row r="5">
      <x:c r="A5" s="365" t="str">
        <x:v>Funding shares add to 100%</x:v>
      </x:c>
      <x:c r="B5" s="410" t="n">
        <x:f>Inputs!C93+Inputs!C94</x:f>
        <x:v>1</x:v>
      </x:c>
      <x:c r="C5" s="410" t="str">
        <x:v>1</x:v>
      </x:c>
      <x:c r="D5" s="357" t="str">
        <x:f>IF(ABS(B5-C5)&lt;0.0001,"OK","CHECK")</x:f>
        <x:v>OK</x:v>
      </x:c>
      <x:c r="E5" s="366" t="str">
        <x:v>Equity + debt shares should sum to 100%</x:v>
      </x:c>
    </x:row>
    <x:row r="6">
      <x:c r="A6" s="365" t="str">
        <x:v>DR toggle off gives no DR revenue</x:v>
      </x:c>
      <x:c r="B6" s="410" t="n">
        <x:f>IF(Inputs!C82=0,SUM(Revenue_36M!D18:AM18),0)</x:f>
        <x:v>0</x:v>
      </x:c>
      <x:c r="C6" s="410" t="str">
        <x:v>0</x:v>
      </x:c>
      <x:c r="D6" s="357" t="str">
        <x:f>IF(B6=C6,"OK","CHECK")</x:f>
        <x:v>OK</x:v>
      </x:c>
      <x:c r="E6" s="366" t="str">
        <x:v>Base case should not show DR revenue when toggle = 0</x:v>
      </x:c>
    </x:row>
    <x:row r="7">
      <x:c r="A7" s="365" t="str">
        <x:v>Hyperscaler toggle off gives no hyperscaler revenue</x:v>
      </x:c>
      <x:c r="B7" s="410" t="n">
        <x:f>IF(Inputs!C87=0,SUM(Revenue_36M!D19:AM19),0)</x:f>
        <x:v>0</x:v>
      </x:c>
      <x:c r="C7" s="410" t="str">
        <x:v>0</x:v>
      </x:c>
      <x:c r="D7" s="357" t="str">
        <x:f>IF(B7=C7,"OK","CHECK")</x:f>
        <x:v>OK</x:v>
      </x:c>
      <x:c r="E7" s="366" t="str">
        <x:v>Base case should not show hyperscaler resale when toggle = 0</x:v>
      </x:c>
    </x:row>
    <x:row r="8">
      <x:c r="A8" s="365" t="str">
        <x:v>No formula errors scanned manually</x:v>
      </x:c>
      <x:c r="B8" s="410" t="str">
        <x:f>"Run workbook scan before final distribution"</x:f>
        <x:v>Run workbook scan before final distribution</x:v>
      </x:c>
      <x:c r="C8" s="410" t="str">
        <x:v>Review</x:v>
      </x:c>
      <x:c r="D8" s="357" t="str">
        <x:f>"INFO"</x:f>
        <x:v>INFO</x:v>
      </x:c>
      <x:c r="E8" s="366" t="str">
        <x:v>Use workbook.inspect regex scan before sending</x:v>
      </x:c>
    </x:row>
    <x:row r="9">
      <x:c r="A9" s="367" t="str">
        <x:v>Minimum month-end cash buffer respected</x:v>
      </x:c>
      <x:c r="B9" s="434" t="n">
        <x:f>MIN(Funding_36M!D15:AM15)</x:f>
        <x:v>0</x:v>
      </x:c>
      <x:c r="C9" s="434" t="n">
        <x:f>Inputs!C99</x:f>
        <x:v>0</x:v>
      </x:c>
      <x:c r="D9" s="368" t="str">
        <x:f>IF(B9&gt;=C9,"OK","CHECK")</x:f>
        <x:v>OK</x:v>
      </x:c>
      <x:c r="E9" s="369" t="str">
        <x:v>Funding logic should prevent cash dropping below the buffer</x:v>
      </x:c>
    </x:row>
  </x:sheetData>
  <x:mergeCells>
    <x:mergeCell ref="A1:E1"/>
  </x:mergeCells>
  <x:pageMargins left="0.7" right="0.7" top="0.75" bottom="0.75" header="0.3" footer="0.3"/>
</x:worksheet>
</file>