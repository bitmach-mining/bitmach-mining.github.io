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Scenario_Control" sheetId="2" state="visible" r:id="rId4"/>
    <sheet name="Case_Ramp_Annual" sheetId="3" state="visible" r:id="rId5"/>
    <sheet name="Quarterly_Ramp" sheetId="4" state="visible" r:id="rId6"/>
    <sheet name="Site_Master" sheetId="5" state="visible" r:id="rId7"/>
    <sheet name="Load_Tariff" sheetId="6" state="visible" r:id="rId8"/>
    <sheet name="BTC_Model" sheetId="7" state="visible" r:id="rId9"/>
    <sheet name="DR_Model" sheetId="8" state="visible" r:id="rId10"/>
    <sheet name="AI_DC_Model" sheetId="9" state="visible" r:id="rId11"/>
    <sheet name="Capex_Model" sheetId="10" state="visible" r:id="rId12"/>
    <sheet name="Revenue_Bridge" sheetId="11" state="visible" r:id="rId13"/>
    <sheet name="Financing_DCF" sheetId="12" state="visible" r:id="rId14"/>
    <sheet name="Milestone_Gates" sheetId="13" state="visible" r:id="rId15"/>
    <sheet name="Sensitivities" sheetId="14" state="visible" r:id="rId16"/>
    <sheet name="Checks" sheetId="15" state="visible" r:id="rId17"/>
    <sheet name="Source_Register" sheetId="16" state="visible" r:id="rId18"/>
    <sheet name="Layer5_Op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<sst xmlns="http://schemas.openxmlformats.org/spreadsheetml/2006/main" count="875" uniqueCount="677">
  <si>
    <t xml:space="preserve">10-YEAR MASTER MODEL  ·  ENERGY THAT YIELDS</t>
  </si>
  <si>
    <t xml:space="preserve">Investment case = Core Platform (Layers 1-4).  Phase 1: 10MW Grootvlei + 10MW AMSA.  Layer 5 (owned inference / GPUs) is held as a separate strategic option / potential SPV and is NOT modelled in this case.</t>
  </si>
  <si>
    <t xml:space="preserve">HEADLINE OUTPUTS - CORE PLATFORM (LAYERS 1-4)</t>
  </si>
  <si>
    <t xml:space="preserve">Metric</t>
  </si>
  <si>
    <t xml:space="preserve">Value</t>
  </si>
  <si>
    <t xml:space="preserve">Unit</t>
  </si>
  <si>
    <t xml:space="preserve">Interpretation</t>
  </si>
  <si>
    <t xml:space="preserve">2035 Revenue</t>
  </si>
  <si>
    <t xml:space="preserve">R'm</t>
  </si>
  <si>
    <t xml:space="preserve">Layers 1-4 only; no owned-inference revenue.</t>
  </si>
  <si>
    <t xml:space="preserve">2035 EBITDA</t>
  </si>
  <si>
    <t xml:space="preserve">Strong operating leverage once capacity is deployed.</t>
  </si>
  <si>
    <t xml:space="preserve">10Y Capex (Layers 1-4)</t>
  </si>
  <si>
    <t xml:space="preserve">Excludes Layer 5 GPU / owned-inference capex.</t>
  </si>
  <si>
    <t xml:space="preserve">NPV / EV (unlevered)</t>
  </si>
  <si>
    <t xml:space="preserve">Discounted FCF + terminal value (8x 2035 EBITDA) at 15%.</t>
  </si>
  <si>
    <t xml:space="preserve">Unlevered IRR</t>
  </si>
  <si>
    <t xml:space="preserve">%</t>
  </si>
  <si>
    <t xml:space="preserve">Project IRR on Layers 1-4.</t>
  </si>
  <si>
    <t xml:space="preserve">Peak connected MW</t>
  </si>
  <si>
    <t xml:space="preserve">MW</t>
  </si>
  <si>
    <t xml:space="preserve">Incl. ~250MW reserved as headroom for the Layer 5 option.</t>
  </si>
  <si>
    <t xml:space="preserve">LAYER 5 - OWNED INFERENCE (GPUs):  STRATEGIC OPTION - NOT IN THE INVESTMENT CASE</t>
  </si>
  <si>
    <t xml:space="preserve">Owned inference (buying and operating our own GPU / accelerator fleet) is deliberately excluded from this infrastructure investment case and from the model’s capex, revenue and valuation.</t>
  </si>
  <si>
    <t xml:space="preserve">Rationale: GPU fleets carry a 24-36 month obsolescence cycle and venture-style technology risk that does not fit an infrastructure mandate. This case funds the power, electrical, cooling and hosting platform (the PropCo, Layers 1-4) - it does not fund the GPUs.</t>
  </si>
  <si>
    <t xml:space="preserve">Stance: the Layer 5 business case will be evaluated later in the business cycle - only once AI/DC hosting demand, GPU / vendor financing and utilisation evidence are proven. If pursued, it is expected to be ring-fenced in a separate SPV / OpCo with venture or vendor / equipment financing.</t>
  </si>
  <si>
    <t xml:space="preserve">The five-layer revenue-stack concept is retained in the narrative; Layer 5’s chip capex and inference revenue are intentionally not modelled here. Indicative-only parameters sit on the Layer5_Option tab and can be switched on via Scenario_Control!B54 for evaluation.</t>
  </si>
  <si>
    <t xml:space="preserve">2035 REVENUE MIX - CORE PLATFORM</t>
  </si>
  <si>
    <t xml:space="preserve">10Y CAPEX BRIDGE - CORE PLATFORM (LAYERS 1-4)</t>
  </si>
  <si>
    <t xml:space="preserve">Layer</t>
  </si>
  <si>
    <t xml:space="preserve">2035 Rev (R'm)</t>
  </si>
  <si>
    <t xml:space="preserve">% total</t>
  </si>
  <si>
    <t xml:space="preserve">Note</t>
  </si>
  <si>
    <t xml:space="preserve">Component</t>
  </si>
  <si>
    <t xml:space="preserve">10Y Capex (R'm)</t>
  </si>
  <si>
    <t xml:space="preserve">Share</t>
  </si>
  <si>
    <t xml:space="preserve">BTC anchor</t>
  </si>
  <si>
    <t xml:space="preserve">Liquid, interruptible anchor load.</t>
  </si>
  <si>
    <t xml:space="preserve">Mining infrastructure</t>
  </si>
  <si>
    <t xml:space="preserve">Flexible ASIC load; BTC anchor + DR buffer.</t>
  </si>
  <si>
    <t xml:space="preserve">DR / grid services</t>
  </si>
  <si>
    <t xml:space="preserve">Flexible-demand &amp; grid-stabilisation services.</t>
  </si>
  <si>
    <t xml:space="preserve">Electrical / site</t>
  </si>
  <si>
    <t xml:space="preserve">Grid integration &amp; site enablement.</t>
  </si>
  <si>
    <t xml:space="preserve">AI/DC resale + hosting</t>
  </si>
  <si>
    <t xml:space="preserve">Core AI infra layer (no GPU ownership).</t>
  </si>
  <si>
    <t xml:space="preserve">Solar</t>
  </si>
  <si>
    <t xml:space="preserve">Tariff optimisation / green compute.</t>
  </si>
  <si>
    <t xml:space="preserve">Layer 5 - owned inference</t>
  </si>
  <si>
    <t xml:space="preserve">Not modelled</t>
  </si>
  <si>
    <t xml:space="preserve">-</t>
  </si>
  <si>
    <t xml:space="preserve">Strategic option / potential SPV.</t>
  </si>
  <si>
    <t xml:space="preserve">AI/DC host infrastructure</t>
  </si>
  <si>
    <t xml:space="preserve">Non-GPU hosting; can be partner-funded.</t>
  </si>
  <si>
    <t xml:space="preserve">Total (Layers 1-4)</t>
  </si>
  <si>
    <t xml:space="preserve">Contingency</t>
  </si>
  <si>
    <t xml:space="preserve">Programme reserve (10%).</t>
  </si>
  <si>
    <t xml:space="preserve">Memo: Layer 5 GPU capex (EXCLUDED)</t>
  </si>
  <si>
    <t xml:space="preserve">Not funded by infra vehicle</t>
  </si>
  <si>
    <t xml:space="preserve">Separate SPV / venture financing.</t>
  </si>
  <si>
    <t xml:space="preserve">MILESTONE-GATED CAPITAL UNLOCKS - CORE PLATFORM</t>
  </si>
  <si>
    <t xml:space="preserve">Gate</t>
  </si>
  <si>
    <t xml:space="preserve">Timing</t>
  </si>
  <si>
    <t xml:space="preserve">Capacity</t>
  </si>
  <si>
    <t xml:space="preserve">Indicative unlock</t>
  </si>
  <si>
    <t xml:space="preserve">Key condition</t>
  </si>
  <si>
    <t xml:space="preserve">1</t>
  </si>
  <si>
    <t xml:space="preserve">Q1-26</t>
  </si>
  <si>
    <t xml:space="preserve">20 MW</t>
  </si>
  <si>
    <t xml:space="preserve">R0.6bn</t>
  </si>
  <si>
    <t xml:space="preserve">Phase 1 funded and energised (10MW Grootvlei + 10MW AMSA).</t>
  </si>
  <si>
    <t xml:space="preserve">2</t>
  </si>
  <si>
    <t xml:space="preserve">Q2-26</t>
  </si>
  <si>
    <t xml:space="preserve">160 MW</t>
  </si>
  <si>
    <t xml:space="preserve">R3.2bn</t>
  </si>
  <si>
    <t xml:space="preserve">DR proven to Eskom/NTCSA; tariff path to &lt;=R0.80/kWh.</t>
  </si>
  <si>
    <t xml:space="preserve">3</t>
  </si>
  <si>
    <t xml:space="preserve">Q3-Q4 26</t>
  </si>
  <si>
    <t xml:space="preserve">550 MW</t>
  </si>
  <si>
    <t xml:space="preserve">R8.8bn</t>
  </si>
  <si>
    <t xml:space="preserve">AMSA/Grootvlei scale; first AI/DC 5MW contracted.</t>
  </si>
  <si>
    <t xml:space="preserve">4</t>
  </si>
  <si>
    <t xml:space="preserve">Q1-Q2 27</t>
  </si>
  <si>
    <t xml:space="preserve">1,200 MW</t>
  </si>
  <si>
    <t xml:space="preserve">R14.0bn</t>
  </si>
  <si>
    <t xml:space="preserve">Additional node; essential-load approvals for AI/DC.</t>
  </si>
  <si>
    <t xml:space="preserve">5</t>
  </si>
  <si>
    <t xml:space="preserve">Q3-Q4 27</t>
  </si>
  <si>
    <t xml:space="preserve">2,000 MW</t>
  </si>
  <si>
    <t xml:space="preserve">R20.0bn</t>
  </si>
  <si>
    <t xml:space="preserve">Net tariff &lt;=R0.50/kWh; grid-stabilisation value recognised.</t>
  </si>
  <si>
    <t xml:space="preserve">6</t>
  </si>
  <si>
    <t xml:space="preserve">2028</t>
  </si>
  <si>
    <t xml:space="preserve">2,400 MW</t>
  </si>
  <si>
    <t xml:space="preserve">AI/DC client base &gt;=100MW (creditworthy offtake).</t>
  </si>
  <si>
    <t xml:space="preserve">Layer 5 (owned inference) gates are NOT part of this case - they would be evaluated separately and, if pursued, funded via a dedicated SPV / OpCo (see Layer5_Option tab).</t>
  </si>
  <si>
    <t xml:space="preserve">BitMach 10-Year Master Model v7 - Scenario Control</t>
  </si>
  <si>
    <t xml:space="preserve">Control / Input</t>
  </si>
  <si>
    <t xml:space="preserve">Explanation / investor interpretation</t>
  </si>
  <si>
    <t xml:space="preserve">Selected ramp case</t>
  </si>
  <si>
    <t xml:space="preserve">Full Platform Acceleration</t>
  </si>
  <si>
    <t xml:space="preserve">Default case for investor brief: no capital shortage, fastest practical milestone-gated scale path.</t>
  </si>
  <si>
    <t xml:space="preserve">Selected revenue case</t>
  </si>
  <si>
    <t xml:space="preserve">Integrated Energy Infrastructure</t>
  </si>
  <si>
    <t xml:space="preserve">Uses BTC anchor, DR/grid services, AI/DC power resale and hosting. Owned inference is shown separately as Layer 5.</t>
  </si>
  <si>
    <t xml:space="preserve">Selected funding case</t>
  </si>
  <si>
    <t xml:space="preserve">Infrastructure Funded</t>
  </si>
  <si>
    <t xml:space="preserve">Assumes a deep-pocketed infrastructure investor plus project debt, vendor/partner funding and equipment finance.</t>
  </si>
  <si>
    <t xml:space="preserve">Phase 1 configuration</t>
  </si>
  <si>
    <t xml:space="preserve">10 MW Grootvlei + 10 MW AMSA</t>
  </si>
  <si>
    <t xml:space="preserve">Fixed per latest direction. Useful for DR qualification and two-node proof of execution.</t>
  </si>
  <si>
    <t xml:space="preserve">FX rate</t>
  </si>
  <si>
    <t xml:space="preserve">ZAR/USD</t>
  </si>
  <si>
    <t xml:space="preserve">Used to translate USD-priced hardware, BTC price and AI references into ZAR.</t>
  </si>
  <si>
    <t xml:space="preserve">Discount rate</t>
  </si>
  <si>
    <t xml:space="preserve">Equity/infrastructure discount rate for NPV. Change to test valuation sensitivity.</t>
  </si>
  <si>
    <t xml:space="preserve">Terminal EBITDA multiple</t>
  </si>
  <si>
    <t xml:space="preserve">x</t>
  </si>
  <si>
    <t xml:space="preserve">Applied to final-year EBITDA for terminal value. Infrastructure/compute hybrid valuation lens.</t>
  </si>
  <si>
    <t xml:space="preserve">Corporate tax rate</t>
  </si>
  <si>
    <t xml:space="preserve">South African corporate tax assumption.</t>
  </si>
  <si>
    <t xml:space="preserve">BTC price - start</t>
  </si>
  <si>
    <t xml:space="preserve">USD/BTC</t>
  </si>
  <si>
    <t xml:space="preserve">Starting BTC price assumption.</t>
  </si>
  <si>
    <t xml:space="preserve">BTC price growth</t>
  </si>
  <si>
    <t xml:space="preserve">% p.a.</t>
  </si>
  <si>
    <t xml:space="preserve">Long-run BTC price growth case. Sensitise heavily.</t>
  </si>
  <si>
    <t xml:space="preserve">Network hash growth</t>
  </si>
  <si>
    <t xml:space="preserve">Network difficulty/hash growth. Higher value reduces BTC mined per TH/s.</t>
  </si>
  <si>
    <t xml:space="preserve">BTC fees - initial</t>
  </si>
  <si>
    <t xml:space="preserve">% of subsidy</t>
  </si>
  <si>
    <t xml:space="preserve">Transaction-fee contribution as % of block subsidy in 2026.</t>
  </si>
  <si>
    <t xml:space="preserve">BTC fee growth</t>
  </si>
  <si>
    <t xml:space="preserve">% pts p.a.</t>
  </si>
  <si>
    <t xml:space="preserve">Fee contribution increases over time to partly offset protocol issuance decline.</t>
  </si>
  <si>
    <t xml:space="preserve">Uptime</t>
  </si>
  <si>
    <t xml:space="preserve">Technical availability across load categories. Hydro-cooled architecture and industrial operations target high uptime.</t>
  </si>
  <si>
    <t xml:space="preserve">Mining hours per day</t>
  </si>
  <si>
    <t xml:space="preserve">hours/day</t>
  </si>
  <si>
    <t xml:space="preserve">Interruptible mining load operating profile under Eskom pilot/tariff framework.</t>
  </si>
  <si>
    <t xml:space="preserve">Essential load hours per day</t>
  </si>
  <si>
    <t xml:space="preserve">AI/DC and inference are essential load and run 24/7.</t>
  </si>
  <si>
    <t xml:space="preserve">Interruptible tariff 2026</t>
  </si>
  <si>
    <t xml:space="preserve">R/kWh</t>
  </si>
  <si>
    <t xml:space="preserve">Initial Eskom tariff assumption for first acceleration year.</t>
  </si>
  <si>
    <t xml:space="preserve">Interruptible tariff after DR proof</t>
  </si>
  <si>
    <t xml:space="preserve">Milestone target after proving DR / ancillary capability above 20MW.</t>
  </si>
  <si>
    <t xml:space="preserve">Stabilised interruptible tariff</t>
  </si>
  <si>
    <t xml:space="preserve">Contracted/negotiated grid-stabilisation tariff after initial operating period.</t>
  </si>
  <si>
    <t xml:space="preserve">Optimised net tariff</t>
  </si>
  <si>
    <t xml:space="preserve">Target tariff after deeper demand response / grid stabilisation value is recognised.</t>
  </si>
  <si>
    <t xml:space="preserve">Essential-load tariff premium</t>
  </si>
  <si>
    <t xml:space="preserve">Premium above interruptible tariff for 24/7 essential AI/DC load.</t>
  </si>
  <si>
    <t xml:space="preserve">AI/DC resale tariff</t>
  </si>
  <si>
    <t xml:space="preserve">Price charged to AI/DC customer for power/resale layer. Equivalent to c. USD147/MWh at R17/USD.</t>
  </si>
  <si>
    <t xml:space="preserve">AI resale escalation</t>
  </si>
  <si>
    <t xml:space="preserve">Annual escalation on AI/DC resale tariff.</t>
  </si>
  <si>
    <t xml:space="preserve">Hosting fee</t>
  </si>
  <si>
    <t xml:space="preserve">R'm/MW/month</t>
  </si>
  <si>
    <t xml:space="preserve">Additional site/cooling/hosting services revenue for AI/DC partner capacity.</t>
  </si>
  <si>
    <t xml:space="preserve">IDR standby payment</t>
  </si>
  <si>
    <t xml:space="preserve">R/kW-month</t>
  </si>
  <si>
    <t xml:space="preserve">Illustrative reserve/standby payment for controllable interruptible load. Update when contracted.</t>
  </si>
  <si>
    <t xml:space="preserve">DDMP-style incentive</t>
  </si>
  <si>
    <t xml:space="preserve">R'm/MW over 24m</t>
  </si>
  <si>
    <t xml:space="preserve">Public benchmark-style performance contracting value applied to new eligible MW over two years.</t>
  </si>
  <si>
    <t xml:space="preserve">Event curtailment rate</t>
  </si>
  <si>
    <t xml:space="preserve">Scenario value for event-based curtailment compensation.</t>
  </si>
  <si>
    <t xml:space="preserve">Event hours per year</t>
  </si>
  <si>
    <t xml:space="preserve">hours/year</t>
  </si>
  <si>
    <t xml:space="preserve">Assumed compensated event hours.</t>
  </si>
  <si>
    <t xml:space="preserve">Miner hashrate</t>
  </si>
  <si>
    <t xml:space="preserve">TH/unit</t>
  </si>
  <si>
    <t xml:space="preserve">M7DS-equivalent hash rate assumption.</t>
  </si>
  <si>
    <t xml:space="preserve">Miner efficiency</t>
  </si>
  <si>
    <t xml:space="preserve">J/TH</t>
  </si>
  <si>
    <t xml:space="preserve">M7DS energy efficiency. Lower is better.</t>
  </si>
  <si>
    <t xml:space="preserve">Auxiliary load</t>
  </si>
  <si>
    <t xml:space="preserve">Non-compute auxiliary/cooling load.</t>
  </si>
  <si>
    <t xml:space="preserve">Mining capex</t>
  </si>
  <si>
    <t xml:space="preserve">R'm/MW</t>
  </si>
  <si>
    <t xml:space="preserve">ASIC / container / deployment capex for interruptible mining capacity; c. USD1.2m/MW at R17/USD.</t>
  </si>
  <si>
    <t xml:space="preserve">Electrical/site capex</t>
  </si>
  <si>
    <t xml:space="preserve">Grid interconnection, electrical reticulation and site enablement capex across scale.</t>
  </si>
  <si>
    <t xml:space="preserve">Solar capex</t>
  </si>
  <si>
    <t xml:space="preserve">Solar PV capex assumption.</t>
  </si>
  <si>
    <t xml:space="preserve">AI/DC host capex</t>
  </si>
  <si>
    <t xml:space="preserve">Non-GPU hosting infrastructure capex for AI/DC partner capacity.</t>
  </si>
  <si>
    <t xml:space="preserve">Owned inference capex [Layer 5 option - indicative only]</t>
  </si>
  <si>
    <t xml:space="preserve">GPU/accelerator-heavy own inference capex. High-risk/high-reward Layer 5 only.</t>
  </si>
  <si>
    <t xml:space="preserve">Own inference revenue [Layer 5 option - indicative only]</t>
  </si>
  <si>
    <t xml:space="preserve">R'm/MW/year</t>
  </si>
  <si>
    <t xml:space="preserve">High-level gross inference/token/API revenue per MW-year at initial deployment.</t>
  </si>
  <si>
    <t xml:space="preserve">Inference price decline [Layer 5 option - indicative only]</t>
  </si>
  <si>
    <t xml:space="preserve">Annual revenue decline / compression applied to own inference as token/GPU pricing normalises.</t>
  </si>
  <si>
    <t xml:space="preserve">Inference opex ratio [Layer 5 option - indicative only]</t>
  </si>
  <si>
    <t xml:space="preserve">% of revenue</t>
  </si>
  <si>
    <t xml:space="preserve">Non-power operating cost as % of owned inference revenue.</t>
  </si>
  <si>
    <t xml:space="preserve">Programme-level contingency on gross capex.</t>
  </si>
  <si>
    <t xml:space="preserve">AI host partner-funded share</t>
  </si>
  <si>
    <t xml:space="preserve">Share of AI/DC host infrastructure funded by partner/customer/vendor.</t>
  </si>
  <si>
    <t xml:space="preserve">Own inference partner/vendor share</t>
  </si>
  <si>
    <t xml:space="preserve">Share of owned inference capex funded by strategic partner/vendor/equipment structure.</t>
  </si>
  <si>
    <t xml:space="preserve">Core platform project debt share</t>
  </si>
  <si>
    <t xml:space="preserve">Debt share for core platform capex after partner/vendor funding.</t>
  </si>
  <si>
    <t xml:space="preserve">Core platform equity share</t>
  </si>
  <si>
    <t xml:space="preserve">Equity share for core platform capex after partner/vendor funding.</t>
  </si>
  <si>
    <t xml:space="preserve">Core platform partner/vendor share</t>
  </si>
  <si>
    <t xml:space="preserve">Vendor / partner / other non-equity funding share for core platform capex.</t>
  </si>
  <si>
    <t xml:space="preserve">Owned inference debt share</t>
  </si>
  <si>
    <t xml:space="preserve">Equipment/project debt share of BitMach-funded owned inference capex.</t>
  </si>
  <si>
    <t xml:space="preserve">Owned inference equity share</t>
  </si>
  <si>
    <t xml:space="preserve">Equity share of BitMach-funded owned inference capex.</t>
  </si>
  <si>
    <t xml:space="preserve">Debt interest rate</t>
  </si>
  <si>
    <t xml:space="preserve">Blended project/equipment debt rate.</t>
  </si>
  <si>
    <t xml:space="preserve">Debt amortisation tenor</t>
  </si>
  <si>
    <t xml:space="preserve">years</t>
  </si>
  <si>
    <t xml:space="preserve">Simplified annual amortisation tenor for post-grace debt service.</t>
  </si>
  <si>
    <t xml:space="preserve">Debt grace period</t>
  </si>
  <si>
    <t xml:space="preserve">Grace period before amortisation begins.</t>
  </si>
  <si>
    <t xml:space="preserve">Layer 5 (owned inference) - model in base case?</t>
  </si>
  <si>
    <t xml:space="preserve">1=Yes / 0=No</t>
  </si>
  <si>
    <t xml:space="preserve">Owned inference (GPUs) is held as a separate strategic option / potential SPV and is EXCLUDED from the base infrastructure investment case. Set to 1 to switch the Layer 5 business case back on for evaluation.</t>
  </si>
  <si>
    <t xml:space="preserve">Blue = editable input.  Yellow = key value-driving assumption (sensitise these).</t>
  </si>
  <si>
    <t xml:space="preserve">Case Ramp Annual - Connected Capacity by Site (MW)</t>
  </si>
  <si>
    <t xml:space="preserve">Ramp Case / Site</t>
  </si>
  <si>
    <t xml:space="preserve">2026</t>
  </si>
  <si>
    <t xml:space="preserve">2027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</si>
  <si>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</si>
  <si>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</si>
  <si>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</si>
  <si>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</si>
  <si>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</si>
  <si>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</si>
  <si>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</si>
  <si>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  Grootvlei</t>
  </si>
  <si>
    <t xml:space="preserve">  AMSA Vanderbijlpark</t>
  </si>
  <si>
    <t xml:space="preserve">  AMSA Newcastle</t>
  </si>
  <si>
    <t xml:space="preserve">  Saldanha</t>
  </si>
  <si>
    <t xml:space="preserve">  Komati / Eskom Nodes</t>
  </si>
  <si>
    <t xml:space="preserve">  Total Connected MW</t>
  </si>
  <si>
    <t xml:space="preserve">Institutional Growth</t>
  </si>
  <si>
    <t xml:space="preserve">Phase 1 Underwriting</t>
  </si>
  <si>
    <t xml:space="preserve">Full Platform Acceleration - 36 Month Ramp &amp; Capital Unlocks</t>
  </si>
  <si>
    <t xml:space="preserve">Q3-26</t>
  </si>
  <si>
    <t xml:space="preserve">Q4-26</t>
  </si>
  <si>
    <t xml:space="preserve">Q1-27</t>
  </si>
  <si>
    <t xml:space="preserve">Q2-27</t>
  </si>
  <si>
    <t xml:space="preserve">Q3-27</t>
  </si>
  <si>
    <t xml:space="preserve">Q4-27</t>
  </si>
  <si>
    <t xml:space="preserve">Q1-28</t>
  </si>
  <si>
    <t xml:space="preserve">Q2-28</t>
  </si>
  <si>
    <t xml:space="preserve">Q3-28</t>
  </si>
  <si>
    <t xml:space="preserve">Q4-28</t>
  </si>
  <si>
    <t xml:space="preserve">Grootvlei MW</t>
  </si>
  <si>
    <t xml:space="preserve">AMSA Vanderbijlpark MW</t>
  </si>
  <si>
    <t xml:space="preserve">AMSA Newcastle MW</t>
  </si>
  <si>
    <t xml:space="preserve">Saldanha MW</t>
  </si>
  <si>
    <t xml:space="preserve">Komati / Eskom Nodes MW</t>
  </si>
  <si>
    <t xml:space="preserve">Total Connected MW</t>
  </si>
  <si>
    <t xml:space="preserve">AI/DC Customer MW</t>
  </si>
  <si>
    <t xml:space="preserve">Reserved Layer-5 MW (option - separate SPV)</t>
  </si>
  <si>
    <t xml:space="preserve">Milestone / Gate</t>
  </si>
  <si>
    <t xml:space="preserve">Phase 1 funded</t>
  </si>
  <si>
    <t xml:space="preserve">DR proof + tariff &lt;=R0.80</t>
  </si>
  <si>
    <t xml:space="preserve">AMSA/GVL buildout</t>
  </si>
  <si>
    <t xml:space="preserve">AI/DC 5MW contracted</t>
  </si>
  <si>
    <t xml:space="preserve">New node active</t>
  </si>
  <si>
    <t xml:space="preserve">Net tariff &lt;=R0.50</t>
  </si>
  <si>
    <t xml:space="preserve">AI/DC &gt;=100MW</t>
  </si>
  <si>
    <t xml:space="preserve">1GW+ achieved</t>
  </si>
  <si>
    <t xml:space="preserve">Own inference 5MW stable</t>
  </si>
  <si>
    <t xml:space="preserve">2GW+ achieved</t>
  </si>
  <si>
    <t xml:space="preserve">Own inference 250MW path</t>
  </si>
  <si>
    <t xml:space="preserve">Full acceleration stabilisation</t>
  </si>
  <si>
    <t xml:space="preserve">Capital unlock this quarter (Rbn)</t>
  </si>
  <si>
    <t xml:space="preserve">Site Master - Capacity, Status and Commercial Role</t>
  </si>
  <si>
    <t xml:space="preserve">Site</t>
  </si>
  <si>
    <t xml:space="preserve">Grid Capacity MW</t>
  </si>
  <si>
    <t xml:space="preserve">Solar PV MW</t>
  </si>
  <si>
    <t xml:space="preserve">Phase Role</t>
  </si>
  <si>
    <t xml:space="preserve">Acceleration Timing</t>
  </si>
  <si>
    <t xml:space="preserve">Primary Revenue Role</t>
  </si>
  <si>
    <t xml:space="preserve">Milestone / dependency</t>
  </si>
  <si>
    <t xml:space="preserve">Source / context</t>
  </si>
  <si>
    <t xml:space="preserve">Investor note</t>
  </si>
  <si>
    <t xml:space="preserve">Grootvlei</t>
  </si>
  <si>
    <t xml:space="preserve">Phase 1 + scale node</t>
  </si>
  <si>
    <t xml:space="preserve">Q1-26 to Q2-27</t>
  </si>
  <si>
    <t xml:space="preserve">BTC anchor, DR proof, grid services</t>
  </si>
  <si>
    <t xml:space="preserve">Eskom tariff / DR proof, self-build EPC</t>
  </si>
  <si>
    <t xml:space="preserve">Concept design, EPC quote, Eskom pilot materials</t>
  </si>
  <si>
    <t xml:space="preserve">Repurposed power-station node with existing grid infrastructure.</t>
  </si>
  <si>
    <t xml:space="preserve">AMSA Vanderbijlpark</t>
  </si>
  <si>
    <t xml:space="preserve">Phase 1 + industrial platform</t>
  </si>
  <si>
    <t xml:space="preserve">Q1-26 to Q4-26</t>
  </si>
  <si>
    <t xml:space="preserve">BTC anchor, solar blending, AI/DC hosting</t>
  </si>
  <si>
    <t xml:space="preserve">AMSA definitive agreement, solar rights, 10MW initial block</t>
  </si>
  <si>
    <t xml:space="preserve">AMSA term sheet / investor materials</t>
  </si>
  <si>
    <t xml:space="preserve">Industrial precinct with solar and customer adjacency.</t>
  </si>
  <si>
    <t xml:space="preserve">AMSA Newcastle</t>
  </si>
  <si>
    <t xml:space="preserve">Phase 3 scale node</t>
  </si>
  <si>
    <t xml:space="preserve">Q4-26 to Q3-27</t>
  </si>
  <si>
    <t xml:space="preserve">BTC, DR, AI/DC hosting</t>
  </si>
  <si>
    <t xml:space="preserve">AMSA Newcastle unlock, grid and solar due diligence</t>
  </si>
  <si>
    <t xml:space="preserve">AMSA term sheet / management roadmap</t>
  </si>
  <si>
    <t xml:space="preserve">Large industrial node for rapid scale.</t>
  </si>
  <si>
    <t xml:space="preserve">Saldanha</t>
  </si>
  <si>
    <t xml:space="preserve">Phase 4 coastal node</t>
  </si>
  <si>
    <t xml:space="preserve">Q1-27 to Q4-27</t>
  </si>
  <si>
    <t xml:space="preserve">BTC, solar, AI/DC hosting</t>
  </si>
  <si>
    <t xml:space="preserve">Saldanha site rights and grid/solar confirmation</t>
  </si>
  <si>
    <t xml:space="preserve">Strategic coastal / industrial energy node.</t>
  </si>
  <si>
    <t xml:space="preserve">Komati / additional Eskom nodes</t>
  </si>
  <si>
    <t xml:space="preserve">Eskom-node replication</t>
  </si>
  <si>
    <t xml:space="preserve">Q4-26 to Q4-28</t>
  </si>
  <si>
    <t xml:space="preserve">BTC, DR, grid services, AI/DC expansion</t>
  </si>
  <si>
    <t xml:space="preserve">Eskom/NTCSA agreements; node-by-node approvals</t>
  </si>
  <si>
    <t xml:space="preserve">Eskom proposal history and platform plan</t>
  </si>
  <si>
    <t xml:space="preserve">Portfolio of power-station / grid nodes enabling 2GW+ scale.</t>
  </si>
  <si>
    <t xml:space="preserve">Load &amp; Tariff Model - Interruptible Mining vs Essential AI/DC Load</t>
  </si>
  <si>
    <t xml:space="preserve">Closing connected MW</t>
  </si>
  <si>
    <t xml:space="preserve">Opening connected MW</t>
  </si>
  <si>
    <t xml:space="preserve">Average connected MW</t>
  </si>
  <si>
    <t xml:space="preserve">AI/DC hosting essential load share</t>
  </si>
  <si>
    <t xml:space="preserve">Reserved capacity for optional Layer 5 (MW)</t>
  </si>
  <si>
    <t xml:space="preserve">AI/DC hosting MW</t>
  </si>
  <si>
    <t xml:space="preserve">Total essential MW</t>
  </si>
  <si>
    <t xml:space="preserve">Interruptible mining MW</t>
  </si>
  <si>
    <t xml:space="preserve">Essential load cap check</t>
  </si>
  <si>
    <t xml:space="preserve">Mining energy (GWh)</t>
  </si>
  <si>
    <t xml:space="preserve">AI/DC host energy (GWh)</t>
  </si>
  <si>
    <t xml:space="preserve">Reserved / Layer-5 energy (GWh) - nil unless Layer 5 evaluated</t>
  </si>
  <si>
    <t xml:space="preserve">Interruptible tariff (R/kWh)</t>
  </si>
  <si>
    <t xml:space="preserve">Essential import tariff (R/kWh)</t>
  </si>
  <si>
    <t xml:space="preserve">AI/DC resale tariff (R/kWh)</t>
  </si>
  <si>
    <t xml:space="preserve">Mining power cost (R'm)</t>
  </si>
  <si>
    <t xml:space="preserve">AI/DC host power cost (R'm)</t>
  </si>
  <si>
    <t xml:space="preserve">Own inference power cost (R'm)</t>
  </si>
  <si>
    <t xml:space="preserve">AI/DC resale power revenue (R'm)</t>
  </si>
  <si>
    <t xml:space="preserve">Power gross margin - host (R'm)</t>
  </si>
  <si>
    <t xml:space="preserve">Tariff relief vs R1.20 baseline (R'm)</t>
  </si>
  <si>
    <t xml:space="preserve">BTC Anchor Revenue Model - Halving, Fees and Network Difficulty</t>
  </si>
  <si>
    <t xml:space="preserve">BTC price (USD)</t>
  </si>
  <si>
    <t xml:space="preserve">Network hash (TH/s)</t>
  </si>
  <si>
    <t xml:space="preserve">Block subsidy (BTC/block)</t>
  </si>
  <si>
    <t xml:space="preserve">Transaction fees (% of subsidy)</t>
  </si>
  <si>
    <t xml:space="preserve">Effective BTC/block incl. fees</t>
  </si>
  <si>
    <t xml:space="preserve">Network BTC/year</t>
  </si>
  <si>
    <t xml:space="preserve">Mining MW</t>
  </si>
  <si>
    <t xml:space="preserve">Effective BitMach hash (TH/s)</t>
  </si>
  <si>
    <t xml:space="preserve">BTC mined</t>
  </si>
  <si>
    <t xml:space="preserve">BTC revenue (R'm)</t>
  </si>
  <si>
    <t xml:space="preserve">Demand Response / Grid Services Model - Mechanism Stack</t>
  </si>
  <si>
    <t xml:space="preserve">Mechanism</t>
  </si>
  <si>
    <t xml:space="preserve">Eligible interruptible MW</t>
  </si>
  <si>
    <t xml:space="preserve">New eligible MW</t>
  </si>
  <si>
    <t xml:space="preserve">IDR / reserve standby revenue (R'm)</t>
  </si>
  <si>
    <t xml:space="preserve">DDMP-style incentive (R'm)</t>
  </si>
  <si>
    <t xml:space="preserve">Event / curtailment value (R'm)</t>
  </si>
  <si>
    <t xml:space="preserve">Total DR / grid services revenue (R'm)</t>
  </si>
  <si>
    <t xml:space="preserve">Tariff relief / NPA value (R'm)</t>
  </si>
  <si>
    <t xml:space="preserve">Total grid-alignment economic value (R'm)</t>
  </si>
  <si>
    <t xml:space="preserve">Revenue status</t>
  </si>
  <si>
    <t xml:space="preserve">Milestone-linked; recurring platform value</t>
  </si>
  <si>
    <t xml:space="preserve">Milestone dependency</t>
  </si>
  <si>
    <t xml:space="preserve">NPA / market participation / dispatch performance</t>
  </si>
  <si>
    <t xml:space="preserve">AI/DC Commercial Model - Power Resale, Hosting and Owned Inference</t>
  </si>
  <si>
    <t xml:space="preserve">AI/DC host MW</t>
  </si>
  <si>
    <t xml:space="preserve">Reserved Layer-5 MW</t>
  </si>
  <si>
    <t xml:space="preserve">Own inference energy (GWh)</t>
  </si>
  <si>
    <t xml:space="preserve">AI/DC power resale revenue (R'm)</t>
  </si>
  <si>
    <t xml:space="preserve">AI/DC power import cost (R'm)</t>
  </si>
  <si>
    <t xml:space="preserve">AI/DC power gross margin (R'm)</t>
  </si>
  <si>
    <t xml:space="preserve">AI/DC hosting / colocation revenue (R'm)</t>
  </si>
  <si>
    <t xml:space="preserve">AI/DC hosting operating cost (R'm)</t>
  </si>
  <si>
    <t xml:space="preserve">AI/DC hosting EBITDA (R'm)</t>
  </si>
  <si>
    <t xml:space="preserve">Owned inference gross revenue (Layer 5 option - excluded from base case) (R'm)</t>
  </si>
  <si>
    <t xml:space="preserve">Own inference non-power opex (R'm)</t>
  </si>
  <si>
    <t xml:space="preserve">Own inference EBITDA (R'm)</t>
  </si>
  <si>
    <t xml:space="preserve">Total AI/DC + inference revenue (R'm)</t>
  </si>
  <si>
    <t xml:space="preserve">Total AI/DC + inference EBITDA (R'm)</t>
  </si>
  <si>
    <t xml:space="preserve">AI/DC commercial status</t>
  </si>
  <si>
    <t xml:space="preserve">Pilot / partner discussions</t>
  </si>
  <si>
    <t xml:space="preserve">Contracted capacity target</t>
  </si>
  <si>
    <t xml:space="preserve">Scaled hosting + selective own inference</t>
  </si>
  <si>
    <t xml:space="preserve">Capex Model - Core Platform vs Optional Owned Inference</t>
  </si>
  <si>
    <t xml:space="preserve">Capex component</t>
  </si>
  <si>
    <t xml:space="preserve">New connected MW</t>
  </si>
  <si>
    <t xml:space="preserve">New interruptible mining MW</t>
  </si>
  <si>
    <t xml:space="preserve">New AI/DC host MW</t>
  </si>
  <si>
    <t xml:space="preserve">Reserved Layer-5 MW additions</t>
  </si>
  <si>
    <t xml:space="preserve">New solar MW</t>
  </si>
  <si>
    <t xml:space="preserve">Mining infrastructure capex (R'm)</t>
  </si>
  <si>
    <t xml:space="preserve">Electrical / site capex (R'm)</t>
  </si>
  <si>
    <t xml:space="preserve">Solar capex (R'm)</t>
  </si>
  <si>
    <t xml:space="preserve">AI/DC hosting infrastructure capex (R'm)</t>
  </si>
  <si>
    <t xml:space="preserve">Owned inference / GPU capex (Layer 5 option - excluded from base case) (R'm)</t>
  </si>
  <si>
    <t xml:space="preserve">Gross capex - Core Layers 1-4 (R'm)</t>
  </si>
  <si>
    <t xml:space="preserve">Gross capex - Full Stack incl. Layer 5 (R'm)</t>
  </si>
  <si>
    <t xml:space="preserve">Partner/vendor-funded AI/DC capex (R'm)</t>
  </si>
  <si>
    <t xml:space="preserve">Partner/vendor-funded inference capex (R'm)</t>
  </si>
  <si>
    <t xml:space="preserve">BitMach-funded core capex (R'm)</t>
  </si>
  <si>
    <t xml:space="preserve">BitMach-funded owned inference capex (R'm)</t>
  </si>
  <si>
    <t xml:space="preserve">Contingency on gross capex (R'm)</t>
  </si>
  <si>
    <t xml:space="preserve">Total BitMach-funded capex incl. contingency (R'm)</t>
  </si>
  <si>
    <t xml:space="preserve">Cumulative capex excl. owned inference (R'm)</t>
  </si>
  <si>
    <t xml:space="preserve">Cumulative capex incl. owned inference (R'm)</t>
  </si>
  <si>
    <t xml:space="preserve">Owned inference share of gross capex</t>
  </si>
  <si>
    <t xml:space="preserve">Revenue Bridge - Layered Energy-to-Compute Platform</t>
  </si>
  <si>
    <t xml:space="preserve">Revenue Stream</t>
  </si>
  <si>
    <t xml:space="preserve">Layer 1 - BTC anchor revenue (R'm)</t>
  </si>
  <si>
    <t xml:space="preserve">Layer 2 - DR / grid services revenue (R'm)</t>
  </si>
  <si>
    <t xml:space="preserve">Layer 2 value - tariff relief / NPA value (R'm)</t>
  </si>
  <si>
    <t xml:space="preserve">Layer 3 - Energy market / balancing value (R'm)</t>
  </si>
  <si>
    <t xml:space="preserve">Layer 4A - AI/DC power resale revenue (R'm)</t>
  </si>
  <si>
    <t xml:space="preserve">Layer 4B - AI/DC hosting / colocation revenue (R'm)</t>
  </si>
  <si>
    <t xml:space="preserve">Revenue Layers 1-4 excl. own inference (R'm)</t>
  </si>
  <si>
    <t xml:space="preserve">Layer 5 - Owned inference / token revenue (strategic option - NOT modelled in base case) (R'm)</t>
  </si>
  <si>
    <t xml:space="preserve">Total revenue incl. Layer 5 (R'm)</t>
  </si>
  <si>
    <t xml:space="preserve">BTC share of full revenue</t>
  </si>
  <si>
    <t xml:space="preserve">DR/grid share of full revenue</t>
  </si>
  <si>
    <t xml:space="preserve">AI/DC + inference share of full revenue</t>
  </si>
  <si>
    <t xml:space="preserve">Revenue status / evidence</t>
  </si>
  <si>
    <t xml:space="preserve">Base contracted / protocol driven</t>
  </si>
  <si>
    <t xml:space="preserve">Milestone-linked commercial stack</t>
  </si>
  <si>
    <t xml:space="preserve">Scaled platform revenue mix</t>
  </si>
  <si>
    <t xml:space="preserve">Financing, DCF &amp; Valuation - Core Platform (Layers 1-4)</t>
  </si>
  <si>
    <t xml:space="preserve">Layer 5 (owned inference / GPUs) is EXCLUDED from this case (Scenario_Control!B54=0). "incl. owned inference" rows therefore equal the core rows.</t>
  </si>
  <si>
    <t xml:space="preserve">Valuation metric</t>
  </si>
  <si>
    <t xml:space="preserve">Core Platform (Layers 1-4)</t>
  </si>
  <si>
    <t xml:space="preserve">Layer 5 (owned inference)</t>
  </si>
  <si>
    <t xml:space="preserve">Total revenue excl. owned inference (R'm)</t>
  </si>
  <si>
    <t xml:space="preserve">NPV (R'm)</t>
  </si>
  <si>
    <t xml:space="preserve">Excluded from the investment case.</t>
  </si>
  <si>
    <t xml:space="preserve">Total revenue incl. owned inference (R'm)</t>
  </si>
  <si>
    <t xml:space="preserve">IRR</t>
  </si>
  <si>
    <t xml:space="preserve">Held as a separate strategic option / potential SPV.</t>
  </si>
  <si>
    <t xml:space="preserve">Operating cost - mining power (R'm)</t>
  </si>
  <si>
    <t xml:space="preserve">Terminal value undiscounted (R'm)</t>
  </si>
  <si>
    <t xml:space="preserve">See Layer5_Option tab; toggle Scenario_Control!B54 to evaluate.</t>
  </si>
  <si>
    <t xml:space="preserve">Operating cost - AI/DC host power (R'm)</t>
  </si>
  <si>
    <t xml:space="preserve">Operating cost - own inference power (R'm)</t>
  </si>
  <si>
    <t xml:space="preserve">Operating cost - platform overhead (R'm)</t>
  </si>
  <si>
    <t xml:space="preserve">2035 EBITDA (R'm)</t>
  </si>
  <si>
    <t xml:space="preserve">Operating cost - mining opex (R'm)</t>
  </si>
  <si>
    <t xml:space="preserve">2035 Revenue (R'm)</t>
  </si>
  <si>
    <t xml:space="preserve">Operating cost - AI/DC hosting opex (R'm)</t>
  </si>
  <si>
    <t xml:space="preserve">Cumulative equity required (R'm)</t>
  </si>
  <si>
    <t xml:space="preserve">Operating cost - own inference non-power opex (R'm)</t>
  </si>
  <si>
    <t xml:space="preserve">Total opex excl. owned inference (R'm)</t>
  </si>
  <si>
    <t xml:space="preserve">Total opex incl. owned inference (R'm)</t>
  </si>
  <si>
    <t xml:space="preserve">EBITDA excl. owned inference (R'm)</t>
  </si>
  <si>
    <t xml:space="preserve">EBITDA incl. owned inference (R'm)</t>
  </si>
  <si>
    <t xml:space="preserve">Gross capex excl. owned inference (R'm)</t>
  </si>
  <si>
    <t xml:space="preserve">Gross capex incl. owned inference (R'm)</t>
  </si>
  <si>
    <t xml:space="preserve">BitMach-funded capex incl. contingency (R'm)</t>
  </si>
  <si>
    <t xml:space="preserve">Partner/vendor-funded capex (R'm)</t>
  </si>
  <si>
    <t xml:space="preserve">Debt draw (R'm)</t>
  </si>
  <si>
    <t xml:space="preserve">Equity draw (R'm)</t>
  </si>
  <si>
    <t xml:space="preserve">Opening debt (R'm)</t>
  </si>
  <si>
    <t xml:space="preserve">Cash interest (R'm)</t>
  </si>
  <si>
    <t xml:space="preserve">Principal repayment (R'm)</t>
  </si>
  <si>
    <t xml:space="preserve">Closing debt (R'm)</t>
  </si>
  <si>
    <t xml:space="preserve">Tax (27% of EBITDA; no capital allowances - conservative) (R'm)</t>
  </si>
  <si>
    <t xml:space="preserve">Unlevered FCF excl. owned inference (R'm)</t>
  </si>
  <si>
    <t xml:space="preserve">Unlevered FCF incl. owned inference (R'm)</t>
  </si>
  <si>
    <t xml:space="preserve">Levered FCF to equity (R'm)</t>
  </si>
  <si>
    <t xml:space="preserve">Terminal value (R'm)</t>
  </si>
  <si>
    <t xml:space="preserve">Levered FCF discounted (R'm)</t>
  </si>
  <si>
    <t xml:space="preserve">Debt / EBITDA</t>
  </si>
  <si>
    <t xml:space="preserve">Core FCF incl terminal (R'm)</t>
  </si>
  <si>
    <t xml:space="preserve">Full FCF incl terminal (R'm)</t>
  </si>
  <si>
    <t xml:space="preserve">Gross MoIC (unlevered FCF incl. TV / gross capex) (x)</t>
  </si>
  <si>
    <t xml:space="preserve">Milestone Gates - Capital Unlock Path for Full Platform Acceleration</t>
  </si>
  <si>
    <t xml:space="preserve">Target timing</t>
  </si>
  <si>
    <t xml:space="preserve">Capacity unlocked</t>
  </si>
  <si>
    <t xml:space="preserve">Capital unlock</t>
  </si>
  <si>
    <t xml:space="preserve">Operational proof</t>
  </si>
  <si>
    <t xml:space="preserve">Commercial requirement</t>
  </si>
  <si>
    <t xml:space="preserve">Revenue impact</t>
  </si>
  <si>
    <t xml:space="preserve">Model trigger</t>
  </si>
  <si>
    <t xml:space="preserve">Status</t>
  </si>
  <si>
    <t xml:space="preserve">Investor decision</t>
  </si>
  <si>
    <t xml:space="preserve">Gate 1</t>
  </si>
  <si>
    <t xml:space="preserve">Phase 1 funded and energised</t>
  </si>
  <si>
    <t xml:space="preserve">10MW Grootvlei + 10MW AMSA online</t>
  </si>
  <si>
    <t xml:space="preserve">BTC anchor revenue begins</t>
  </si>
  <si>
    <t xml:space="preserve">Phase 1 close MW &gt; 0</t>
  </si>
  <si>
    <t xml:space="preserve">Near-term</t>
  </si>
  <si>
    <t xml:space="preserve">Initial equity / seed infrastructure tranche</t>
  </si>
  <si>
    <t xml:space="preserve">Gate 2</t>
  </si>
  <si>
    <t xml:space="preserve">DR capabilities proven to Eskom / NTCSA</t>
  </si>
  <si>
    <t xml:space="preserve">Interruptible load telemetry + response compliance</t>
  </si>
  <si>
    <t xml:space="preserve">DR standby and DDMP-style revenue enabled</t>
  </si>
  <si>
    <t xml:space="preserve">DR proof flag = TRUE</t>
  </si>
  <si>
    <t xml:space="preserve">Milestone</t>
  </si>
  <si>
    <t xml:space="preserve">Release scale capital to Grootvlei / AMSA</t>
  </si>
  <si>
    <t xml:space="preserve">Gate 3</t>
  </si>
  <si>
    <t xml:space="preserve">Tariff path to &lt;= R0.80/kWh demonstrated</t>
  </si>
  <si>
    <t xml:space="preserve">AMSA VB + Grootvlei scale agreements</t>
  </si>
  <si>
    <t xml:space="preserve">Mining margin improves materially</t>
  </si>
  <si>
    <t xml:space="preserve">Tariff case = DR proof</t>
  </si>
  <si>
    <t xml:space="preserve">Fund full AMSA VB + Grootvlei Phase 1 scale</t>
  </si>
  <si>
    <t xml:space="preserve">Gate 4</t>
  </si>
  <si>
    <t xml:space="preserve">First AI/DC customer live</t>
  </si>
  <si>
    <t xml:space="preserve">Eskom / site approvals for essential load behind BitMach</t>
  </si>
  <si>
    <t xml:space="preserve">AI/DC power resale + hosting begins</t>
  </si>
  <si>
    <t xml:space="preserve">AI/DC contracted MW &gt;= 5</t>
  </si>
  <si>
    <t xml:space="preserve">Fund Newcastle/Saldanha/Komati ramp</t>
  </si>
  <si>
    <t xml:space="preserve">Gate 5</t>
  </si>
  <si>
    <t xml:space="preserve">Net tariff &lt;= R0.50/kWh path achieved</t>
  </si>
  <si>
    <t xml:space="preserve">Grid-stabilisation value recognised in tariff / commercial framework</t>
  </si>
  <si>
    <t xml:space="preserve">Cost base structurally de-risks</t>
  </si>
  <si>
    <t xml:space="preserve">Optimised tariff flag = TRUE</t>
  </si>
  <si>
    <t xml:space="preserve">Release &gt;1GW expansion capital</t>
  </si>
  <si>
    <t xml:space="preserve">Gate 6</t>
  </si>
  <si>
    <t xml:space="preserve">2,200 MW</t>
  </si>
  <si>
    <t xml:space="preserve">AI/DC client base &gt;= 100 MW</t>
  </si>
  <si>
    <t xml:space="preserve">Contracted essential-load customers with credit-worthy counterparties</t>
  </si>
  <si>
    <t xml:space="preserve">AI/DC becomes core revenue line</t>
  </si>
  <si>
    <t xml:space="preserve">AI host MW &gt;= 100</t>
  </si>
  <si>
    <t xml:space="preserve">Fund AI/DC hosting infrastructure and partner pods</t>
  </si>
  <si>
    <t xml:space="preserve">Gate 7</t>
  </si>
  <si>
    <t xml:space="preserve">2028-29</t>
  </si>
  <si>
    <t xml:space="preserve">2,300 MW</t>
  </si>
  <si>
    <t xml:space="preserve">R18.0bn</t>
  </si>
  <si>
    <t xml:space="preserve">Own inference &gt;= 5 MW stable</t>
  </si>
  <si>
    <t xml:space="preserve">GPU/vendor financing or partner-funded hardware model validated</t>
  </si>
  <si>
    <t xml:space="preserve">Layer 5 revenue begins</t>
  </si>
  <si>
    <t xml:space="preserve">Own inference MW &gt;= 5</t>
  </si>
  <si>
    <t xml:space="preserve">Optional</t>
  </si>
  <si>
    <t xml:space="preserve">SEPARATE from infra case - evaluate later; if pursued, fund via dedicated SPV / OpCo (venture / vendor finance).</t>
  </si>
  <si>
    <t xml:space="preserve">Gate 8</t>
  </si>
  <si>
    <t xml:space="preserve">2029+</t>
  </si>
  <si>
    <t xml:space="preserve">2,400 MW+</t>
  </si>
  <si>
    <t xml:space="preserve">R40.0bn+</t>
  </si>
  <si>
    <t xml:space="preserve">Own inference &gt;= 250 MW path</t>
  </si>
  <si>
    <t xml:space="preserve">Customer demand, utilisation and financing evidence</t>
  </si>
  <si>
    <t xml:space="preserve">High-risk/high-reward Layer 5 scales</t>
  </si>
  <si>
    <t xml:space="preserve">Own inference MW &gt;= 250</t>
  </si>
  <si>
    <t xml:space="preserve">Optional / staged</t>
  </si>
  <si>
    <t xml:space="preserve">SENSITIVITIES - CORE PLATFORM (LAYERS 1-4)</t>
  </si>
  <si>
    <t xml:space="preserve">Layer 5 (owned inference) is excluded. All figures below are for the Core Platform only.</t>
  </si>
  <si>
    <t xml:space="preserve">A.  NPV SENSITIVITY TO DISCOUNT RATE  (live - recomputes from core FCF incl. terminal)</t>
  </si>
  <si>
    <t xml:space="preserve">Core NPV (R'm)</t>
  </si>
  <si>
    <t xml:space="preserve">&lt;- base case (15%)</t>
  </si>
  <si>
    <t xml:space="preserve">B.  KEY-DRIVER DOWNSIDE SCENARIOS  (indicative - model re-run at stated inputs; not linked to base cells)</t>
  </si>
  <si>
    <t xml:space="preserve">Scenario</t>
  </si>
  <si>
    <t xml:space="preserve">Key input change(s)</t>
  </si>
  <si>
    <t xml:space="preserve">Core IRR</t>
  </si>
  <si>
    <t xml:space="preserve">Base case</t>
  </si>
  <si>
    <t xml:space="preserve">As modelled</t>
  </si>
  <si>
    <t xml:space="preserve">BTC bear</t>
  </si>
  <si>
    <t xml:space="preserve">Network hash +25%/yr &amp; BTC price +5%/yr (vs +12% / +12%)</t>
  </si>
  <si>
    <t xml:space="preserve">No Eskom DR / tariff deal</t>
  </si>
  <si>
    <t xml:space="preserve">Interruptible mining tariff stuck at R0.80/kWh</t>
  </si>
  <si>
    <t xml:space="preserve">AI/DC resale under-prices</t>
  </si>
  <si>
    <t xml:space="preserve">AI/DC resale at R1.50/kWh (vs R2.50)</t>
  </si>
  <si>
    <t xml:space="preserve">Rand strengthens (FX risk)</t>
  </si>
  <si>
    <t xml:space="preserve">Rand strengthens to R15.00/USD (vs R17.00) - lowers ZAR value of USD-priced BTC revenue</t>
  </si>
  <si>
    <t xml:space="preserve">Combined downside</t>
  </si>
  <si>
    <t xml:space="preserve">Hash +22%, BTC +6%, tariff R0.80, resale R1.80, DR standby halved</t>
  </si>
  <si>
    <t xml:space="preserve">n/a (neg.)</t>
  </si>
  <si>
    <t xml:space="preserve">Note: Section B figures are produced by re-running the full model at the stated inputs (not live links). The 80% tariff-relief haircut requested by lenders is reflected in the "No Eskom DR / tariff deal" case. A fully live driver-sensitivity engine can be wired on request.</t>
  </si>
  <si>
    <t xml:space="preserve">C.  NPV SENSITIVITY TO TERMINAL EBITDA MULTIPLE  (live - the dominant value driver)</t>
  </si>
  <si>
    <t xml:space="preserve">Exit multiple (x)</t>
  </si>
  <si>
    <t xml:space="preserve">Terminal as % of NPV</t>
  </si>
  <si>
    <t xml:space="preserve">&lt;- base case (8x)</t>
  </si>
  <si>
    <t xml:space="preserve">D.  VALUATION COMPOSITION  (how much of NPV is the exit assumption)</t>
  </si>
  <si>
    <t xml:space="preserve">PV of explicit FCF 2026-2035 (excl. terminal) (R'm)</t>
  </si>
  <si>
    <t xml:space="preserve">PV of terminal value (8x 2035 EBITDA) (R'm)</t>
  </si>
  <si>
    <t xml:space="preserve">Total Core NPV (R'm)</t>
  </si>
  <si>
    <t xml:space="preserve">Terminal value as % of NPV</t>
  </si>
  <si>
    <t xml:space="preserve">Note: ~4/5 of NPV sits in the terminal multiple - the single biggest valuation sensitivity. Hold this multiple defensible.</t>
  </si>
  <si>
    <t xml:space="preserve">Model Integrity Checks</t>
  </si>
  <si>
    <t xml:space="preserve">Check</t>
  </si>
  <si>
    <t xml:space="preserve">Formula / Value</t>
  </si>
  <si>
    <t xml:space="preserve">Comment</t>
  </si>
  <si>
    <t xml:space="preserve">Phase 1 fixed at 10MW + 10MW</t>
  </si>
  <si>
    <t xml:space="preserve">Full acceleration case begins with 20MW split evenly across Grootvlei and AMSA.</t>
  </si>
  <si>
    <t xml:space="preserve">Essential load capped at 30%</t>
  </si>
  <si>
    <t xml:space="preserve">AI/DC + own inference essential load should not exceed 30% of connected load.</t>
  </si>
  <si>
    <t xml:space="preserve">Mining hours are 19/day</t>
  </si>
  <si>
    <t xml:space="preserve">Interruptible mining load hours.</t>
  </si>
  <si>
    <t xml:space="preserve">AI/DC load is 24/7</t>
  </si>
  <si>
    <t xml:space="preserve">Essential load hours.</t>
  </si>
  <si>
    <t xml:space="preserve">Debt interest reasonable</t>
  </si>
  <si>
    <t xml:space="preserve">Should not pull a years value into rate.</t>
  </si>
  <si>
    <t xml:space="preserve">BTC subsidy halves in 2028</t>
  </si>
  <si>
    <t xml:space="preserve">Protocol issuance halving in model.</t>
  </si>
  <si>
    <t xml:space="preserve">BTC subsidy halves again in 2032</t>
  </si>
  <si>
    <t xml:space="preserve">Second visible halving in 10Y forecast.</t>
  </si>
  <si>
    <t xml:space="preserve">AI/DC resale &gt; import tariff</t>
  </si>
  <si>
    <t xml:space="preserve">Power resale spread should be positive.</t>
  </si>
  <si>
    <t xml:space="preserve">Owned-inference capex held out of base case</t>
  </si>
  <si>
    <t xml:space="preserve">Layer 5 capex is separate from the core platform.</t>
  </si>
  <si>
    <t xml:space="preserve">Core = full-stack capex (Layer 5 off)</t>
  </si>
  <si>
    <t xml:space="preserve">Full-stack capex equals core when Layer 5 is off.</t>
  </si>
  <si>
    <t xml:space="preserve">Layer 5 excluded from base case (B54=0)</t>
  </si>
  <si>
    <t xml:space="preserve">Layer 5 switch off; excluded from investment case.</t>
  </si>
  <si>
    <t xml:space="preserve">Reserved Layer-5 headroom preserved (&gt;0 MW)</t>
  </si>
  <si>
    <t xml:space="preserve">Grid headroom earmarked for the Layer 5 option.</t>
  </si>
  <si>
    <t xml:space="preserve">Owned-inference revenue = 0 in base case</t>
  </si>
  <si>
    <t xml:space="preserve">Owned-inference revenue excluded from base case.</t>
  </si>
  <si>
    <t xml:space="preserve">Terminal value present in 2035 (guards prior bug)</t>
  </si>
  <si>
    <t xml:space="preserve">Terminal fires in 2035; guards the prior text-year bug.</t>
  </si>
  <si>
    <t xml:space="preserve">Core NPV positive</t>
  </si>
  <si>
    <t xml:space="preserve">Core platform NPV is positive.</t>
  </si>
  <si>
    <t xml:space="preserve">Revenue incl = excl owned inference (Layer 5 off)</t>
  </si>
  <si>
    <t xml:space="preserve">Revenue incl owned inference equals core when off.</t>
  </si>
  <si>
    <t xml:space="preserve">Source Register &amp; Modelling Evidence</t>
  </si>
  <si>
    <t xml:space="preserve">Source category</t>
  </si>
  <si>
    <t xml:space="preserve">Document / evidence</t>
  </si>
  <si>
    <t xml:space="preserve">Use in model</t>
  </si>
  <si>
    <t xml:space="preserve">Notes</t>
  </si>
  <si>
    <t xml:space="preserve">Chairman / investor feedback</t>
  </si>
  <si>
    <t xml:space="preserve">Rob emails and WhatsApp feedback</t>
  </si>
  <si>
    <t xml:space="preserve">AI/DC and DR as integral revenue lines; 36-month acceleration; capital waterfall; GPU/hosting case selector</t>
  </si>
  <si>
    <t xml:space="preserve">Internal guidance</t>
  </si>
  <si>
    <t xml:space="preserve">Used to shape model architecture, not quoted to investors.</t>
  </si>
  <si>
    <t xml:space="preserve">Investor memo REV2</t>
  </si>
  <si>
    <t xml:space="preserve">BitMach InvestorMemo_REV2 (stafford).docx</t>
  </si>
  <si>
    <t xml:space="preserve">Revenue stack, full platform acceleration, 36-month target framing, first-equity investor narrative</t>
  </si>
  <si>
    <t xml:space="preserve">Investor-facing source</t>
  </si>
  <si>
    <t xml:space="preserve">Document should remain the spine of the brief.</t>
  </si>
  <si>
    <t xml:space="preserve">AI inference mechanics</t>
  </si>
  <si>
    <t xml:space="preserve">AI Inference Datacenter technical/financial mechanics note</t>
  </si>
  <si>
    <t xml:space="preserve">High-level economics for AI/DC hosting and owned inference capex/revenue architecture</t>
  </si>
  <si>
    <t xml:space="preserve">Internal technical source</t>
  </si>
  <si>
    <t xml:space="preserve">Used for modelling logic, not cited in investor brief.</t>
  </si>
  <si>
    <t xml:space="preserve">DR research</t>
  </si>
  <si>
    <t xml:space="preserve">Eskom DR / IDR / DDMP / SAWEM research dossiers</t>
  </si>
  <si>
    <t xml:space="preserve">Separate DR mechanisms; IDR standby, DDMP-style incentives, event/capacity value</t>
  </si>
  <si>
    <t xml:space="preserve">Research input</t>
  </si>
  <si>
    <t xml:space="preserve">Assumptions remain editable and contract-status tagged.</t>
  </si>
  <si>
    <t xml:space="preserve">AMSA term sheet</t>
  </si>
  <si>
    <t xml:space="preserve">AMSA/BitMach term sheet</t>
  </si>
  <si>
    <t xml:space="preserve">AMSA VB, Newcastle, Saldanha expansion logic and solar rights</t>
  </si>
  <si>
    <t xml:space="preserve">Commercial development source</t>
  </si>
  <si>
    <t xml:space="preserve">Subject to definitive agreements.</t>
  </si>
  <si>
    <t xml:space="preserve">Eskom pilot / concept docs</t>
  </si>
  <si>
    <t xml:space="preserve">Eskom pilot product, Grootvlei concept design, Hamar EPC quote</t>
  </si>
  <si>
    <t xml:space="preserve">Phase 1 technical/electrical basis, 20MW deployment, EPC cost estimates</t>
  </si>
  <si>
    <t xml:space="preserve">Technical evidence</t>
  </si>
  <si>
    <t xml:space="preserve">Supports Phase 1 10MW + 10MW starting case.</t>
  </si>
  <si>
    <t xml:space="preserve">LAYER 5 - OWNED INFERENCE (GPUs): STRATEGIC OPTION</t>
  </si>
  <si>
    <t xml:space="preserve">Not part of the Core investment case. This tab documents the option and holds INDICATIVE-ONLY parameters for a future evaluation.</t>
  </si>
  <si>
    <t xml:space="preserve">Position</t>
  </si>
  <si>
    <t xml:space="preserve">Owned inference (operating our own GPU / accelerator fleet to sell tokens / inference) is treated as a separate long-term venture, not as part of the infrastructure investment case.</t>
  </si>
  <si>
    <t xml:space="preserve">Why separate</t>
  </si>
  <si>
    <t xml:space="preserve">GPU fleets depreciate over ~24-36 months and carry technology-obsolescence and merchant-compute price risk - a venture / growth profile, not an infrastructure one. Bundling it depresses the platform IRR and exposes infrastructure capital to chip risk.</t>
  </si>
  <si>
    <t xml:space="preserve">What the base case funds</t>
  </si>
  <si>
    <t xml:space="preserve">Layers 1-4 only: power access, electrical/site, cooling and (non-GPU) AI/DC hosting shells - i.e. the PropCo. The GPUs themselves are explicitly NOT funded here.</t>
  </si>
  <si>
    <t xml:space="preserve">Evaluation trigger</t>
  </si>
  <si>
    <t xml:space="preserve">The Layer 5 business case will be assessed later in the cycle, once (a) AI/DC hosting demand and creditworthy offtake are proven, (b) GPU / vendor or equipment financing is available, and (c) utilisation / pricing evidence supports the returns.</t>
  </si>
  <si>
    <t xml:space="preserve">Likely structure if pursued</t>
  </si>
  <si>
    <t xml:space="preserve">A dedicated SPV / OpCo, ring-fenced from the infrastructure vehicle, funded with venture and/or vendor/equipment finance. The infrastructure platform would host it as a customer (incremental hosting revenue to Layers 1-4).</t>
  </si>
  <si>
    <t xml:space="preserve">How to evaluate in this model</t>
  </si>
  <si>
    <t xml:space="preserve">Set Scenario_Control!B54 = 1 to switch the indicative Layer 5 capex &amp; revenue back on. The reserved ~250MW of grid headroom (held in Load_Tariff) is the physical capacity earmarked for this option.</t>
  </si>
  <si>
    <t xml:space="preserve">INDICATIVE-ONLY PARAMETERS (NOT IN THE INVESTMENT CASE)</t>
  </si>
  <si>
    <t xml:space="preserve">Parameter</t>
  </si>
  <si>
    <t xml:space="preserve">Indicative value</t>
  </si>
  <si>
    <t xml:space="preserve">GPU / owned-inference capex</t>
  </si>
  <si>
    <t xml:space="preserve">R'm / MW</t>
  </si>
  <si>
    <t xml:space="preserve">Order-of-magnitude only; vendor-dependent.</t>
  </si>
  <si>
    <t xml:space="preserve">Owned inference revenue</t>
  </si>
  <si>
    <t xml:space="preserve">R'm / MW / yr</t>
  </si>
  <si>
    <t xml:space="preserve">Highly sensitive to utilisation &amp; token pricing.</t>
  </si>
  <si>
    <t xml:space="preserve">Inference price decline</t>
  </si>
  <si>
    <t xml:space="preserve">%/yr</t>
  </si>
  <si>
    <t xml:space="preserve">Compute pricing deflation.</t>
  </si>
  <si>
    <t xml:space="preserve">Reserved capacity (headroom)</t>
  </si>
  <si>
    <t xml:space="preserve">Earmarked grid headroom for the option.</t>
  </si>
  <si>
    <t xml:space="preserve">Indicative GPU capex if fully built</t>
  </si>
  <si>
    <t xml:space="preserve">Memo: scale of the separate SPV raise - NOT in this case.</t>
  </si>
  <si>
    <t xml:space="preserve">These figures are illustrative placeholders for scoping only. No Layer 5 capex, revenue, EBITDA or valuation flows into the Dashboard, Revenue_Bridge or Financing_DCF while Scenario_Control!B54 = 0.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</si>
</sst>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"/>
    <numFmt numFmtId="167" formatCode="#,##0.00"/>
    <numFmt numFmtId="168" formatCode="0.0\x"/>
    <numFmt numFmtId="169" formatCode="#,##0"/>
    <numFmt numFmtId="170" formatCode="0"/>
    <numFmt numFmtId="171" formatCode="0.00"/>
    <numFmt numFmtId="172" formatCode="#,##0.0;\(#,##0.0\);\-"/>
    <numFmt numFmtId="173" formatCode="0.000"/>
    <numFmt numFmtId="174" formatCode="[$$-409]#,##0.00;[RED]\-[$$-409]#,##0.00"/>
    <numFmt numFmtId="175" formatCode="General"/>
  </numFmts>
  <fonts count="2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entury Gothic"/>
      <family val="0"/>
      <charset val="1"/>
    </font>
    <font>
      <sz val="11"/>
      <name val="Cambria"/>
      <family val="1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entury Gothic"/>
      <family val="0"/>
      <charset val="1"/>
    </font>
    <font>
      <b val="true"/>
      <sz val="10"/>
      <color rgb="FFFFFFFF"/>
      <name val="Century Gothic"/>
      <family val="0"/>
      <charset val="1"/>
    </font>
    <font>
      <b val="true"/>
      <sz val="10"/>
      <name val="Calibri"/>
      <family val="2"/>
      <charset val="1"/>
    </font>
    <font>
      <b val="true"/>
      <sz val="11"/>
      <color rgb="FF0B1020"/>
      <name val="Calibri"/>
      <family val="0"/>
      <charset val="1"/>
    </font>
    <font>
      <sz val="10"/>
      <name val="Calibri"/>
      <family val="2"/>
      <charset val="1"/>
    </font>
    <font>
      <sz val="9"/>
      <color rgb="FF3A1115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i val="true"/>
      <sz val="9"/>
      <color rgb="FFCBD5E1"/>
      <name val="Calibri"/>
      <family val="0"/>
      <charset val="1"/>
    </font>
    <font>
      <b val="true"/>
      <sz val="13"/>
      <color rgb="FFFFFFFF"/>
      <name val="Century Gothic"/>
      <family val="0"/>
      <charset val="1"/>
    </font>
    <font>
      <sz val="11"/>
      <name val="Calibri"/>
      <family val="0"/>
      <charset val="1"/>
    </font>
    <font>
      <sz val="10"/>
      <color rgb="FF1F4E79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B0B0B0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1A2233"/>
      <name val="Calibri"/>
      <family val="0"/>
      <charset val="1"/>
    </font>
    <font>
      <sz val="10"/>
      <color rgb="FFE8E8E8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1020"/>
        <bgColor rgb="FF11151C"/>
      </patternFill>
    </fill>
    <fill>
      <patternFill patternType="solid">
        <fgColor rgb="FFF8FAFC"/>
        <bgColor rgb="FFF4F6F8"/>
      </patternFill>
    </fill>
    <fill>
      <patternFill patternType="solid">
        <fgColor rgb="FF1E2A44"/>
        <bgColor rgb="FF1E293B"/>
      </patternFill>
    </fill>
    <fill>
      <patternFill patternType="solid">
        <fgColor rgb="FFFBF1F2"/>
        <bgColor rgb="FFF4F6F8"/>
      </patternFill>
    </fill>
    <fill>
      <patternFill patternType="solid">
        <fgColor rgb="FF141B2E"/>
        <bgColor rgb="FF1A2233"/>
      </patternFill>
    </fill>
    <fill>
      <patternFill patternType="solid">
        <fgColor rgb="FFFFF2CC"/>
        <bgColor rgb="FFFBF1F2"/>
      </patternFill>
    </fill>
    <fill>
      <patternFill patternType="solid">
        <fgColor rgb="FF3A101A"/>
        <bgColor rgb="FF3A1115"/>
      </patternFill>
    </fill>
    <fill>
      <patternFill patternType="solid">
        <fgColor rgb="FFF4F6F8"/>
        <bgColor rgb="FFF8FAFC"/>
      </patternFill>
    </fill>
    <fill>
      <patternFill patternType="solid">
        <fgColor rgb="FF2A2D34"/>
        <bgColor rgb="FF1E293B"/>
      </patternFill>
    </fill>
    <fill>
      <patternFill patternType="solid">
        <fgColor rgb="FF071E41"/>
        <bgColor rgb="FF141B2E"/>
      </patternFill>
    </fill>
    <fill>
      <patternFill patternType="solid">
        <fgColor rgb="FF11151C"/>
        <bgColor rgb="FF0B1020"/>
      </patternFill>
    </fill>
    <fill>
      <patternFill patternType="solid">
        <fgColor rgb="FF0B0C10"/>
        <bgColor rgb="FF0B102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E3363E"/>
      </bottom>
      <diagonal/>
    </border>
    <border diagonalUp="false" diagonalDown="false">
      <left/>
      <right/>
      <top/>
      <bottom style="thin">
        <color rgb="FFE3363E"/>
      </bottom>
      <diagonal/>
    </border>
    <border diagonalUp="false" diagonalDown="false">
      <left style="medium">
        <color rgb="FFE3363E"/>
      </left>
      <right/>
      <top/>
      <bottom/>
      <diagonal/>
    </border>
    <border diagonalUp="false" diagonalDown="false">
      <left/>
      <right/>
      <top style="thin">
        <color rgb="FFE3363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6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18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18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18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2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2" fontId="22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2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22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5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5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1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1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B91C1C"/>
      </font>
      <fill>
        <patternFill>
          <bgColor rgb="FFFECACA"/>
        </patternFill>
      </fill>
    </dxf>
    <dxf>
      <font>
        <b val="1"/>
        <color rgb="FF166534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A1115"/>
      <rgbColor rgb="FF166534"/>
      <rgbColor rgb="FF0B1020"/>
      <rgbColor rgb="FF808000"/>
      <rgbColor rgb="FF1E2A44"/>
      <rgbColor rgb="FF1E6B3A"/>
      <rgbColor rgb="FFB0B0B0"/>
      <rgbColor rgb="FF475569"/>
      <rgbColor rgb="FF9999FF"/>
      <rgbColor rgb="FF6B2737"/>
      <rgbColor rgb="FFFFF2CC"/>
      <rgbColor rgb="FFDCFCE7"/>
      <rgbColor rgb="FF3A101A"/>
      <rgbColor rgb="FFFF8080"/>
      <rgbColor rgb="FF1F4E79"/>
      <rgbColor rgb="FFCBD5E1"/>
      <rgbColor rgb="FF141B2E"/>
      <rgbColor rgb="FFFF00FF"/>
      <rgbColor rgb="FFFFFF00"/>
      <rgbColor rgb="FF00FFFF"/>
      <rgbColor rgb="FF0B0C10"/>
      <rgbColor rgb="FF11151C"/>
      <rgbColor rgb="FF008080"/>
      <rgbColor rgb="FF0000FF"/>
      <rgbColor rgb="FF00CCFF"/>
      <rgbColor rgb="FFF4F6F8"/>
      <rgbColor rgb="FFE8E8E8"/>
      <rgbColor rgb="FFFBF1F2"/>
      <rgbColor rgb="FFF8FAFC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71E41"/>
      <rgbColor rgb="FF339966"/>
      <rgbColor rgb="FF1A2233"/>
      <rgbColor rgb="FF1E293B"/>
      <rgbColor rgb="FFB91C1C"/>
      <rgbColor rgb="FFE3363E"/>
      <rgbColor rgb="FF334155"/>
      <rgbColor rgb="FF2A2D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1416960</xdr:colOff>
      <xdr:row>0</xdr:row>
      <xdr:rowOff>302760</xdr:rowOff>
    </xdr:to>
    <xdr:pic>
      <xdr:nvPicPr>
        <xdr:cNvPr id="0" name="Image 3" descr="Picture"/>
        <xdr:cNvPicPr/>
      </xdr:nvPicPr>
      <xdr:blipFill>
        <a:blip r:embed="rId1"/>
        <a:stretch/>
      </xdr:blipFill>
      <xdr:spPr>
        <a:xfrm>
          <a:off x="0" y="0"/>
          <a:ext cx="1416960" cy="302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363E"/>
    <pageSetUpPr fitToPage="tru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4" min="4" style="1" width="40"/>
    <col collapsed="false" customWidth="true" hidden="false" outlineLevel="0" max="5" min="5" style="1" width="4"/>
    <col collapsed="false" customWidth="true" hidden="false" outlineLevel="0" max="6" min="6" style="1" width="30"/>
    <col collapsed="false" customWidth="true" hidden="false" outlineLevel="0" max="7" min="7" style="1" width="16"/>
    <col collapsed="false" customWidth="true" hidden="false" outlineLevel="0" max="8" min="8" style="1" width="9"/>
    <col collapsed="false" customWidth="true" hidden="false" outlineLevel="0" max="9" min="9" style="1" width="34"/>
    <col collapsed="false" customWidth="true" hidden="false" outlineLevel="0" max="11" min="10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</row>
    <row r="2" customFormat="false" ht="30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5"/>
      <c r="K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21.75" hidden="false" customHeight="tru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8"/>
      <c r="K4" s="8"/>
    </row>
    <row r="5" customFormat="false" ht="21.75" hidden="false" customHeight="true" outlineLevel="0" collapsed="false">
      <c r="A5" s="9" t="s">
        <v>3</v>
      </c>
      <c r="B5" s="9" t="s">
        <v>4</v>
      </c>
      <c r="C5" s="9" t="s">
        <v>5</v>
      </c>
      <c r="D5" s="10" t="s">
        <v>6</v>
      </c>
      <c r="E5" s="10"/>
      <c r="F5" s="10"/>
      <c r="G5" s="10"/>
      <c r="H5" s="10"/>
      <c r="I5" s="10"/>
      <c r="J5" s="11"/>
      <c r="K5" s="11"/>
    </row>
    <row r="6" customFormat="false" ht="24" hidden="false" customHeight="true" outlineLevel="0" collapsed="false">
      <c r="A6" s="12" t="s">
        <v>7</v>
      </c>
      <c r="B6" s="13" t="n">
        <f aca="false">Financing_DCF!K4</f>
        <v>29033.6664276529</v>
      </c>
      <c r="C6" s="14" t="s">
        <v>8</v>
      </c>
      <c r="D6" s="15" t="s">
        <v>9</v>
      </c>
      <c r="E6" s="15"/>
      <c r="F6" s="15"/>
      <c r="G6" s="15"/>
      <c r="H6" s="15"/>
      <c r="I6" s="15"/>
      <c r="J6" s="11"/>
      <c r="K6" s="11"/>
    </row>
    <row r="7" customFormat="false" ht="24" hidden="false" customHeight="true" outlineLevel="0" collapsed="false">
      <c r="A7" s="12" t="s">
        <v>10</v>
      </c>
      <c r="B7" s="13" t="n">
        <f aca="false">Financing_DCF!K15</f>
        <v>18635.256806055</v>
      </c>
      <c r="C7" s="14" t="s">
        <v>8</v>
      </c>
      <c r="D7" s="15" t="s">
        <v>11</v>
      </c>
      <c r="E7" s="15"/>
      <c r="F7" s="15"/>
      <c r="G7" s="15"/>
      <c r="H7" s="15"/>
      <c r="I7" s="15"/>
      <c r="J7" s="11"/>
      <c r="K7" s="11"/>
    </row>
    <row r="8" customFormat="false" ht="24" hidden="false" customHeight="true" outlineLevel="0" collapsed="false">
      <c r="A8" s="12" t="s">
        <v>12</v>
      </c>
      <c r="B8" s="13" t="n">
        <f aca="false">Capex_Model!K22</f>
        <v>85910</v>
      </c>
      <c r="C8" s="14" t="s">
        <v>8</v>
      </c>
      <c r="D8" s="15" t="s">
        <v>13</v>
      </c>
      <c r="E8" s="15"/>
      <c r="F8" s="15"/>
      <c r="G8" s="15"/>
      <c r="H8" s="15"/>
      <c r="I8" s="15"/>
      <c r="J8" s="11"/>
      <c r="K8" s="11"/>
    </row>
    <row r="9" customFormat="false" ht="24" hidden="false" customHeight="true" outlineLevel="0" collapsed="false">
      <c r="A9" s="12" t="s">
        <v>14</v>
      </c>
      <c r="B9" s="13" t="n">
        <f aca="false">Financing_DCF!N4</f>
        <v>45538.6301429597</v>
      </c>
      <c r="C9" s="16" t="s">
        <v>8</v>
      </c>
      <c r="D9" s="17" t="s">
        <v>15</v>
      </c>
      <c r="E9" s="17"/>
      <c r="F9" s="17"/>
      <c r="G9" s="17"/>
      <c r="H9" s="17"/>
      <c r="I9" s="17"/>
      <c r="J9" s="11"/>
      <c r="K9" s="11"/>
    </row>
    <row r="10" customFormat="false" ht="24" hidden="false" customHeight="true" outlineLevel="0" collapsed="false">
      <c r="A10" s="12" t="s">
        <v>16</v>
      </c>
      <c r="B10" s="18" t="n">
        <f aca="false">Financing_DCF!N5</f>
        <v>0.384868477605364</v>
      </c>
      <c r="C10" s="14" t="s">
        <v>17</v>
      </c>
      <c r="D10" s="15" t="s">
        <v>18</v>
      </c>
      <c r="E10" s="15"/>
      <c r="F10" s="15"/>
      <c r="G10" s="15"/>
      <c r="H10" s="15"/>
      <c r="I10" s="15"/>
      <c r="J10" s="11"/>
      <c r="K10" s="11"/>
    </row>
    <row r="11" customFormat="false" ht="18" hidden="false" customHeight="true" outlineLevel="0" collapsed="false">
      <c r="A11" s="12" t="s">
        <v>19</v>
      </c>
      <c r="B11" s="13" t="n">
        <f aca="false">MAX(Load_Tariff!B4:K4)</f>
        <v>2400</v>
      </c>
      <c r="C11" s="14" t="s">
        <v>20</v>
      </c>
      <c r="D11" s="15" t="s">
        <v>21</v>
      </c>
      <c r="E11" s="15"/>
      <c r="F11" s="15"/>
      <c r="G11" s="15"/>
      <c r="H11" s="15"/>
      <c r="I11" s="15"/>
      <c r="J11" s="6"/>
      <c r="K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21.75" hidden="false" customHeight="true" outlineLevel="0" collapsed="false">
      <c r="A13" s="7" t="s">
        <v>22</v>
      </c>
      <c r="B13" s="7"/>
      <c r="C13" s="7"/>
      <c r="D13" s="7"/>
      <c r="E13" s="7"/>
      <c r="F13" s="7"/>
      <c r="G13" s="7"/>
      <c r="H13" s="7"/>
      <c r="I13" s="7"/>
      <c r="J13" s="8"/>
      <c r="K13" s="8"/>
    </row>
    <row r="14" customFormat="false" ht="30" hidden="false" customHeight="true" outlineLevel="0" collapsed="false">
      <c r="A14" s="19" t="s">
        <v>23</v>
      </c>
      <c r="B14" s="19"/>
      <c r="C14" s="19"/>
      <c r="D14" s="19"/>
      <c r="E14" s="19"/>
      <c r="F14" s="19"/>
      <c r="G14" s="19"/>
      <c r="H14" s="19"/>
      <c r="I14" s="19"/>
      <c r="J14" s="20"/>
      <c r="K14" s="20"/>
    </row>
    <row r="15" customFormat="false" ht="30" hidden="false" customHeight="true" outlineLevel="0" collapsed="false">
      <c r="A15" s="19" t="s">
        <v>24</v>
      </c>
      <c r="B15" s="19"/>
      <c r="C15" s="19"/>
      <c r="D15" s="19"/>
      <c r="E15" s="19"/>
      <c r="F15" s="19"/>
      <c r="G15" s="19"/>
      <c r="H15" s="19"/>
      <c r="I15" s="19"/>
      <c r="J15" s="20"/>
      <c r="K15" s="20"/>
    </row>
    <row r="16" customFormat="false" ht="30" hidden="false" customHeight="true" outlineLevel="0" collapsed="false">
      <c r="A16" s="19" t="s">
        <v>25</v>
      </c>
      <c r="B16" s="19"/>
      <c r="C16" s="19"/>
      <c r="D16" s="19"/>
      <c r="E16" s="19"/>
      <c r="F16" s="19"/>
      <c r="G16" s="19"/>
      <c r="H16" s="19"/>
      <c r="I16" s="19"/>
      <c r="J16" s="20"/>
      <c r="K16" s="20"/>
    </row>
    <row r="17" customFormat="false" ht="30" hidden="false" customHeight="true" outlineLevel="0" collapsed="false">
      <c r="A17" s="19" t="s">
        <v>26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</row>
    <row r="18" customFormat="false" ht="15" hidden="false" customHeight="true" outlineLevel="0" collapsed="false">
      <c r="A18" s="6"/>
      <c r="B18" s="6"/>
      <c r="C18" s="21"/>
      <c r="D18" s="6"/>
      <c r="E18" s="6"/>
      <c r="F18" s="6"/>
      <c r="G18" s="6"/>
      <c r="H18" s="21"/>
      <c r="I18" s="6"/>
      <c r="J18" s="6"/>
      <c r="K18" s="6"/>
    </row>
    <row r="19" customFormat="false" ht="21.75" hidden="false" customHeight="true" outlineLevel="0" collapsed="false">
      <c r="A19" s="7" t="s">
        <v>27</v>
      </c>
      <c r="B19" s="7"/>
      <c r="C19" s="7"/>
      <c r="D19" s="7"/>
      <c r="E19" s="8"/>
      <c r="F19" s="22" t="s">
        <v>28</v>
      </c>
      <c r="G19" s="22"/>
      <c r="H19" s="22"/>
      <c r="I19" s="22"/>
      <c r="J19" s="8"/>
      <c r="K19" s="8"/>
    </row>
    <row r="20" customFormat="false" ht="19.5" hidden="false" customHeight="true" outlineLevel="0" collapsed="false">
      <c r="A20" s="9" t="s">
        <v>29</v>
      </c>
      <c r="B20" s="9" t="s">
        <v>30</v>
      </c>
      <c r="C20" s="9" t="s">
        <v>31</v>
      </c>
      <c r="D20" s="9" t="s">
        <v>32</v>
      </c>
      <c r="E20" s="6"/>
      <c r="F20" s="9" t="s">
        <v>33</v>
      </c>
      <c r="G20" s="9" t="s">
        <v>34</v>
      </c>
      <c r="H20" s="23" t="s">
        <v>35</v>
      </c>
      <c r="I20" s="9" t="s">
        <v>32</v>
      </c>
      <c r="J20" s="6"/>
      <c r="K20" s="6"/>
    </row>
    <row r="21" customFormat="false" ht="21.75" hidden="false" customHeight="true" outlineLevel="0" collapsed="false">
      <c r="A21" s="24" t="s">
        <v>36</v>
      </c>
      <c r="B21" s="25" t="n">
        <f aca="false">Revenue_Bridge!K4</f>
        <v>10542.760375</v>
      </c>
      <c r="C21" s="26" t="n">
        <f aca="false">B21/Revenue_Bridge!$K$10</f>
        <v>0.36312190888019</v>
      </c>
      <c r="D21" s="27" t="s">
        <v>37</v>
      </c>
      <c r="E21" s="6"/>
      <c r="F21" s="24" t="s">
        <v>38</v>
      </c>
      <c r="G21" s="25" t="n">
        <f aca="false">SUM(Capex_Model!B9:K9)</f>
        <v>36400</v>
      </c>
      <c r="H21" s="26" t="n">
        <f aca="false">G21/Capex_Model!$K$22</f>
        <v>0.423699220114073</v>
      </c>
      <c r="I21" s="27" t="s">
        <v>39</v>
      </c>
      <c r="J21" s="6"/>
      <c r="K21" s="6"/>
    </row>
    <row r="22" customFormat="false" ht="21.75" hidden="false" customHeight="true" outlineLevel="0" collapsed="false">
      <c r="A22" s="24" t="s">
        <v>40</v>
      </c>
      <c r="B22" s="25" t="n">
        <f aca="false">Revenue_Bridge!K5+Revenue_Bridge!K7</f>
        <v>2205.84</v>
      </c>
      <c r="C22" s="26" t="n">
        <f aca="false">B22/Revenue_Bridge!$K$10</f>
        <v>0.0759752477523496</v>
      </c>
      <c r="D22" s="27" t="s">
        <v>41</v>
      </c>
      <c r="E22" s="6"/>
      <c r="F22" s="24" t="s">
        <v>42</v>
      </c>
      <c r="G22" s="25" t="n">
        <f aca="false">SUM(Capex_Model!B10:K10)</f>
        <v>12000</v>
      </c>
      <c r="H22" s="26" t="n">
        <f aca="false">G22/Capex_Model!$K$22</f>
        <v>0.139681061576068</v>
      </c>
      <c r="I22" s="27" t="s">
        <v>43</v>
      </c>
      <c r="J22" s="6"/>
      <c r="K22" s="6"/>
    </row>
    <row r="23" customFormat="false" ht="21.75" hidden="false" customHeight="true" outlineLevel="0" collapsed="false">
      <c r="A23" s="24" t="s">
        <v>44</v>
      </c>
      <c r="B23" s="25" t="n">
        <f aca="false">Revenue_Bridge!K8+Revenue_Bridge!K9</f>
        <v>16285.0660526529</v>
      </c>
      <c r="C23" s="26" t="n">
        <f aca="false">B23/Revenue_Bridge!$K$10</f>
        <v>0.56090284336746</v>
      </c>
      <c r="D23" s="27" t="s">
        <v>45</v>
      </c>
      <c r="E23" s="6"/>
      <c r="F23" s="24" t="s">
        <v>46</v>
      </c>
      <c r="G23" s="25" t="n">
        <f aca="false">SUM(Capex_Model!B11:K11)</f>
        <v>10500</v>
      </c>
      <c r="H23" s="26" t="n">
        <f aca="false">G23/Capex_Model!$K$22</f>
        <v>0.122220928879059</v>
      </c>
      <c r="I23" s="27" t="s">
        <v>47</v>
      </c>
      <c r="J23" s="28"/>
      <c r="K23" s="28"/>
    </row>
    <row r="24" customFormat="false" ht="21.75" hidden="false" customHeight="true" outlineLevel="0" collapsed="false">
      <c r="A24" s="24" t="s">
        <v>48</v>
      </c>
      <c r="B24" s="29" t="s">
        <v>49</v>
      </c>
      <c r="C24" s="29" t="s">
        <v>50</v>
      </c>
      <c r="D24" s="27" t="s">
        <v>51</v>
      </c>
      <c r="E24" s="28"/>
      <c r="F24" s="24" t="s">
        <v>52</v>
      </c>
      <c r="G24" s="25" t="n">
        <f aca="false">SUM(Capex_Model!B12:K12)</f>
        <v>19200</v>
      </c>
      <c r="H24" s="26" t="n">
        <f aca="false">G24/Capex_Model!$K$22</f>
        <v>0.223489698521709</v>
      </c>
      <c r="I24" s="27" t="s">
        <v>53</v>
      </c>
      <c r="J24" s="28"/>
      <c r="K24" s="28"/>
    </row>
    <row r="25" customFormat="false" ht="21.75" hidden="false" customHeight="true" outlineLevel="0" collapsed="false">
      <c r="A25" s="12" t="s">
        <v>54</v>
      </c>
      <c r="B25" s="30" t="n">
        <f aca="false">SUM(B21:B23)</f>
        <v>29033.6664276529</v>
      </c>
      <c r="C25" s="31" t="n">
        <f aca="false">SUM(C21:C23)</f>
        <v>1</v>
      </c>
      <c r="D25" s="28"/>
      <c r="E25" s="28"/>
      <c r="F25" s="24" t="s">
        <v>55</v>
      </c>
      <c r="G25" s="25" t="n">
        <f aca="false">Capex_Model!K22-SUM(Capex_Model!B9:K12)</f>
        <v>7810</v>
      </c>
      <c r="H25" s="26" t="n">
        <f aca="false">G25/Capex_Model!$K$22</f>
        <v>0.0909090909090909</v>
      </c>
      <c r="I25" s="27" t="s">
        <v>56</v>
      </c>
      <c r="J25" s="28"/>
      <c r="K25" s="28"/>
    </row>
    <row r="26" customFormat="false" ht="19.5" hidden="false" customHeight="true" outlineLevel="0" collapsed="false">
      <c r="A26" s="28"/>
      <c r="B26" s="28"/>
      <c r="C26" s="28"/>
      <c r="D26" s="28"/>
      <c r="E26" s="28"/>
      <c r="F26" s="12" t="s">
        <v>54</v>
      </c>
      <c r="G26" s="30" t="n">
        <f aca="false">SUM(G21:G25)</f>
        <v>85910</v>
      </c>
      <c r="H26" s="31" t="n">
        <f aca="false">SUM(H21:H25)</f>
        <v>1</v>
      </c>
      <c r="I26" s="28"/>
      <c r="J26" s="28"/>
      <c r="K26" s="28"/>
    </row>
    <row r="27" customFormat="false" ht="33.75" hidden="false" customHeight="true" outlineLevel="0" collapsed="false">
      <c r="A27" s="32"/>
      <c r="B27" s="33"/>
      <c r="C27" s="33"/>
      <c r="D27" s="33"/>
      <c r="E27" s="33"/>
      <c r="F27" s="34" t="s">
        <v>57</v>
      </c>
      <c r="G27" s="35" t="s">
        <v>58</v>
      </c>
      <c r="H27" s="36" t="s">
        <v>59</v>
      </c>
      <c r="I27" s="36"/>
      <c r="J27" s="33"/>
      <c r="K27" s="33"/>
    </row>
    <row r="28" customFormat="false" ht="7.5" hidden="false" customHeight="true" outlineLevel="0" collapsed="false">
      <c r="A28" s="28"/>
      <c r="B28" s="28"/>
      <c r="C28" s="28"/>
      <c r="D28" s="28"/>
      <c r="E28" s="28"/>
      <c r="F28" s="6"/>
      <c r="G28" s="28"/>
      <c r="H28" s="28"/>
      <c r="I28" s="28"/>
      <c r="J28" s="28"/>
      <c r="K28" s="28"/>
    </row>
    <row r="29" customFormat="false" ht="21.75" hidden="false" customHeight="true" outlineLevel="0" collapsed="false">
      <c r="A29" s="7" t="s">
        <v>60</v>
      </c>
      <c r="B29" s="7"/>
      <c r="C29" s="7"/>
      <c r="D29" s="7"/>
      <c r="E29" s="7"/>
      <c r="F29" s="7"/>
      <c r="G29" s="7"/>
      <c r="H29" s="7"/>
      <c r="I29" s="7"/>
      <c r="J29" s="37"/>
      <c r="K29" s="37"/>
    </row>
    <row r="30" customFormat="false" ht="19.5" hidden="false" customHeight="true" outlineLevel="0" collapsed="false">
      <c r="A30" s="9" t="s">
        <v>61</v>
      </c>
      <c r="B30" s="9" t="s">
        <v>62</v>
      </c>
      <c r="C30" s="9" t="s">
        <v>63</v>
      </c>
      <c r="D30" s="9" t="s">
        <v>64</v>
      </c>
      <c r="F30" s="10" t="s">
        <v>65</v>
      </c>
      <c r="G30" s="10"/>
      <c r="H30" s="10"/>
      <c r="I30" s="10"/>
    </row>
    <row r="31" customFormat="false" ht="18" hidden="false" customHeight="true" outlineLevel="0" collapsed="false">
      <c r="A31" s="24" t="s">
        <v>66</v>
      </c>
      <c r="B31" s="24" t="s">
        <v>67</v>
      </c>
      <c r="C31" s="29" t="s">
        <v>68</v>
      </c>
      <c r="D31" s="29" t="s">
        <v>69</v>
      </c>
      <c r="F31" s="15" t="s">
        <v>70</v>
      </c>
      <c r="G31" s="15"/>
      <c r="H31" s="15"/>
      <c r="I31" s="15"/>
    </row>
    <row r="32" customFormat="false" ht="18" hidden="false" customHeight="true" outlineLevel="0" collapsed="false">
      <c r="A32" s="24" t="s">
        <v>71</v>
      </c>
      <c r="B32" s="24" t="s">
        <v>72</v>
      </c>
      <c r="C32" s="29" t="s">
        <v>73</v>
      </c>
      <c r="D32" s="29" t="s">
        <v>74</v>
      </c>
      <c r="F32" s="15" t="s">
        <v>75</v>
      </c>
      <c r="G32" s="15"/>
      <c r="H32" s="15"/>
      <c r="I32" s="15"/>
    </row>
    <row r="33" customFormat="false" ht="18" hidden="false" customHeight="true" outlineLevel="0" collapsed="false">
      <c r="A33" s="24" t="s">
        <v>76</v>
      </c>
      <c r="B33" s="24" t="s">
        <v>77</v>
      </c>
      <c r="C33" s="29" t="s">
        <v>78</v>
      </c>
      <c r="D33" s="29" t="s">
        <v>79</v>
      </c>
      <c r="F33" s="15" t="s">
        <v>80</v>
      </c>
      <c r="G33" s="15"/>
      <c r="H33" s="15"/>
      <c r="I33" s="15"/>
    </row>
    <row r="34" customFormat="false" ht="18" hidden="false" customHeight="true" outlineLevel="0" collapsed="false">
      <c r="A34" s="24" t="s">
        <v>81</v>
      </c>
      <c r="B34" s="24" t="s">
        <v>82</v>
      </c>
      <c r="C34" s="29" t="s">
        <v>83</v>
      </c>
      <c r="D34" s="29" t="s">
        <v>84</v>
      </c>
      <c r="F34" s="15" t="s">
        <v>85</v>
      </c>
      <c r="G34" s="15"/>
      <c r="H34" s="15"/>
      <c r="I34" s="15"/>
    </row>
    <row r="35" customFormat="false" ht="18" hidden="false" customHeight="true" outlineLevel="0" collapsed="false">
      <c r="A35" s="24" t="s">
        <v>86</v>
      </c>
      <c r="B35" s="24" t="s">
        <v>87</v>
      </c>
      <c r="C35" s="29" t="s">
        <v>88</v>
      </c>
      <c r="D35" s="29" t="s">
        <v>89</v>
      </c>
      <c r="F35" s="15" t="s">
        <v>90</v>
      </c>
      <c r="G35" s="15"/>
      <c r="H35" s="15"/>
      <c r="I35" s="15"/>
    </row>
    <row r="36" customFormat="false" ht="18" hidden="false" customHeight="true" outlineLevel="0" collapsed="false">
      <c r="A36" s="24" t="s">
        <v>91</v>
      </c>
      <c r="B36" s="24" t="s">
        <v>92</v>
      </c>
      <c r="C36" s="29" t="s">
        <v>93</v>
      </c>
      <c r="D36" s="29" t="s">
        <v>89</v>
      </c>
      <c r="F36" s="15" t="s">
        <v>94</v>
      </c>
      <c r="G36" s="15"/>
      <c r="H36" s="15"/>
      <c r="I36" s="15"/>
    </row>
    <row r="37" customFormat="false" ht="30" hidden="false" customHeight="true" outlineLevel="0" collapsed="false">
      <c r="A37" s="38" t="s">
        <v>95</v>
      </c>
      <c r="B37" s="38"/>
      <c r="C37" s="38"/>
      <c r="D37" s="38"/>
      <c r="E37" s="38"/>
      <c r="F37" s="38"/>
      <c r="G37" s="38"/>
      <c r="H37" s="38"/>
      <c r="I37" s="38"/>
      <c r="J37" s="39"/>
      <c r="K37" s="39"/>
    </row>
  </sheetData>
  <mergeCells count="27">
    <mergeCell ref="A1:I1"/>
    <mergeCell ref="A2:I2"/>
    <mergeCell ref="A4:I4"/>
    <mergeCell ref="D5:I5"/>
    <mergeCell ref="D6:I6"/>
    <mergeCell ref="D7:I7"/>
    <mergeCell ref="D8:I8"/>
    <mergeCell ref="D9:I9"/>
    <mergeCell ref="D10:I10"/>
    <mergeCell ref="D11:I11"/>
    <mergeCell ref="A13:I13"/>
    <mergeCell ref="A14:I14"/>
    <mergeCell ref="A15:I15"/>
    <mergeCell ref="A16:I16"/>
    <mergeCell ref="A17:I17"/>
    <mergeCell ref="A19:D19"/>
    <mergeCell ref="F19:I19"/>
    <mergeCell ref="H27:I27"/>
    <mergeCell ref="A29:I29"/>
    <mergeCell ref="F30:I30"/>
    <mergeCell ref="F31:I31"/>
    <mergeCell ref="F32:I32"/>
    <mergeCell ref="F33:I33"/>
    <mergeCell ref="F34:I34"/>
    <mergeCell ref="F35:I35"/>
    <mergeCell ref="F36:I36"/>
    <mergeCell ref="A37:I3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020"/>
    <pageSetUpPr fitToPage="true"/>
  </sheetPr>
  <dimension ref="A1: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64"/>
  </cols>
  <sheetData>
    <row r="1" customFormat="false" ht="42" hidden="false" customHeight="true" outlineLevel="0" collapsed="false">
      <c r="A1" s="40" t="s">
        <v>96</v>
      </c>
      <c r="B1" s="40"/>
      <c r="C1" s="40"/>
      <c r="D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97</v>
      </c>
      <c r="B3" s="9" t="s">
        <v>4</v>
      </c>
      <c r="C3" s="9" t="s">
        <v>5</v>
      </c>
      <c r="D3" s="9" t="s">
        <v>98</v>
      </c>
      <c r="E3" s="9"/>
      <c r="F3" s="9"/>
      <c r="G3" s="9"/>
      <c r="H3" s="9"/>
      <c r="I3" s="9"/>
      <c r="J3" s="9"/>
      <c r="K3" s="9"/>
    </row>
    <row r="4" customFormat="false" ht="27.75" hidden="false" customHeight="true" outlineLevel="0" collapsed="false">
      <c r="A4" s="42" t="s">
        <v>99</v>
      </c>
      <c r="B4" s="43" t="s">
        <v>100</v>
      </c>
      <c r="C4" s="42"/>
      <c r="D4" s="42" t="s">
        <v>101</v>
      </c>
    </row>
    <row r="5" customFormat="false" ht="27.75" hidden="false" customHeight="true" outlineLevel="0" collapsed="false">
      <c r="A5" s="42" t="s">
        <v>102</v>
      </c>
      <c r="B5" s="43" t="s">
        <v>103</v>
      </c>
      <c r="C5" s="42"/>
      <c r="D5" s="42" t="s">
        <v>104</v>
      </c>
    </row>
    <row r="6" customFormat="false" ht="27.75" hidden="false" customHeight="true" outlineLevel="0" collapsed="false">
      <c r="A6" s="42" t="s">
        <v>105</v>
      </c>
      <c r="B6" s="43" t="s">
        <v>106</v>
      </c>
      <c r="C6" s="42"/>
      <c r="D6" s="42" t="s">
        <v>107</v>
      </c>
    </row>
    <row r="7" customFormat="false" ht="27.75" hidden="false" customHeight="true" outlineLevel="0" collapsed="false">
      <c r="A7" s="42" t="s">
        <v>108</v>
      </c>
      <c r="B7" s="43" t="s">
        <v>109</v>
      </c>
      <c r="C7" s="42"/>
      <c r="D7" s="42" t="s">
        <v>110</v>
      </c>
    </row>
    <row r="8" customFormat="false" ht="27.75" hidden="false" customHeight="true" outlineLevel="0" collapsed="false">
      <c r="A8" s="44" t="s">
        <v>111</v>
      </c>
      <c r="B8" s="45" t="n">
        <v>17</v>
      </c>
      <c r="C8" s="44" t="s">
        <v>112</v>
      </c>
      <c r="D8" s="42" t="s">
        <v>113</v>
      </c>
    </row>
    <row r="9" customFormat="false" ht="27.75" hidden="false" customHeight="true" outlineLevel="0" collapsed="false">
      <c r="A9" s="44" t="s">
        <v>114</v>
      </c>
      <c r="B9" s="46" t="n">
        <v>0.15</v>
      </c>
      <c r="C9" s="44" t="s">
        <v>17</v>
      </c>
      <c r="D9" s="42" t="s">
        <v>115</v>
      </c>
    </row>
    <row r="10" customFormat="false" ht="27.75" hidden="false" customHeight="true" outlineLevel="0" collapsed="false">
      <c r="A10" s="44" t="s">
        <v>116</v>
      </c>
      <c r="B10" s="47" t="n">
        <v>8</v>
      </c>
      <c r="C10" s="44" t="s">
        <v>117</v>
      </c>
      <c r="D10" s="42" t="s">
        <v>118</v>
      </c>
    </row>
    <row r="11" customFormat="false" ht="15" hidden="false" customHeight="true" outlineLevel="0" collapsed="false">
      <c r="A11" s="44" t="s">
        <v>119</v>
      </c>
      <c r="B11" s="46" t="n">
        <v>0.27</v>
      </c>
      <c r="C11" s="44" t="s">
        <v>17</v>
      </c>
      <c r="D11" s="42" t="s">
        <v>120</v>
      </c>
    </row>
    <row r="12" customFormat="false" ht="15" hidden="false" customHeight="true" outlineLevel="0" collapsed="false">
      <c r="A12" s="42" t="s">
        <v>121</v>
      </c>
      <c r="B12" s="48" t="n">
        <v>75000</v>
      </c>
      <c r="C12" s="42" t="s">
        <v>122</v>
      </c>
      <c r="D12" s="42" t="s">
        <v>123</v>
      </c>
    </row>
    <row r="13" customFormat="false" ht="15" hidden="false" customHeight="true" outlineLevel="0" collapsed="false">
      <c r="A13" s="44" t="s">
        <v>124</v>
      </c>
      <c r="B13" s="46" t="n">
        <v>0.12</v>
      </c>
      <c r="C13" s="44" t="s">
        <v>125</v>
      </c>
      <c r="D13" s="42" t="s">
        <v>126</v>
      </c>
    </row>
    <row r="14" customFormat="false" ht="15" hidden="false" customHeight="true" outlineLevel="0" collapsed="false">
      <c r="A14" s="44" t="s">
        <v>127</v>
      </c>
      <c r="B14" s="46" t="n">
        <v>0.12</v>
      </c>
      <c r="C14" s="44" t="s">
        <v>125</v>
      </c>
      <c r="D14" s="42" t="s">
        <v>128</v>
      </c>
    </row>
    <row r="15" customFormat="false" ht="15" hidden="false" customHeight="true" outlineLevel="0" collapsed="false">
      <c r="A15" s="42" t="s">
        <v>129</v>
      </c>
      <c r="B15" s="49" t="n">
        <v>0.15</v>
      </c>
      <c r="C15" s="42" t="s">
        <v>130</v>
      </c>
      <c r="D15" s="42" t="s">
        <v>131</v>
      </c>
    </row>
    <row r="16" customFormat="false" ht="27.75" hidden="false" customHeight="true" outlineLevel="0" collapsed="false">
      <c r="A16" s="42" t="s">
        <v>132</v>
      </c>
      <c r="B16" s="49" t="n">
        <v>0.075</v>
      </c>
      <c r="C16" s="42" t="s">
        <v>133</v>
      </c>
      <c r="D16" s="42" t="s">
        <v>134</v>
      </c>
    </row>
    <row r="17" customFormat="false" ht="27.75" hidden="false" customHeight="true" outlineLevel="0" collapsed="false">
      <c r="A17" s="42" t="s">
        <v>135</v>
      </c>
      <c r="B17" s="49" t="n">
        <v>0.98</v>
      </c>
      <c r="C17" s="42" t="s">
        <v>17</v>
      </c>
      <c r="D17" s="42" t="s">
        <v>136</v>
      </c>
    </row>
    <row r="18" customFormat="false" ht="27.75" hidden="false" customHeight="true" outlineLevel="0" collapsed="false">
      <c r="A18" s="42" t="s">
        <v>137</v>
      </c>
      <c r="B18" s="50" t="n">
        <v>19</v>
      </c>
      <c r="C18" s="42" t="s">
        <v>138</v>
      </c>
      <c r="D18" s="42" t="s">
        <v>139</v>
      </c>
    </row>
    <row r="19" customFormat="false" ht="15" hidden="false" customHeight="true" outlineLevel="0" collapsed="false">
      <c r="A19" s="42" t="s">
        <v>140</v>
      </c>
      <c r="B19" s="50" t="n">
        <v>24</v>
      </c>
      <c r="C19" s="42" t="s">
        <v>138</v>
      </c>
      <c r="D19" s="42" t="s">
        <v>141</v>
      </c>
    </row>
    <row r="20" customFormat="false" ht="15" hidden="false" customHeight="true" outlineLevel="0" collapsed="false">
      <c r="A20" s="42" t="s">
        <v>142</v>
      </c>
      <c r="B20" s="51" t="n">
        <v>1.2</v>
      </c>
      <c r="C20" s="42" t="s">
        <v>143</v>
      </c>
      <c r="D20" s="42" t="s">
        <v>144</v>
      </c>
    </row>
    <row r="21" customFormat="false" ht="15" hidden="false" customHeight="true" outlineLevel="0" collapsed="false">
      <c r="A21" s="42" t="s">
        <v>145</v>
      </c>
      <c r="B21" s="51" t="n">
        <v>0.8</v>
      </c>
      <c r="C21" s="42" t="s">
        <v>143</v>
      </c>
      <c r="D21" s="42" t="s">
        <v>146</v>
      </c>
    </row>
    <row r="22" customFormat="false" ht="27.75" hidden="false" customHeight="true" outlineLevel="0" collapsed="false">
      <c r="A22" s="42" t="s">
        <v>147</v>
      </c>
      <c r="B22" s="51" t="n">
        <v>0.6</v>
      </c>
      <c r="C22" s="42" t="s">
        <v>143</v>
      </c>
      <c r="D22" s="42" t="s">
        <v>148</v>
      </c>
    </row>
    <row r="23" customFormat="false" ht="27.75" hidden="false" customHeight="true" outlineLevel="0" collapsed="false">
      <c r="A23" s="42" t="s">
        <v>149</v>
      </c>
      <c r="B23" s="51" t="n">
        <v>0.5</v>
      </c>
      <c r="C23" s="42" t="s">
        <v>143</v>
      </c>
      <c r="D23" s="42" t="s">
        <v>150</v>
      </c>
    </row>
    <row r="24" customFormat="false" ht="15" hidden="false" customHeight="true" outlineLevel="0" collapsed="false">
      <c r="A24" s="42" t="s">
        <v>151</v>
      </c>
      <c r="B24" s="51" t="n">
        <v>0.3</v>
      </c>
      <c r="C24" s="42" t="s">
        <v>143</v>
      </c>
      <c r="D24" s="42" t="s">
        <v>152</v>
      </c>
    </row>
    <row r="25" customFormat="false" ht="27.75" hidden="false" customHeight="true" outlineLevel="0" collapsed="false">
      <c r="A25" s="42" t="s">
        <v>153</v>
      </c>
      <c r="B25" s="51" t="n">
        <v>2.5</v>
      </c>
      <c r="C25" s="42" t="s">
        <v>143</v>
      </c>
      <c r="D25" s="42" t="s">
        <v>154</v>
      </c>
    </row>
    <row r="26" customFormat="false" ht="15" hidden="false" customHeight="true" outlineLevel="0" collapsed="false">
      <c r="A26" s="42" t="s">
        <v>155</v>
      </c>
      <c r="B26" s="49" t="n">
        <v>0.02</v>
      </c>
      <c r="C26" s="42" t="s">
        <v>125</v>
      </c>
      <c r="D26" s="42" t="s">
        <v>156</v>
      </c>
    </row>
    <row r="27" customFormat="false" ht="27.75" hidden="false" customHeight="true" outlineLevel="0" collapsed="false">
      <c r="A27" s="42" t="s">
        <v>157</v>
      </c>
      <c r="B27" s="52" t="n">
        <v>0.75</v>
      </c>
      <c r="C27" s="42" t="s">
        <v>158</v>
      </c>
      <c r="D27" s="42" t="s">
        <v>159</v>
      </c>
    </row>
    <row r="28" customFormat="false" ht="27.75" hidden="false" customHeight="true" outlineLevel="0" collapsed="false">
      <c r="A28" s="42" t="s">
        <v>160</v>
      </c>
      <c r="B28" s="51" t="n">
        <v>80</v>
      </c>
      <c r="C28" s="42" t="s">
        <v>161</v>
      </c>
      <c r="D28" s="42" t="s">
        <v>162</v>
      </c>
    </row>
    <row r="29" customFormat="false" ht="27.75" hidden="false" customHeight="true" outlineLevel="0" collapsed="false">
      <c r="A29" s="42" t="s">
        <v>163</v>
      </c>
      <c r="B29" s="52" t="n">
        <v>3</v>
      </c>
      <c r="C29" s="42" t="s">
        <v>164</v>
      </c>
      <c r="D29" s="42" t="s">
        <v>165</v>
      </c>
    </row>
    <row r="30" customFormat="false" ht="15" hidden="false" customHeight="true" outlineLevel="0" collapsed="false">
      <c r="A30" s="42" t="s">
        <v>166</v>
      </c>
      <c r="B30" s="51" t="n">
        <v>2</v>
      </c>
      <c r="C30" s="42" t="s">
        <v>143</v>
      </c>
      <c r="D30" s="42" t="s">
        <v>167</v>
      </c>
    </row>
    <row r="31" customFormat="false" ht="15" hidden="false" customHeight="true" outlineLevel="0" collapsed="false">
      <c r="A31" s="42" t="s">
        <v>168</v>
      </c>
      <c r="B31" s="50" t="n">
        <v>25</v>
      </c>
      <c r="C31" s="42" t="s">
        <v>169</v>
      </c>
      <c r="D31" s="42" t="s">
        <v>170</v>
      </c>
    </row>
    <row r="32" customFormat="false" ht="15" hidden="false" customHeight="true" outlineLevel="0" collapsed="false">
      <c r="A32" s="42" t="s">
        <v>171</v>
      </c>
      <c r="B32" s="52" t="n">
        <v>700</v>
      </c>
      <c r="C32" s="42" t="s">
        <v>172</v>
      </c>
      <c r="D32" s="42" t="s">
        <v>173</v>
      </c>
    </row>
    <row r="33" customFormat="false" ht="15" hidden="false" customHeight="true" outlineLevel="0" collapsed="false">
      <c r="A33" s="42" t="s">
        <v>174</v>
      </c>
      <c r="B33" s="52" t="n">
        <v>12.5</v>
      </c>
      <c r="C33" s="42" t="s">
        <v>175</v>
      </c>
      <c r="D33" s="42" t="s">
        <v>176</v>
      </c>
    </row>
    <row r="34" customFormat="false" ht="15" hidden="false" customHeight="true" outlineLevel="0" collapsed="false">
      <c r="A34" s="42" t="s">
        <v>177</v>
      </c>
      <c r="B34" s="49" t="n">
        <v>0.05</v>
      </c>
      <c r="C34" s="42" t="s">
        <v>17</v>
      </c>
      <c r="D34" s="42" t="s">
        <v>178</v>
      </c>
    </row>
    <row r="35" customFormat="false" ht="27.75" hidden="false" customHeight="true" outlineLevel="0" collapsed="false">
      <c r="A35" s="42" t="s">
        <v>179</v>
      </c>
      <c r="B35" s="52" t="n">
        <v>20</v>
      </c>
      <c r="C35" s="42" t="s">
        <v>180</v>
      </c>
      <c r="D35" s="42" t="s">
        <v>181</v>
      </c>
    </row>
    <row r="36" customFormat="false" ht="27.75" hidden="false" customHeight="true" outlineLevel="0" collapsed="false">
      <c r="A36" s="42" t="s">
        <v>182</v>
      </c>
      <c r="B36" s="52" t="n">
        <v>5</v>
      </c>
      <c r="C36" s="42" t="s">
        <v>180</v>
      </c>
      <c r="D36" s="42" t="s">
        <v>183</v>
      </c>
    </row>
    <row r="37" customFormat="false" ht="15" hidden="false" customHeight="true" outlineLevel="0" collapsed="false">
      <c r="A37" s="42" t="s">
        <v>184</v>
      </c>
      <c r="B37" s="52" t="n">
        <v>7</v>
      </c>
      <c r="C37" s="42" t="s">
        <v>180</v>
      </c>
      <c r="D37" s="42" t="s">
        <v>185</v>
      </c>
    </row>
    <row r="38" customFormat="false" ht="15" hidden="false" customHeight="true" outlineLevel="0" collapsed="false">
      <c r="A38" s="42" t="s">
        <v>186</v>
      </c>
      <c r="B38" s="52" t="n">
        <v>40</v>
      </c>
      <c r="C38" s="42" t="s">
        <v>180</v>
      </c>
      <c r="D38" s="42" t="s">
        <v>187</v>
      </c>
    </row>
    <row r="39" customFormat="false" ht="27.75" hidden="false" customHeight="true" outlineLevel="0" collapsed="false">
      <c r="A39" s="42" t="s">
        <v>188</v>
      </c>
      <c r="B39" s="52" t="n">
        <v>550</v>
      </c>
      <c r="C39" s="42" t="s">
        <v>180</v>
      </c>
      <c r="D39" s="42" t="s">
        <v>189</v>
      </c>
    </row>
    <row r="40" customFormat="false" ht="27.75" hidden="false" customHeight="true" outlineLevel="0" collapsed="false">
      <c r="A40" s="42" t="s">
        <v>190</v>
      </c>
      <c r="B40" s="52" t="n">
        <v>180</v>
      </c>
      <c r="C40" s="42" t="s">
        <v>191</v>
      </c>
      <c r="D40" s="42" t="s">
        <v>192</v>
      </c>
    </row>
    <row r="41" customFormat="false" ht="27.75" hidden="false" customHeight="true" outlineLevel="0" collapsed="false">
      <c r="A41" s="42" t="s">
        <v>193</v>
      </c>
      <c r="B41" s="49" t="n">
        <v>0.1</v>
      </c>
      <c r="C41" s="42" t="s">
        <v>125</v>
      </c>
      <c r="D41" s="42" t="s">
        <v>194</v>
      </c>
    </row>
    <row r="42" customFormat="false" ht="15" hidden="false" customHeight="true" outlineLevel="0" collapsed="false">
      <c r="A42" s="42" t="s">
        <v>195</v>
      </c>
      <c r="B42" s="49" t="n">
        <v>0.35</v>
      </c>
      <c r="C42" s="42" t="s">
        <v>196</v>
      </c>
      <c r="D42" s="42" t="s">
        <v>197</v>
      </c>
    </row>
    <row r="43" customFormat="false" ht="15" hidden="false" customHeight="true" outlineLevel="0" collapsed="false">
      <c r="A43" s="42" t="s">
        <v>55</v>
      </c>
      <c r="B43" s="49" t="n">
        <v>0.1</v>
      </c>
      <c r="C43" s="42" t="s">
        <v>17</v>
      </c>
      <c r="D43" s="42" t="s">
        <v>198</v>
      </c>
    </row>
    <row r="44" customFormat="false" ht="15" hidden="false" customHeight="true" outlineLevel="0" collapsed="false">
      <c r="A44" s="42" t="s">
        <v>199</v>
      </c>
      <c r="B44" s="49" t="n">
        <v>0.5</v>
      </c>
      <c r="C44" s="42" t="s">
        <v>17</v>
      </c>
      <c r="D44" s="42" t="s">
        <v>200</v>
      </c>
    </row>
    <row r="45" customFormat="false" ht="27.75" hidden="false" customHeight="true" outlineLevel="0" collapsed="false">
      <c r="A45" s="42" t="s">
        <v>201</v>
      </c>
      <c r="B45" s="49" t="n">
        <v>0.5</v>
      </c>
      <c r="C45" s="42" t="s">
        <v>17</v>
      </c>
      <c r="D45" s="42" t="s">
        <v>202</v>
      </c>
    </row>
    <row r="46" customFormat="false" ht="15" hidden="false" customHeight="true" outlineLevel="0" collapsed="false">
      <c r="A46" s="42" t="s">
        <v>203</v>
      </c>
      <c r="B46" s="49" t="n">
        <v>0.55</v>
      </c>
      <c r="C46" s="42" t="s">
        <v>17</v>
      </c>
      <c r="D46" s="42" t="s">
        <v>204</v>
      </c>
    </row>
    <row r="47" customFormat="false" ht="15" hidden="false" customHeight="true" outlineLevel="0" collapsed="false">
      <c r="A47" s="42" t="s">
        <v>205</v>
      </c>
      <c r="B47" s="49" t="n">
        <v>0.35</v>
      </c>
      <c r="C47" s="42" t="s">
        <v>17</v>
      </c>
      <c r="D47" s="42" t="s">
        <v>206</v>
      </c>
    </row>
    <row r="48" customFormat="false" ht="15" hidden="false" customHeight="true" outlineLevel="0" collapsed="false">
      <c r="A48" s="42" t="s">
        <v>207</v>
      </c>
      <c r="B48" s="49" t="n">
        <v>0.1</v>
      </c>
      <c r="C48" s="42" t="s">
        <v>17</v>
      </c>
      <c r="D48" s="42" t="s">
        <v>208</v>
      </c>
    </row>
    <row r="49" customFormat="false" ht="15" hidden="false" customHeight="true" outlineLevel="0" collapsed="false">
      <c r="A49" s="42" t="s">
        <v>209</v>
      </c>
      <c r="B49" s="49" t="n">
        <v>0.3</v>
      </c>
      <c r="C49" s="42" t="s">
        <v>17</v>
      </c>
      <c r="D49" s="42" t="s">
        <v>210</v>
      </c>
    </row>
    <row r="50" customFormat="false" ht="15" hidden="false" customHeight="true" outlineLevel="0" collapsed="false">
      <c r="A50" s="42" t="s">
        <v>211</v>
      </c>
      <c r="B50" s="49" t="n">
        <v>0.2</v>
      </c>
      <c r="C50" s="42" t="s">
        <v>17</v>
      </c>
      <c r="D50" s="42" t="s">
        <v>212</v>
      </c>
    </row>
    <row r="51" customFormat="false" ht="15" hidden="false" customHeight="true" outlineLevel="0" collapsed="false">
      <c r="A51" s="42" t="s">
        <v>213</v>
      </c>
      <c r="B51" s="49" t="n">
        <v>0.13</v>
      </c>
      <c r="C51" s="42" t="s">
        <v>125</v>
      </c>
      <c r="D51" s="42" t="s">
        <v>214</v>
      </c>
    </row>
    <row r="52" customFormat="false" ht="15" hidden="false" customHeight="true" outlineLevel="0" collapsed="false">
      <c r="A52" s="42" t="s">
        <v>215</v>
      </c>
      <c r="B52" s="50" t="n">
        <v>7</v>
      </c>
      <c r="C52" s="42" t="s">
        <v>216</v>
      </c>
      <c r="D52" s="42" t="s">
        <v>217</v>
      </c>
    </row>
    <row r="53" customFormat="false" ht="15" hidden="false" customHeight="true" outlineLevel="0" collapsed="false">
      <c r="A53" s="42" t="s">
        <v>218</v>
      </c>
      <c r="B53" s="50" t="n">
        <v>1</v>
      </c>
      <c r="C53" s="42" t="s">
        <v>216</v>
      </c>
      <c r="D53" s="42" t="s">
        <v>219</v>
      </c>
    </row>
    <row r="54" customFormat="false" ht="15" hidden="false" customHeight="true" outlineLevel="0" collapsed="false">
      <c r="A54" s="53" t="s">
        <v>220</v>
      </c>
      <c r="B54" s="54" t="n">
        <v>0</v>
      </c>
      <c r="C54" s="53" t="s">
        <v>221</v>
      </c>
      <c r="D54" s="53" t="s">
        <v>222</v>
      </c>
    </row>
    <row r="56" customFormat="false" ht="12.75" hidden="false" customHeight="true" outlineLevel="0" collapsed="false">
      <c r="A56" s="55" t="s">
        <v>223</v>
      </c>
    </row>
  </sheetData>
  <mergeCells count="1">
    <mergeCell ref="A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tru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11" min="2" style="1" width="12"/>
  </cols>
  <sheetData>
    <row r="1" customFormat="false" ht="42" hidden="false" customHeight="true" outlineLevel="0" collapsed="false">
      <c r="A1" s="40" t="s">
        <v>224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225</v>
      </c>
      <c r="B3" s="9" t="s">
        <v>226</v>
      </c>
      <c r="C3" s="9" t="s">
        <v>227</v>
      </c>
      <c r="D3" s="9" t="s">
        <v>92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232</v>
      </c>
      <c r="J3" s="9" t="s">
        <v>233</v>
      </c>
      <c r="K3" s="9" t="s">
        <v>234</v>
      </c>
    </row>
    <row r="4" customFormat="false" ht="15" hidden="false" customHeight="true" outlineLevel="0" collapsed="false">
      <c r="A4" s="56" t="s">
        <v>100</v>
      </c>
      <c r="B4" s="57"/>
      <c r="C4" s="57"/>
      <c r="D4" s="57"/>
      <c r="E4" s="57"/>
      <c r="F4" s="57"/>
      <c r="G4" s="57"/>
      <c r="H4" s="57"/>
      <c r="I4" s="57"/>
      <c r="J4" s="57"/>
      <c r="K4" s="57"/>
    </row>
    <row r="5" customFormat="false" ht="15" hidden="false" customHeight="true" outlineLevel="0" collapsed="false">
      <c r="A5" s="53" t="s">
        <v>235</v>
      </c>
      <c r="B5" s="58" t="n">
        <v>20</v>
      </c>
      <c r="C5" s="58" t="n">
        <v>100</v>
      </c>
      <c r="D5" s="58" t="n">
        <v>200</v>
      </c>
      <c r="E5" s="58" t="n">
        <v>200</v>
      </c>
      <c r="F5" s="58" t="n">
        <v>200</v>
      </c>
      <c r="G5" s="58" t="n">
        <v>200</v>
      </c>
      <c r="H5" s="58" t="n">
        <v>200</v>
      </c>
      <c r="I5" s="58" t="n">
        <v>200</v>
      </c>
      <c r="J5" s="58" t="n">
        <v>200</v>
      </c>
      <c r="K5" s="58" t="n">
        <v>200</v>
      </c>
    </row>
    <row r="6" customFormat="false" ht="15" hidden="false" customHeight="true" outlineLevel="0" collapsed="false">
      <c r="A6" s="53" t="s">
        <v>236</v>
      </c>
      <c r="B6" s="58" t="n">
        <v>20</v>
      </c>
      <c r="C6" s="58" t="n">
        <v>350</v>
      </c>
      <c r="D6" s="58" t="n">
        <v>350</v>
      </c>
      <c r="E6" s="58" t="n">
        <v>350</v>
      </c>
      <c r="F6" s="58" t="n">
        <v>350</v>
      </c>
      <c r="G6" s="58" t="n">
        <v>350</v>
      </c>
      <c r="H6" s="58" t="n">
        <v>350</v>
      </c>
      <c r="I6" s="58" t="n">
        <v>350</v>
      </c>
      <c r="J6" s="58" t="n">
        <v>350</v>
      </c>
      <c r="K6" s="58" t="n">
        <v>350</v>
      </c>
    </row>
    <row r="7" customFormat="false" ht="15" hidden="false" customHeight="true" outlineLevel="0" collapsed="false">
      <c r="A7" s="53" t="s">
        <v>237</v>
      </c>
      <c r="B7" s="58" t="n">
        <v>0</v>
      </c>
      <c r="C7" s="58" t="n">
        <v>450</v>
      </c>
      <c r="D7" s="58" t="n">
        <v>450</v>
      </c>
      <c r="E7" s="58" t="n">
        <v>450</v>
      </c>
      <c r="F7" s="58" t="n">
        <v>450</v>
      </c>
      <c r="G7" s="58" t="n">
        <v>450</v>
      </c>
      <c r="H7" s="58" t="n">
        <v>450</v>
      </c>
      <c r="I7" s="58" t="n">
        <v>450</v>
      </c>
      <c r="J7" s="58" t="n">
        <v>450</v>
      </c>
      <c r="K7" s="58" t="n">
        <v>450</v>
      </c>
    </row>
    <row r="8" customFormat="false" ht="15" hidden="false" customHeight="true" outlineLevel="0" collapsed="false">
      <c r="A8" s="53" t="s">
        <v>238</v>
      </c>
      <c r="B8" s="58" t="n">
        <v>0</v>
      </c>
      <c r="C8" s="58" t="n">
        <v>350</v>
      </c>
      <c r="D8" s="58" t="n">
        <v>350</v>
      </c>
      <c r="E8" s="58" t="n">
        <v>350</v>
      </c>
      <c r="F8" s="58" t="n">
        <v>350</v>
      </c>
      <c r="G8" s="58" t="n">
        <v>350</v>
      </c>
      <c r="H8" s="58" t="n">
        <v>350</v>
      </c>
      <c r="I8" s="58" t="n">
        <v>350</v>
      </c>
      <c r="J8" s="58" t="n">
        <v>350</v>
      </c>
      <c r="K8" s="58" t="n">
        <v>350</v>
      </c>
    </row>
    <row r="9" customFormat="false" ht="15" hidden="false" customHeight="true" outlineLevel="0" collapsed="false">
      <c r="A9" s="53" t="s">
        <v>239</v>
      </c>
      <c r="B9" s="58" t="n">
        <v>0</v>
      </c>
      <c r="C9" s="58" t="n">
        <v>100</v>
      </c>
      <c r="D9" s="58" t="n">
        <v>650</v>
      </c>
      <c r="E9" s="58" t="n">
        <v>850</v>
      </c>
      <c r="F9" s="58" t="n">
        <v>1050</v>
      </c>
      <c r="G9" s="58" t="n">
        <v>1050</v>
      </c>
      <c r="H9" s="58" t="n">
        <v>1050</v>
      </c>
      <c r="I9" s="58" t="n">
        <v>1050</v>
      </c>
      <c r="J9" s="58" t="n">
        <v>1050</v>
      </c>
      <c r="K9" s="58" t="n">
        <v>1050</v>
      </c>
    </row>
    <row r="10" customFormat="false" ht="15" hidden="false" customHeight="true" outlineLevel="0" collapsed="false">
      <c r="A10" s="59" t="s">
        <v>240</v>
      </c>
      <c r="B10" s="60" t="n">
        <v>40</v>
      </c>
      <c r="C10" s="60" t="n">
        <v>1350</v>
      </c>
      <c r="D10" s="60" t="n">
        <v>2000</v>
      </c>
      <c r="E10" s="60" t="n">
        <v>2200</v>
      </c>
      <c r="F10" s="60" t="n">
        <v>2400</v>
      </c>
      <c r="G10" s="60" t="n">
        <v>2400</v>
      </c>
      <c r="H10" s="60" t="n">
        <v>2400</v>
      </c>
      <c r="I10" s="60" t="n">
        <v>2400</v>
      </c>
      <c r="J10" s="60" t="n">
        <v>2400</v>
      </c>
      <c r="K10" s="60" t="n">
        <v>2400</v>
      </c>
    </row>
    <row r="11" customFormat="false" ht="15" hidden="false" customHeight="true" outlineLevel="0" collapsed="false">
      <c r="A11" s="53"/>
      <c r="B11" s="61"/>
      <c r="C11" s="61"/>
      <c r="D11" s="61"/>
      <c r="E11" s="61"/>
      <c r="F11" s="61"/>
      <c r="G11" s="61"/>
      <c r="H11" s="61"/>
      <c r="I11" s="61"/>
      <c r="J11" s="61"/>
      <c r="K11" s="61"/>
    </row>
    <row r="12" customFormat="false" ht="15" hidden="false" customHeight="true" outlineLevel="0" collapsed="false">
      <c r="A12" s="56" t="s">
        <v>241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</row>
    <row r="13" customFormat="false" ht="15" hidden="false" customHeight="true" outlineLevel="0" collapsed="false">
      <c r="A13" s="53" t="s">
        <v>235</v>
      </c>
      <c r="B13" s="58" t="n">
        <v>20</v>
      </c>
      <c r="C13" s="58" t="n">
        <v>80</v>
      </c>
      <c r="D13" s="58" t="n">
        <v>120</v>
      </c>
      <c r="E13" s="58" t="n">
        <v>160</v>
      </c>
      <c r="F13" s="58" t="n">
        <v>200</v>
      </c>
      <c r="G13" s="58" t="n">
        <v>200</v>
      </c>
      <c r="H13" s="58" t="n">
        <v>200</v>
      </c>
      <c r="I13" s="58" t="n">
        <v>200</v>
      </c>
      <c r="J13" s="58" t="n">
        <v>200</v>
      </c>
      <c r="K13" s="58" t="n">
        <v>200</v>
      </c>
    </row>
    <row r="14" customFormat="false" ht="15" hidden="false" customHeight="true" outlineLevel="0" collapsed="false">
      <c r="A14" s="53" t="s">
        <v>236</v>
      </c>
      <c r="B14" s="58" t="n">
        <v>20</v>
      </c>
      <c r="C14" s="58" t="n">
        <v>100</v>
      </c>
      <c r="D14" s="58" t="n">
        <v>200</v>
      </c>
      <c r="E14" s="58" t="n">
        <v>280</v>
      </c>
      <c r="F14" s="58" t="n">
        <v>350</v>
      </c>
      <c r="G14" s="58" t="n">
        <v>350</v>
      </c>
      <c r="H14" s="58" t="n">
        <v>350</v>
      </c>
      <c r="I14" s="58" t="n">
        <v>350</v>
      </c>
      <c r="J14" s="58" t="n">
        <v>350</v>
      </c>
      <c r="K14" s="58" t="n">
        <v>350</v>
      </c>
    </row>
    <row r="15" customFormat="false" ht="15" hidden="false" customHeight="true" outlineLevel="0" collapsed="false">
      <c r="A15" s="53" t="s">
        <v>237</v>
      </c>
      <c r="B15" s="58" t="n">
        <v>0</v>
      </c>
      <c r="C15" s="58" t="n">
        <v>0</v>
      </c>
      <c r="D15" s="58" t="n">
        <v>150</v>
      </c>
      <c r="E15" s="58" t="n">
        <v>300</v>
      </c>
      <c r="F15" s="58" t="n">
        <v>450</v>
      </c>
      <c r="G15" s="58" t="n">
        <v>450</v>
      </c>
      <c r="H15" s="58" t="n">
        <v>450</v>
      </c>
      <c r="I15" s="58" t="n">
        <v>450</v>
      </c>
      <c r="J15" s="58" t="n">
        <v>450</v>
      </c>
      <c r="K15" s="58" t="n">
        <v>450</v>
      </c>
    </row>
    <row r="16" customFormat="false" ht="15" hidden="false" customHeight="true" outlineLevel="0" collapsed="false">
      <c r="A16" s="53" t="s">
        <v>238</v>
      </c>
      <c r="B16" s="58" t="n">
        <v>0</v>
      </c>
      <c r="C16" s="58" t="n">
        <v>0</v>
      </c>
      <c r="D16" s="58" t="n">
        <v>0</v>
      </c>
      <c r="E16" s="58" t="n">
        <v>150</v>
      </c>
      <c r="F16" s="58" t="n">
        <v>300</v>
      </c>
      <c r="G16" s="58" t="n">
        <v>350</v>
      </c>
      <c r="H16" s="58" t="n">
        <v>350</v>
      </c>
      <c r="I16" s="58" t="n">
        <v>350</v>
      </c>
      <c r="J16" s="58" t="n">
        <v>350</v>
      </c>
      <c r="K16" s="58" t="n">
        <v>350</v>
      </c>
    </row>
    <row r="17" customFormat="false" ht="15" hidden="false" customHeight="true" outlineLevel="0" collapsed="false">
      <c r="A17" s="53" t="s">
        <v>239</v>
      </c>
      <c r="B17" s="58" t="n">
        <v>0</v>
      </c>
      <c r="C17" s="58" t="n">
        <v>20</v>
      </c>
      <c r="D17" s="58" t="n">
        <v>130</v>
      </c>
      <c r="E17" s="58" t="n">
        <v>300</v>
      </c>
      <c r="F17" s="58" t="n">
        <v>500</v>
      </c>
      <c r="G17" s="58" t="n">
        <v>650</v>
      </c>
      <c r="H17" s="58" t="n">
        <v>850</v>
      </c>
      <c r="I17" s="58" t="n">
        <v>950</v>
      </c>
      <c r="J17" s="58" t="n">
        <v>1050</v>
      </c>
      <c r="K17" s="58" t="n">
        <v>1050</v>
      </c>
    </row>
    <row r="18" customFormat="false" ht="15" hidden="false" customHeight="true" outlineLevel="0" collapsed="false">
      <c r="A18" s="59" t="s">
        <v>240</v>
      </c>
      <c r="B18" s="60" t="n">
        <v>40</v>
      </c>
      <c r="C18" s="60" t="n">
        <v>200</v>
      </c>
      <c r="D18" s="60" t="n">
        <v>600</v>
      </c>
      <c r="E18" s="60" t="n">
        <v>1190</v>
      </c>
      <c r="F18" s="60" t="n">
        <v>1800</v>
      </c>
      <c r="G18" s="60" t="n">
        <v>2000</v>
      </c>
      <c r="H18" s="60" t="n">
        <v>2200</v>
      </c>
      <c r="I18" s="60" t="n">
        <v>2300</v>
      </c>
      <c r="J18" s="60" t="n">
        <v>2400</v>
      </c>
      <c r="K18" s="60" t="n">
        <v>2400</v>
      </c>
    </row>
    <row r="19" customFormat="false" ht="15" hidden="false" customHeight="true" outlineLevel="0" collapsed="false">
      <c r="A19" s="53"/>
      <c r="B19" s="61"/>
      <c r="C19" s="61"/>
      <c r="D19" s="61"/>
      <c r="E19" s="61"/>
      <c r="F19" s="61"/>
      <c r="G19" s="61"/>
      <c r="H19" s="61"/>
      <c r="I19" s="61"/>
      <c r="J19" s="61"/>
      <c r="K19" s="61"/>
    </row>
    <row r="20" customFormat="false" ht="15" hidden="false" customHeight="true" outlineLevel="0" collapsed="false">
      <c r="A20" s="56" t="s">
        <v>242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</row>
    <row r="21" customFormat="false" ht="15" hidden="false" customHeight="true" outlineLevel="0" collapsed="false">
      <c r="A21" s="53" t="s">
        <v>235</v>
      </c>
      <c r="B21" s="58" t="n">
        <v>10</v>
      </c>
      <c r="C21" s="58" t="n">
        <v>20</v>
      </c>
      <c r="D21" s="58" t="n">
        <v>30</v>
      </c>
      <c r="E21" s="58" t="n">
        <v>40</v>
      </c>
      <c r="F21" s="58" t="n">
        <v>50</v>
      </c>
      <c r="G21" s="58" t="n">
        <v>60</v>
      </c>
      <c r="H21" s="58" t="n">
        <v>70</v>
      </c>
      <c r="I21" s="58" t="n">
        <v>80</v>
      </c>
      <c r="J21" s="58" t="n">
        <v>90</v>
      </c>
      <c r="K21" s="58" t="n">
        <v>100</v>
      </c>
    </row>
    <row r="22" customFormat="false" ht="15" hidden="false" customHeight="true" outlineLevel="0" collapsed="false">
      <c r="A22" s="53" t="s">
        <v>236</v>
      </c>
      <c r="B22" s="58" t="n">
        <v>10</v>
      </c>
      <c r="C22" s="58" t="n">
        <v>20</v>
      </c>
      <c r="D22" s="58" t="n">
        <v>40</v>
      </c>
      <c r="E22" s="58" t="n">
        <v>60</v>
      </c>
      <c r="F22" s="58" t="n">
        <v>80</v>
      </c>
      <c r="G22" s="58" t="n">
        <v>100</v>
      </c>
      <c r="H22" s="58" t="n">
        <v>120</v>
      </c>
      <c r="I22" s="58" t="n">
        <v>140</v>
      </c>
      <c r="J22" s="58" t="n">
        <v>160</v>
      </c>
      <c r="K22" s="58" t="n">
        <v>180</v>
      </c>
    </row>
    <row r="23" customFormat="false" ht="15" hidden="false" customHeight="true" outlineLevel="0" collapsed="false">
      <c r="A23" s="53" t="s">
        <v>237</v>
      </c>
      <c r="B23" s="58" t="n">
        <v>0</v>
      </c>
      <c r="C23" s="58" t="n">
        <v>0</v>
      </c>
      <c r="D23" s="58" t="n">
        <v>0</v>
      </c>
      <c r="E23" s="58" t="n">
        <v>50</v>
      </c>
      <c r="F23" s="58" t="n">
        <v>100</v>
      </c>
      <c r="G23" s="58" t="n">
        <v>150</v>
      </c>
      <c r="H23" s="58" t="n">
        <v>200</v>
      </c>
      <c r="I23" s="58" t="n">
        <v>250</v>
      </c>
      <c r="J23" s="58" t="n">
        <v>300</v>
      </c>
      <c r="K23" s="58" t="n">
        <v>350</v>
      </c>
    </row>
    <row r="24" customFormat="false" ht="15" hidden="false" customHeight="true" outlineLevel="0" collapsed="false">
      <c r="A24" s="53" t="s">
        <v>238</v>
      </c>
      <c r="B24" s="58" t="n">
        <v>0</v>
      </c>
      <c r="C24" s="58" t="n">
        <v>0</v>
      </c>
      <c r="D24" s="58" t="n">
        <v>0</v>
      </c>
      <c r="E24" s="58" t="n">
        <v>0</v>
      </c>
      <c r="F24" s="58" t="n">
        <v>50</v>
      </c>
      <c r="G24" s="58" t="n">
        <v>100</v>
      </c>
      <c r="H24" s="58" t="n">
        <v>150</v>
      </c>
      <c r="I24" s="58" t="n">
        <v>200</v>
      </c>
      <c r="J24" s="58" t="n">
        <v>250</v>
      </c>
      <c r="K24" s="58" t="n">
        <v>300</v>
      </c>
    </row>
    <row r="25" customFormat="false" ht="15" hidden="false" customHeight="true" outlineLevel="0" collapsed="false">
      <c r="A25" s="53" t="s">
        <v>239</v>
      </c>
      <c r="B25" s="58" t="n">
        <v>0</v>
      </c>
      <c r="C25" s="58" t="n">
        <v>0</v>
      </c>
      <c r="D25" s="58" t="n">
        <v>20</v>
      </c>
      <c r="E25" s="58" t="n">
        <v>40</v>
      </c>
      <c r="F25" s="58" t="n">
        <v>80</v>
      </c>
      <c r="G25" s="58" t="n">
        <v>120</v>
      </c>
      <c r="H25" s="58" t="n">
        <v>180</v>
      </c>
      <c r="I25" s="58" t="n">
        <v>240</v>
      </c>
      <c r="J25" s="58" t="n">
        <v>300</v>
      </c>
      <c r="K25" s="58" t="n">
        <v>400</v>
      </c>
    </row>
    <row r="26" customFormat="false" ht="15" hidden="false" customHeight="true" outlineLevel="0" collapsed="false">
      <c r="A26" s="59" t="s">
        <v>240</v>
      </c>
      <c r="B26" s="60" t="n">
        <v>20</v>
      </c>
      <c r="C26" s="60" t="n">
        <v>40</v>
      </c>
      <c r="D26" s="60" t="n">
        <v>90</v>
      </c>
      <c r="E26" s="60" t="n">
        <v>190</v>
      </c>
      <c r="F26" s="60" t="n">
        <v>360</v>
      </c>
      <c r="G26" s="60" t="n">
        <v>530</v>
      </c>
      <c r="H26" s="60" t="n">
        <v>720</v>
      </c>
      <c r="I26" s="60" t="n">
        <v>910</v>
      </c>
      <c r="J26" s="60" t="n">
        <v>1100</v>
      </c>
      <c r="K26" s="60" t="n">
        <v>1330</v>
      </c>
    </row>
  </sheetData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tru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6"/>
  </cols>
  <sheetData>
    <row r="1" customFormat="false" ht="42" hidden="false" customHeight="true" outlineLevel="0" collapsed="false">
      <c r="A1" s="40" t="s">
        <v>243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customFormat="false" ht="15" hidden="false" customHeight="true" outlineLevel="0" collapsed="false">
      <c r="A3" s="9" t="s">
        <v>3</v>
      </c>
      <c r="B3" s="9" t="s">
        <v>67</v>
      </c>
      <c r="C3" s="9" t="s">
        <v>72</v>
      </c>
      <c r="D3" s="9" t="s">
        <v>244</v>
      </c>
      <c r="E3" s="9" t="s">
        <v>245</v>
      </c>
      <c r="F3" s="9" t="s">
        <v>246</v>
      </c>
      <c r="G3" s="9" t="s">
        <v>247</v>
      </c>
      <c r="H3" s="9" t="s">
        <v>248</v>
      </c>
      <c r="I3" s="9" t="s">
        <v>249</v>
      </c>
      <c r="J3" s="9" t="s">
        <v>250</v>
      </c>
      <c r="K3" s="9" t="s">
        <v>251</v>
      </c>
      <c r="L3" s="9" t="s">
        <v>252</v>
      </c>
      <c r="M3" s="9" t="s">
        <v>253</v>
      </c>
      <c r="N3" s="9"/>
      <c r="O3" s="9"/>
    </row>
    <row r="4" customFormat="false" ht="15" hidden="false" customHeight="true" outlineLevel="0" collapsed="false">
      <c r="A4" s="62" t="s">
        <v>254</v>
      </c>
      <c r="B4" s="58" t="n">
        <v>20</v>
      </c>
      <c r="C4" s="58" t="n">
        <v>60</v>
      </c>
      <c r="D4" s="58" t="n">
        <v>100</v>
      </c>
      <c r="E4" s="58" t="n">
        <v>100</v>
      </c>
      <c r="F4" s="58" t="n">
        <v>150</v>
      </c>
      <c r="G4" s="58" t="n">
        <v>200</v>
      </c>
      <c r="H4" s="58" t="n">
        <v>200</v>
      </c>
      <c r="I4" s="58" t="n">
        <v>200</v>
      </c>
      <c r="J4" s="58" t="n">
        <v>200</v>
      </c>
      <c r="K4" s="58" t="n">
        <v>200</v>
      </c>
      <c r="L4" s="61" t="n">
        <v>200</v>
      </c>
      <c r="M4" s="61" t="n">
        <v>200</v>
      </c>
      <c r="N4" s="53"/>
      <c r="O4" s="53"/>
    </row>
    <row r="5" customFormat="false" ht="15" hidden="false" customHeight="true" outlineLevel="0" collapsed="false">
      <c r="A5" s="62" t="s">
        <v>255</v>
      </c>
      <c r="B5" s="58" t="n">
        <v>20</v>
      </c>
      <c r="C5" s="58" t="n">
        <v>100</v>
      </c>
      <c r="D5" s="58" t="n">
        <v>200</v>
      </c>
      <c r="E5" s="58" t="n">
        <v>350</v>
      </c>
      <c r="F5" s="58" t="n">
        <v>350</v>
      </c>
      <c r="G5" s="58" t="n">
        <v>350</v>
      </c>
      <c r="H5" s="58" t="n">
        <v>350</v>
      </c>
      <c r="I5" s="58" t="n">
        <v>350</v>
      </c>
      <c r="J5" s="58" t="n">
        <v>350</v>
      </c>
      <c r="K5" s="58" t="n">
        <v>350</v>
      </c>
      <c r="L5" s="61" t="n">
        <v>350</v>
      </c>
      <c r="M5" s="61" t="n">
        <v>350</v>
      </c>
      <c r="N5" s="53"/>
      <c r="O5" s="53"/>
    </row>
    <row r="6" customFormat="false" ht="15" hidden="false" customHeight="true" outlineLevel="0" collapsed="false">
      <c r="A6" s="62" t="s">
        <v>256</v>
      </c>
      <c r="B6" s="58" t="n">
        <v>0</v>
      </c>
      <c r="C6" s="58" t="n">
        <v>0</v>
      </c>
      <c r="D6" s="58" t="n">
        <v>0</v>
      </c>
      <c r="E6" s="58" t="n">
        <v>50</v>
      </c>
      <c r="F6" s="58" t="n">
        <v>150</v>
      </c>
      <c r="G6" s="58" t="n">
        <v>300</v>
      </c>
      <c r="H6" s="58" t="n">
        <v>450</v>
      </c>
      <c r="I6" s="58" t="n">
        <v>450</v>
      </c>
      <c r="J6" s="58" t="n">
        <v>450</v>
      </c>
      <c r="K6" s="58" t="n">
        <v>450</v>
      </c>
      <c r="L6" s="61" t="n">
        <v>450</v>
      </c>
      <c r="M6" s="61" t="n">
        <v>450</v>
      </c>
      <c r="N6" s="53"/>
      <c r="O6" s="53"/>
    </row>
    <row r="7" customFormat="false" ht="15" hidden="false" customHeight="true" outlineLevel="0" collapsed="false">
      <c r="A7" s="62" t="s">
        <v>257</v>
      </c>
      <c r="B7" s="58" t="n">
        <v>0</v>
      </c>
      <c r="C7" s="58" t="n">
        <v>0</v>
      </c>
      <c r="D7" s="58" t="n">
        <v>0</v>
      </c>
      <c r="E7" s="58" t="n">
        <v>0</v>
      </c>
      <c r="F7" s="58" t="n">
        <v>50</v>
      </c>
      <c r="G7" s="58" t="n">
        <v>150</v>
      </c>
      <c r="H7" s="58" t="n">
        <v>275</v>
      </c>
      <c r="I7" s="58" t="n">
        <v>350</v>
      </c>
      <c r="J7" s="58" t="n">
        <v>350</v>
      </c>
      <c r="K7" s="58" t="n">
        <v>350</v>
      </c>
      <c r="L7" s="61" t="n">
        <v>350</v>
      </c>
      <c r="M7" s="61" t="n">
        <v>350</v>
      </c>
      <c r="N7" s="53"/>
      <c r="O7" s="53"/>
    </row>
    <row r="8" customFormat="false" ht="15" hidden="false" customHeight="true" outlineLevel="0" collapsed="false">
      <c r="A8" s="62" t="s">
        <v>258</v>
      </c>
      <c r="B8" s="58" t="n">
        <v>0</v>
      </c>
      <c r="C8" s="58" t="n">
        <v>0</v>
      </c>
      <c r="D8" s="58" t="n">
        <v>0</v>
      </c>
      <c r="E8" s="58" t="n">
        <v>50</v>
      </c>
      <c r="F8" s="58" t="n">
        <v>100</v>
      </c>
      <c r="G8" s="58" t="n">
        <v>200</v>
      </c>
      <c r="H8" s="58" t="n">
        <v>275</v>
      </c>
      <c r="I8" s="58" t="n">
        <v>650</v>
      </c>
      <c r="J8" s="58" t="n">
        <v>800</v>
      </c>
      <c r="K8" s="58" t="n">
        <v>850</v>
      </c>
      <c r="L8" s="61" t="n">
        <v>850</v>
      </c>
      <c r="M8" s="61" t="n">
        <v>850</v>
      </c>
      <c r="N8" s="53"/>
      <c r="O8" s="53"/>
    </row>
    <row r="9" customFormat="false" ht="15" hidden="false" customHeight="true" outlineLevel="0" collapsed="false">
      <c r="A9" s="59" t="s">
        <v>259</v>
      </c>
      <c r="B9" s="60" t="n">
        <v>40</v>
      </c>
      <c r="C9" s="60" t="n">
        <v>160</v>
      </c>
      <c r="D9" s="60" t="n">
        <v>300</v>
      </c>
      <c r="E9" s="60" t="n">
        <v>550</v>
      </c>
      <c r="F9" s="60" t="n">
        <v>800</v>
      </c>
      <c r="G9" s="60" t="n">
        <v>1200</v>
      </c>
      <c r="H9" s="60" t="n">
        <v>1550</v>
      </c>
      <c r="I9" s="60" t="n">
        <v>2000</v>
      </c>
      <c r="J9" s="60" t="n">
        <v>2150</v>
      </c>
      <c r="K9" s="60" t="n">
        <v>2200</v>
      </c>
      <c r="L9" s="59" t="n">
        <v>2200</v>
      </c>
      <c r="M9" s="59" t="n">
        <v>2200</v>
      </c>
      <c r="N9" s="53"/>
      <c r="O9" s="53"/>
    </row>
    <row r="10" customFormat="false" ht="15" hidden="false" customHeight="true" outlineLevel="0" collapsed="false">
      <c r="A10" s="62" t="s">
        <v>260</v>
      </c>
      <c r="B10" s="63" t="n">
        <v>0</v>
      </c>
      <c r="C10" s="63" t="n">
        <v>0</v>
      </c>
      <c r="D10" s="63" t="n">
        <v>5</v>
      </c>
      <c r="E10" s="63" t="n">
        <v>20</v>
      </c>
      <c r="F10" s="63" t="n">
        <v>50</v>
      </c>
      <c r="G10" s="63" t="n">
        <v>100</v>
      </c>
      <c r="H10" s="63" t="n">
        <v>150</v>
      </c>
      <c r="I10" s="63" t="n">
        <v>250</v>
      </c>
      <c r="J10" s="63" t="n">
        <v>350</v>
      </c>
      <c r="K10" s="63" t="n">
        <v>450</v>
      </c>
      <c r="L10" s="53" t="n">
        <v>550</v>
      </c>
      <c r="M10" s="53" t="n">
        <v>600</v>
      </c>
      <c r="N10" s="53"/>
      <c r="O10" s="53"/>
    </row>
    <row r="11" customFormat="false" ht="15" hidden="false" customHeight="true" outlineLevel="0" collapsed="false">
      <c r="A11" s="62" t="s">
        <v>261</v>
      </c>
      <c r="B11" s="63" t="n">
        <v>0</v>
      </c>
      <c r="C11" s="63" t="n">
        <v>0</v>
      </c>
      <c r="D11" s="63" t="n">
        <v>0</v>
      </c>
      <c r="E11" s="63" t="n">
        <v>0</v>
      </c>
      <c r="F11" s="63" t="n">
        <v>5</v>
      </c>
      <c r="G11" s="63" t="n">
        <v>25</v>
      </c>
      <c r="H11" s="63" t="n">
        <v>50</v>
      </c>
      <c r="I11" s="63" t="n">
        <v>100</v>
      </c>
      <c r="J11" s="63" t="n">
        <v>150</v>
      </c>
      <c r="K11" s="63" t="n">
        <v>200</v>
      </c>
      <c r="L11" s="53" t="n">
        <v>225</v>
      </c>
      <c r="M11" s="53" t="n">
        <v>250</v>
      </c>
      <c r="N11" s="53"/>
      <c r="O11" s="53"/>
    </row>
    <row r="12" customFormat="false" ht="15" hidden="false" customHeight="true" outlineLevel="0" collapsed="false">
      <c r="A12" s="62" t="s">
        <v>262</v>
      </c>
      <c r="B12" s="53" t="s">
        <v>263</v>
      </c>
      <c r="C12" s="53" t="s">
        <v>264</v>
      </c>
      <c r="D12" s="53" t="s">
        <v>265</v>
      </c>
      <c r="E12" s="53" t="s">
        <v>266</v>
      </c>
      <c r="F12" s="53" t="s">
        <v>267</v>
      </c>
      <c r="G12" s="53" t="s">
        <v>268</v>
      </c>
      <c r="H12" s="53" t="s">
        <v>269</v>
      </c>
      <c r="I12" s="53" t="s">
        <v>270</v>
      </c>
      <c r="J12" s="53" t="s">
        <v>271</v>
      </c>
      <c r="K12" s="53" t="s">
        <v>272</v>
      </c>
      <c r="L12" s="53" t="s">
        <v>273</v>
      </c>
      <c r="M12" s="53" t="s">
        <v>274</v>
      </c>
      <c r="N12" s="53"/>
      <c r="O12" s="53"/>
    </row>
    <row r="13" customFormat="false" ht="15" hidden="false" customHeight="true" outlineLevel="0" collapsed="false">
      <c r="A13" s="62" t="s">
        <v>275</v>
      </c>
      <c r="B13" s="58" t="n">
        <v>0.6</v>
      </c>
      <c r="C13" s="58" t="n">
        <v>3.2</v>
      </c>
      <c r="D13" s="58" t="n">
        <v>2.8</v>
      </c>
      <c r="E13" s="58" t="n">
        <v>6</v>
      </c>
      <c r="F13" s="58" t="n">
        <v>6</v>
      </c>
      <c r="G13" s="58" t="n">
        <v>8</v>
      </c>
      <c r="H13" s="58" t="n">
        <v>8</v>
      </c>
      <c r="I13" s="58" t="n">
        <v>12</v>
      </c>
      <c r="J13" s="58" t="n">
        <v>8</v>
      </c>
      <c r="K13" s="58" t="n">
        <v>6</v>
      </c>
      <c r="L13" s="64" t="n">
        <v>4</v>
      </c>
      <c r="M13" s="64" t="n">
        <v>2</v>
      </c>
      <c r="N13" s="53"/>
      <c r="O13" s="53"/>
    </row>
  </sheetData>
  <mergeCells count="1">
    <mergeCell ref="A1:O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7" min="1" style="1" width="20"/>
    <col collapsed="false" customWidth="true" hidden="false" outlineLevel="0" max="9" min="8" style="1" width="34"/>
  </cols>
  <sheetData>
    <row r="1" customFormat="false" ht="42" hidden="false" customHeight="true" outlineLevel="0" collapsed="false">
      <c r="A1" s="40" t="s">
        <v>276</v>
      </c>
      <c r="B1" s="40"/>
      <c r="C1" s="40"/>
      <c r="D1" s="40"/>
      <c r="E1" s="40"/>
      <c r="F1" s="40"/>
      <c r="G1" s="40"/>
      <c r="H1" s="40"/>
      <c r="I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277</v>
      </c>
      <c r="B3" s="9" t="s">
        <v>278</v>
      </c>
      <c r="C3" s="9" t="s">
        <v>279</v>
      </c>
      <c r="D3" s="9" t="s">
        <v>280</v>
      </c>
      <c r="E3" s="9" t="s">
        <v>281</v>
      </c>
      <c r="F3" s="9" t="s">
        <v>282</v>
      </c>
      <c r="G3" s="9" t="s">
        <v>283</v>
      </c>
      <c r="H3" s="9" t="s">
        <v>284</v>
      </c>
      <c r="I3" s="9" t="s">
        <v>285</v>
      </c>
      <c r="J3" s="9"/>
      <c r="K3" s="9"/>
    </row>
    <row r="4" customFormat="false" ht="27.75" hidden="false" customHeight="true" outlineLevel="0" collapsed="false">
      <c r="A4" s="42" t="s">
        <v>286</v>
      </c>
      <c r="B4" s="42" t="n">
        <v>200</v>
      </c>
      <c r="C4" s="42" t="n">
        <v>0</v>
      </c>
      <c r="D4" s="42" t="s">
        <v>287</v>
      </c>
      <c r="E4" s="42" t="s">
        <v>288</v>
      </c>
      <c r="F4" s="42" t="s">
        <v>289</v>
      </c>
      <c r="G4" s="42" t="s">
        <v>290</v>
      </c>
      <c r="H4" s="42" t="s">
        <v>291</v>
      </c>
      <c r="I4" s="42" t="s">
        <v>292</v>
      </c>
    </row>
    <row r="5" customFormat="false" ht="54.75" hidden="false" customHeight="true" outlineLevel="0" collapsed="false">
      <c r="A5" s="42" t="s">
        <v>293</v>
      </c>
      <c r="B5" s="42" t="n">
        <v>350</v>
      </c>
      <c r="C5" s="42" t="n">
        <v>500</v>
      </c>
      <c r="D5" s="42" t="s">
        <v>294</v>
      </c>
      <c r="E5" s="42" t="s">
        <v>295</v>
      </c>
      <c r="F5" s="42" t="s">
        <v>296</v>
      </c>
      <c r="G5" s="42" t="s">
        <v>297</v>
      </c>
      <c r="H5" s="42" t="s">
        <v>298</v>
      </c>
      <c r="I5" s="42" t="s">
        <v>299</v>
      </c>
    </row>
    <row r="6" customFormat="false" ht="41.25" hidden="false" customHeight="true" outlineLevel="0" collapsed="false">
      <c r="A6" s="42" t="s">
        <v>300</v>
      </c>
      <c r="B6" s="42" t="n">
        <v>450</v>
      </c>
      <c r="C6" s="42" t="n">
        <v>500</v>
      </c>
      <c r="D6" s="42" t="s">
        <v>301</v>
      </c>
      <c r="E6" s="42" t="s">
        <v>302</v>
      </c>
      <c r="F6" s="42" t="s">
        <v>303</v>
      </c>
      <c r="G6" s="42" t="s">
        <v>304</v>
      </c>
      <c r="H6" s="42" t="s">
        <v>305</v>
      </c>
      <c r="I6" s="42" t="s">
        <v>306</v>
      </c>
    </row>
    <row r="7" customFormat="false" ht="41.25" hidden="false" customHeight="true" outlineLevel="0" collapsed="false">
      <c r="A7" s="42" t="s">
        <v>307</v>
      </c>
      <c r="B7" s="42" t="n">
        <v>350</v>
      </c>
      <c r="C7" s="42" t="n">
        <v>450</v>
      </c>
      <c r="D7" s="42" t="s">
        <v>308</v>
      </c>
      <c r="E7" s="42" t="s">
        <v>309</v>
      </c>
      <c r="F7" s="42" t="s">
        <v>310</v>
      </c>
      <c r="G7" s="42" t="s">
        <v>311</v>
      </c>
      <c r="H7" s="42" t="s">
        <v>305</v>
      </c>
      <c r="I7" s="42" t="s">
        <v>312</v>
      </c>
    </row>
    <row r="8" customFormat="false" ht="41.25" hidden="false" customHeight="true" outlineLevel="0" collapsed="false">
      <c r="A8" s="42" t="s">
        <v>313</v>
      </c>
      <c r="B8" s="42" t="n">
        <v>1050</v>
      </c>
      <c r="C8" s="42" t="n">
        <v>0</v>
      </c>
      <c r="D8" s="42" t="s">
        <v>314</v>
      </c>
      <c r="E8" s="42" t="s">
        <v>315</v>
      </c>
      <c r="F8" s="42" t="s">
        <v>316</v>
      </c>
      <c r="G8" s="42" t="s">
        <v>317</v>
      </c>
      <c r="H8" s="42" t="s">
        <v>318</v>
      </c>
      <c r="I8" s="42" t="s">
        <v>319</v>
      </c>
    </row>
  </sheetData>
  <mergeCells count="1">
    <mergeCell ref="A1:I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34"/>
    <col collapsed="false" customWidth="true" hidden="false" outlineLevel="0" max="11" min="2" style="1" width="13"/>
  </cols>
  <sheetData>
    <row r="1" customFormat="false" ht="42" hidden="false" customHeight="true" outlineLevel="0" collapsed="false">
      <c r="A1" s="40" t="s">
        <v>320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3</v>
      </c>
      <c r="B3" s="9" t="s">
        <v>226</v>
      </c>
      <c r="C3" s="9" t="s">
        <v>227</v>
      </c>
      <c r="D3" s="9" t="s">
        <v>92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232</v>
      </c>
      <c r="J3" s="9" t="s">
        <v>233</v>
      </c>
      <c r="K3" s="9" t="s">
        <v>234</v>
      </c>
    </row>
    <row r="4" customFormat="false" ht="15" hidden="false" customHeight="true" outlineLevel="0" collapsed="false">
      <c r="A4" s="62" t="s">
        <v>321</v>
      </c>
      <c r="B4" s="58" t="n">
        <f aca="false">Case_Ramp_Annual!B10</f>
        <v>40</v>
      </c>
      <c r="C4" s="58" t="n">
        <f aca="false">Case_Ramp_Annual!C10</f>
        <v>1350</v>
      </c>
      <c r="D4" s="58" t="n">
        <f aca="false">Case_Ramp_Annual!D10</f>
        <v>2000</v>
      </c>
      <c r="E4" s="58" t="n">
        <f aca="false">Case_Ramp_Annual!E10</f>
        <v>2200</v>
      </c>
      <c r="F4" s="58" t="n">
        <f aca="false">Case_Ramp_Annual!F10</f>
        <v>2400</v>
      </c>
      <c r="G4" s="58" t="n">
        <f aca="false">Case_Ramp_Annual!G10</f>
        <v>2400</v>
      </c>
      <c r="H4" s="58" t="n">
        <f aca="false">Case_Ramp_Annual!H10</f>
        <v>2400</v>
      </c>
      <c r="I4" s="58" t="n">
        <f aca="false">Case_Ramp_Annual!I10</f>
        <v>2400</v>
      </c>
      <c r="J4" s="58" t="n">
        <f aca="false">Case_Ramp_Annual!J10</f>
        <v>2400</v>
      </c>
      <c r="K4" s="58" t="n">
        <f aca="false">Case_Ramp_Annual!K10</f>
        <v>2400</v>
      </c>
    </row>
    <row r="5" customFormat="false" ht="15" hidden="false" customHeight="true" outlineLevel="0" collapsed="false">
      <c r="A5" s="62" t="s">
        <v>322</v>
      </c>
      <c r="B5" s="58" t="n">
        <f aca="false">0</f>
        <v>0</v>
      </c>
      <c r="C5" s="58" t="n">
        <f aca="false">B4</f>
        <v>40</v>
      </c>
      <c r="D5" s="58" t="n">
        <f aca="false">C4</f>
        <v>1350</v>
      </c>
      <c r="E5" s="58" t="n">
        <f aca="false">D4</f>
        <v>2000</v>
      </c>
      <c r="F5" s="58" t="n">
        <f aca="false">E4</f>
        <v>2200</v>
      </c>
      <c r="G5" s="58" t="n">
        <f aca="false">F4</f>
        <v>2400</v>
      </c>
      <c r="H5" s="58" t="n">
        <f aca="false">G4</f>
        <v>2400</v>
      </c>
      <c r="I5" s="58" t="n">
        <f aca="false">H4</f>
        <v>2400</v>
      </c>
      <c r="J5" s="58" t="n">
        <f aca="false">I4</f>
        <v>2400</v>
      </c>
      <c r="K5" s="58" t="n">
        <f aca="false">J4</f>
        <v>2400</v>
      </c>
    </row>
    <row r="6" customFormat="false" ht="15" hidden="false" customHeight="true" outlineLevel="0" collapsed="false">
      <c r="A6" s="62" t="s">
        <v>323</v>
      </c>
      <c r="B6" s="58" t="n">
        <f aca="false">AVERAGE(B4,B5)</f>
        <v>20</v>
      </c>
      <c r="C6" s="58" t="n">
        <f aca="false">AVERAGE(C4,C5)</f>
        <v>695</v>
      </c>
      <c r="D6" s="58" t="n">
        <f aca="false">AVERAGE(D4,D5)</f>
        <v>1675</v>
      </c>
      <c r="E6" s="58" t="n">
        <f aca="false">AVERAGE(E4,E5)</f>
        <v>2100</v>
      </c>
      <c r="F6" s="58" t="n">
        <f aca="false">AVERAGE(F4,F5)</f>
        <v>2300</v>
      </c>
      <c r="G6" s="58" t="n">
        <f aca="false">AVERAGE(G4,G5)</f>
        <v>2400</v>
      </c>
      <c r="H6" s="58" t="n">
        <f aca="false">AVERAGE(H4,H5)</f>
        <v>2400</v>
      </c>
      <c r="I6" s="58" t="n">
        <f aca="false">AVERAGE(I4,I5)</f>
        <v>2400</v>
      </c>
      <c r="J6" s="58" t="n">
        <f aca="false">AVERAGE(J4,J5)</f>
        <v>2400</v>
      </c>
      <c r="K6" s="58" t="n">
        <f aca="false">AVERAGE(K4,K5)</f>
        <v>2400</v>
      </c>
    </row>
    <row r="7" customFormat="false" ht="15" hidden="false" customHeight="true" outlineLevel="0" collapsed="false">
      <c r="A7" s="62" t="s">
        <v>324</v>
      </c>
      <c r="B7" s="65" t="n">
        <f aca="false">0</f>
        <v>0</v>
      </c>
      <c r="C7" s="65" t="n">
        <f aca="false">0.05</f>
        <v>0.05</v>
      </c>
      <c r="D7" s="65" t="n">
        <f aca="false">0.1</f>
        <v>0.1</v>
      </c>
      <c r="E7" s="65" t="n">
        <f aca="false">0.15</f>
        <v>0.15</v>
      </c>
      <c r="F7" s="65" t="n">
        <f aca="false">0.2</f>
        <v>0.2</v>
      </c>
      <c r="G7" s="65" t="n">
        <f aca="false">0.25</f>
        <v>0.25</v>
      </c>
      <c r="H7" s="65" t="n">
        <f aca="false">0.3</f>
        <v>0.3</v>
      </c>
      <c r="I7" s="65" t="n">
        <f aca="false">0.3</f>
        <v>0.3</v>
      </c>
      <c r="J7" s="65" t="n">
        <f aca="false">0.3</f>
        <v>0.3</v>
      </c>
      <c r="K7" s="65" t="n">
        <f aca="false">0.3</f>
        <v>0.3</v>
      </c>
    </row>
    <row r="8" customFormat="false" ht="15" hidden="false" customHeight="true" outlineLevel="0" collapsed="false">
      <c r="A8" s="62" t="s">
        <v>325</v>
      </c>
      <c r="B8" s="58" t="n">
        <f aca="false">0</f>
        <v>0</v>
      </c>
      <c r="C8" s="58" t="n">
        <f aca="false">0</f>
        <v>0</v>
      </c>
      <c r="D8" s="58" t="n">
        <f aca="false">5</f>
        <v>5</v>
      </c>
      <c r="E8" s="58" t="n">
        <f aca="false">50</f>
        <v>50</v>
      </c>
      <c r="F8" s="58" t="n">
        <f aca="false">100</f>
        <v>100</v>
      </c>
      <c r="G8" s="58" t="n">
        <f aca="false">250</f>
        <v>250</v>
      </c>
      <c r="H8" s="58" t="n">
        <f aca="false">250</f>
        <v>250</v>
      </c>
      <c r="I8" s="58" t="n">
        <f aca="false">250</f>
        <v>250</v>
      </c>
      <c r="J8" s="58" t="n">
        <f aca="false">250</f>
        <v>250</v>
      </c>
      <c r="K8" s="58" t="n">
        <f aca="false">250</f>
        <v>250</v>
      </c>
    </row>
    <row r="9" customFormat="false" ht="15" hidden="false" customHeight="true" outlineLevel="0" collapsed="false">
      <c r="A9" s="62" t="s">
        <v>326</v>
      </c>
      <c r="B9" s="58" t="n">
        <f aca="false">MAX(0,MIN(B4*0.3-B8,B4*0))</f>
        <v>0</v>
      </c>
      <c r="C9" s="58" t="n">
        <f aca="false">MAX(0,MIN(C4*0.3-C8,C4*0.05))</f>
        <v>67.5</v>
      </c>
      <c r="D9" s="58" t="n">
        <f aca="false">MAX(0,MIN(D4*0.3-D8,D4*0.1))</f>
        <v>200</v>
      </c>
      <c r="E9" s="58" t="n">
        <f aca="false">MAX(0,MIN(E4*0.3-E8,E4*0.15))</f>
        <v>330</v>
      </c>
      <c r="F9" s="58" t="n">
        <f aca="false">MAX(0,MIN(F4*0.3-F8,F4*0.2))</f>
        <v>480</v>
      </c>
      <c r="G9" s="58" t="n">
        <f aca="false">MAX(0,MIN(G4*0.3-G8,G4*0.25))</f>
        <v>470</v>
      </c>
      <c r="H9" s="58" t="n">
        <f aca="false">MAX(0,MIN(H4*0.3-H8,H4*0.3))</f>
        <v>470</v>
      </c>
      <c r="I9" s="58" t="n">
        <f aca="false">MAX(0,MIN(I4*0.3-I8,I4*0.3))</f>
        <v>470</v>
      </c>
      <c r="J9" s="58" t="n">
        <f aca="false">MAX(0,MIN(J4*0.3-J8,J4*0.3))</f>
        <v>470</v>
      </c>
      <c r="K9" s="58" t="n">
        <f aca="false">MAX(0,MIN(K4*0.3-K8,K4*0.3))</f>
        <v>470</v>
      </c>
    </row>
    <row r="10" customFormat="false" ht="15" hidden="false" customHeight="true" outlineLevel="0" collapsed="false">
      <c r="A10" s="62" t="s">
        <v>327</v>
      </c>
      <c r="B10" s="58" t="n">
        <f aca="false">B8+B9</f>
        <v>0</v>
      </c>
      <c r="C10" s="58" t="n">
        <f aca="false">C8+C9</f>
        <v>67.5</v>
      </c>
      <c r="D10" s="58" t="n">
        <f aca="false">D8+D9</f>
        <v>205</v>
      </c>
      <c r="E10" s="58" t="n">
        <f aca="false">E8+E9</f>
        <v>380</v>
      </c>
      <c r="F10" s="58" t="n">
        <f aca="false">F8+F9</f>
        <v>580</v>
      </c>
      <c r="G10" s="58" t="n">
        <f aca="false">G8+G9</f>
        <v>720</v>
      </c>
      <c r="H10" s="58" t="n">
        <f aca="false">H8+H9</f>
        <v>720</v>
      </c>
      <c r="I10" s="58" t="n">
        <f aca="false">I8+I9</f>
        <v>720</v>
      </c>
      <c r="J10" s="58" t="n">
        <f aca="false">J8+J9</f>
        <v>720</v>
      </c>
      <c r="K10" s="58" t="n">
        <f aca="false">K8+K9</f>
        <v>720</v>
      </c>
    </row>
    <row r="11" customFormat="false" ht="15" hidden="false" customHeight="true" outlineLevel="0" collapsed="false">
      <c r="A11" s="62" t="s">
        <v>328</v>
      </c>
      <c r="B11" s="58" t="n">
        <f aca="false">MAX(0,B4-B10)</f>
        <v>40</v>
      </c>
      <c r="C11" s="58" t="n">
        <f aca="false">MAX(0,C4-C10)</f>
        <v>1282.5</v>
      </c>
      <c r="D11" s="58" t="n">
        <f aca="false">MAX(0,D4-D10)</f>
        <v>1795</v>
      </c>
      <c r="E11" s="58" t="n">
        <f aca="false">MAX(0,E4-E10)</f>
        <v>1820</v>
      </c>
      <c r="F11" s="58" t="n">
        <f aca="false">MAX(0,F4-F10)</f>
        <v>1820</v>
      </c>
      <c r="G11" s="58" t="n">
        <f aca="false">MAX(0,G4-G10)</f>
        <v>1680</v>
      </c>
      <c r="H11" s="58" t="n">
        <f aca="false">MAX(0,H4-H10)</f>
        <v>1680</v>
      </c>
      <c r="I11" s="58" t="n">
        <f aca="false">MAX(0,I4-I10)</f>
        <v>1680</v>
      </c>
      <c r="J11" s="58" t="n">
        <f aca="false">MAX(0,J4-J10)</f>
        <v>1680</v>
      </c>
      <c r="K11" s="58" t="n">
        <f aca="false">MAX(0,K4-K10)</f>
        <v>1680</v>
      </c>
    </row>
    <row r="12" customFormat="false" ht="15" hidden="false" customHeight="true" outlineLevel="0" collapsed="false">
      <c r="A12" s="62" t="s">
        <v>329</v>
      </c>
      <c r="B12" s="65" t="n">
        <f aca="false">B10/B4</f>
        <v>0</v>
      </c>
      <c r="C12" s="65" t="n">
        <f aca="false">C10/C4</f>
        <v>0.05</v>
      </c>
      <c r="D12" s="65" t="n">
        <f aca="false">D10/D4</f>
        <v>0.1025</v>
      </c>
      <c r="E12" s="65" t="n">
        <f aca="false">E10/E4</f>
        <v>0.172727272727273</v>
      </c>
      <c r="F12" s="65" t="n">
        <f aca="false">F10/F4</f>
        <v>0.241666666666667</v>
      </c>
      <c r="G12" s="65" t="n">
        <f aca="false">G10/G4</f>
        <v>0.3</v>
      </c>
      <c r="H12" s="65" t="n">
        <f aca="false">H10/H4</f>
        <v>0.3</v>
      </c>
      <c r="I12" s="65" t="n">
        <f aca="false">I10/I4</f>
        <v>0.3</v>
      </c>
      <c r="J12" s="65" t="n">
        <f aca="false">J10/J4</f>
        <v>0.3</v>
      </c>
      <c r="K12" s="65" t="n">
        <f aca="false">K10/K4</f>
        <v>0.3</v>
      </c>
    </row>
    <row r="13" customFormat="false" ht="15" hidden="false" customHeight="true" outlineLevel="0" collapsed="false">
      <c r="A13" s="62" t="s">
        <v>330</v>
      </c>
      <c r="B13" s="66" t="n">
        <f aca="false">B11*Scenario_Control!$B$18*365*Scenario_Control!$B$17/1000</f>
        <v>271.852</v>
      </c>
      <c r="C13" s="66" t="n">
        <f aca="false">C11*Scenario_Control!$B$18*365*Scenario_Control!$B$17/1000</f>
        <v>8716.25475</v>
      </c>
      <c r="D13" s="66" t="n">
        <f aca="false">D11*Scenario_Control!$B$18*365*Scenario_Control!$B$17/1000</f>
        <v>12199.3585</v>
      </c>
      <c r="E13" s="66" t="n">
        <f aca="false">E11*Scenario_Control!$B$18*365*Scenario_Control!$B$17/1000</f>
        <v>12369.266</v>
      </c>
      <c r="F13" s="66" t="n">
        <f aca="false">F11*Scenario_Control!$B$18*365*Scenario_Control!$B$17/1000</f>
        <v>12369.266</v>
      </c>
      <c r="G13" s="66" t="n">
        <f aca="false">G11*Scenario_Control!$B$18*365*Scenario_Control!$B$17/1000</f>
        <v>11417.784</v>
      </c>
      <c r="H13" s="66" t="n">
        <f aca="false">H11*Scenario_Control!$B$18*365*Scenario_Control!$B$17/1000</f>
        <v>11417.784</v>
      </c>
      <c r="I13" s="66" t="n">
        <f aca="false">I11*Scenario_Control!$B$18*365*Scenario_Control!$B$17/1000</f>
        <v>11417.784</v>
      </c>
      <c r="J13" s="66" t="n">
        <f aca="false">J11*Scenario_Control!$B$18*365*Scenario_Control!$B$17/1000</f>
        <v>11417.784</v>
      </c>
      <c r="K13" s="66" t="n">
        <f aca="false">K11*Scenario_Control!$B$18*365*Scenario_Control!$B$17/1000</f>
        <v>11417.784</v>
      </c>
    </row>
    <row r="14" customFormat="false" ht="15" hidden="false" customHeight="true" outlineLevel="0" collapsed="false">
      <c r="A14" s="62" t="s">
        <v>331</v>
      </c>
      <c r="B14" s="66" t="n">
        <f aca="false">B9*Scenario_Control!$B$19*365*Scenario_Control!$B$17/1000</f>
        <v>0</v>
      </c>
      <c r="C14" s="66" t="n">
        <f aca="false">C9*Scenario_Control!$B$19*365*Scenario_Control!$B$17/1000</f>
        <v>579.474</v>
      </c>
      <c r="D14" s="66" t="n">
        <f aca="false">D9*Scenario_Control!$B$19*365*Scenario_Control!$B$17/1000</f>
        <v>1716.96</v>
      </c>
      <c r="E14" s="66" t="n">
        <f aca="false">E9*Scenario_Control!$B$19*365*Scenario_Control!$B$17/1000</f>
        <v>2832.984</v>
      </c>
      <c r="F14" s="66" t="n">
        <f aca="false">F9*Scenario_Control!$B$19*365*Scenario_Control!$B$17/1000</f>
        <v>4120.704</v>
      </c>
      <c r="G14" s="66" t="n">
        <f aca="false">G9*Scenario_Control!$B$19*365*Scenario_Control!$B$17/1000</f>
        <v>4034.856</v>
      </c>
      <c r="H14" s="66" t="n">
        <f aca="false">H9*Scenario_Control!$B$19*365*Scenario_Control!$B$17/1000</f>
        <v>4034.856</v>
      </c>
      <c r="I14" s="66" t="n">
        <f aca="false">I9*Scenario_Control!$B$19*365*Scenario_Control!$B$17/1000</f>
        <v>4034.856</v>
      </c>
      <c r="J14" s="66" t="n">
        <f aca="false">J9*Scenario_Control!$B$19*365*Scenario_Control!$B$17/1000</f>
        <v>4034.856</v>
      </c>
      <c r="K14" s="66" t="n">
        <f aca="false">K9*Scenario_Control!$B$19*365*Scenario_Control!$B$17/1000</f>
        <v>4034.856</v>
      </c>
    </row>
    <row r="15" customFormat="false" ht="15" hidden="false" customHeight="true" outlineLevel="0" collapsed="false">
      <c r="A15" s="62" t="s">
        <v>332</v>
      </c>
      <c r="B15" s="66" t="n">
        <f aca="false">B8*Scenario_Control!$B$19*365*Scenario_Control!$B$17/1000*Scenario_Control!$B$54</f>
        <v>0</v>
      </c>
      <c r="C15" s="66" t="n">
        <f aca="false">C8*Scenario_Control!$B$19*365*Scenario_Control!$B$17/1000*Scenario_Control!$B$54</f>
        <v>0</v>
      </c>
      <c r="D15" s="66" t="n">
        <f aca="false">D8*Scenario_Control!$B$19*365*Scenario_Control!$B$17/1000*Scenario_Control!$B$54</f>
        <v>0</v>
      </c>
      <c r="E15" s="66" t="n">
        <f aca="false">E8*Scenario_Control!$B$19*365*Scenario_Control!$B$17/1000*Scenario_Control!$B$54</f>
        <v>0</v>
      </c>
      <c r="F15" s="66" t="n">
        <f aca="false">F8*Scenario_Control!$B$19*365*Scenario_Control!$B$17/1000*Scenario_Control!$B$54</f>
        <v>0</v>
      </c>
      <c r="G15" s="66" t="n">
        <f aca="false">G8*Scenario_Control!$B$19*365*Scenario_Control!$B$17/1000*Scenario_Control!$B$54</f>
        <v>0</v>
      </c>
      <c r="H15" s="66" t="n">
        <f aca="false">H8*Scenario_Control!$B$19*365*Scenario_Control!$B$17/1000*Scenario_Control!$B$54</f>
        <v>0</v>
      </c>
      <c r="I15" s="66" t="n">
        <f aca="false">I8*Scenario_Control!$B$19*365*Scenario_Control!$B$17/1000*Scenario_Control!$B$54</f>
        <v>0</v>
      </c>
      <c r="J15" s="66" t="n">
        <f aca="false">J8*Scenario_Control!$B$19*365*Scenario_Control!$B$17/1000*Scenario_Control!$B$54</f>
        <v>0</v>
      </c>
      <c r="K15" s="66" t="n">
        <f aca="false">K8*Scenario_Control!$B$19*365*Scenario_Control!$B$17/1000*Scenario_Control!$B$54</f>
        <v>0</v>
      </c>
    </row>
    <row r="16" customFormat="false" ht="15" hidden="false" customHeight="true" outlineLevel="0" collapsed="false">
      <c r="A16" s="62" t="s">
        <v>333</v>
      </c>
      <c r="B16" s="67" t="n">
        <f aca="false">Scenario_Control!$B$20</f>
        <v>1.2</v>
      </c>
      <c r="C16" s="67" t="n">
        <f aca="false">Scenario_Control!$B$21</f>
        <v>0.8</v>
      </c>
      <c r="D16" s="67" t="n">
        <f aca="false">Scenario_Control!$B$22</f>
        <v>0.6</v>
      </c>
      <c r="E16" s="67" t="n">
        <f aca="false">Scenario_Control!$B$23</f>
        <v>0.5</v>
      </c>
      <c r="F16" s="67" t="n">
        <f aca="false">Scenario_Control!$B$23</f>
        <v>0.5</v>
      </c>
      <c r="G16" s="67" t="n">
        <f aca="false">Scenario_Control!$B$23</f>
        <v>0.5</v>
      </c>
      <c r="H16" s="67" t="n">
        <f aca="false">Scenario_Control!$B$23</f>
        <v>0.5</v>
      </c>
      <c r="I16" s="67" t="n">
        <f aca="false">Scenario_Control!$B$23</f>
        <v>0.5</v>
      </c>
      <c r="J16" s="67" t="n">
        <f aca="false">Scenario_Control!$B$23</f>
        <v>0.5</v>
      </c>
      <c r="K16" s="67" t="n">
        <f aca="false">Scenario_Control!$B$23</f>
        <v>0.5</v>
      </c>
    </row>
    <row r="17" customFormat="false" ht="15" hidden="false" customHeight="true" outlineLevel="0" collapsed="false">
      <c r="A17" s="62" t="s">
        <v>334</v>
      </c>
      <c r="B17" s="67" t="n">
        <f aca="false">B16+Scenario_Control!$B$24</f>
        <v>1.5</v>
      </c>
      <c r="C17" s="67" t="n">
        <f aca="false">C16+Scenario_Control!$B$24</f>
        <v>1.1</v>
      </c>
      <c r="D17" s="67" t="n">
        <f aca="false">D16+Scenario_Control!$B$24</f>
        <v>0.9</v>
      </c>
      <c r="E17" s="67" t="n">
        <f aca="false">E16+Scenario_Control!$B$24</f>
        <v>0.8</v>
      </c>
      <c r="F17" s="67" t="n">
        <f aca="false">F16+Scenario_Control!$B$24</f>
        <v>0.8</v>
      </c>
      <c r="G17" s="67" t="n">
        <f aca="false">G16+Scenario_Control!$B$24</f>
        <v>0.8</v>
      </c>
      <c r="H17" s="67" t="n">
        <f aca="false">H16+Scenario_Control!$B$24</f>
        <v>0.8</v>
      </c>
      <c r="I17" s="67" t="n">
        <f aca="false">I16+Scenario_Control!$B$24</f>
        <v>0.8</v>
      </c>
      <c r="J17" s="67" t="n">
        <f aca="false">J16+Scenario_Control!$B$24</f>
        <v>0.8</v>
      </c>
      <c r="K17" s="67" t="n">
        <f aca="false">K16+Scenario_Control!$B$24</f>
        <v>0.8</v>
      </c>
    </row>
    <row r="18" customFormat="false" ht="15" hidden="false" customHeight="true" outlineLevel="0" collapsed="false">
      <c r="A18" s="62" t="s">
        <v>335</v>
      </c>
      <c r="B18" s="67" t="n">
        <f aca="false">Scenario_Control!$B$25*(1+Scenario_Control!$B$26)^(B$3-2026)</f>
        <v>2.5</v>
      </c>
      <c r="C18" s="67" t="n">
        <f aca="false">Scenario_Control!$B$25*(1+Scenario_Control!$B$26)^(C$3-2026)</f>
        <v>2.55</v>
      </c>
      <c r="D18" s="67" t="n">
        <f aca="false">Scenario_Control!$B$25*(1+Scenario_Control!$B$26)^(D$3-2026)</f>
        <v>2.601</v>
      </c>
      <c r="E18" s="67" t="n">
        <f aca="false">Scenario_Control!$B$25*(1+Scenario_Control!$B$26)^(E$3-2026)</f>
        <v>2.65302</v>
      </c>
      <c r="F18" s="67" t="n">
        <f aca="false">Scenario_Control!$B$25*(1+Scenario_Control!$B$26)^(F$3-2026)</f>
        <v>2.7060804</v>
      </c>
      <c r="G18" s="67" t="n">
        <f aca="false">Scenario_Control!$B$25*(1+Scenario_Control!$B$26)^(G$3-2026)</f>
        <v>2.760202008</v>
      </c>
      <c r="H18" s="67" t="n">
        <f aca="false">Scenario_Control!$B$25*(1+Scenario_Control!$B$26)^(H$3-2026)</f>
        <v>2.81540604816</v>
      </c>
      <c r="I18" s="67" t="n">
        <f aca="false">Scenario_Control!$B$25*(1+Scenario_Control!$B$26)^(I$3-2026)</f>
        <v>2.8717141691232</v>
      </c>
      <c r="J18" s="67" t="n">
        <f aca="false">Scenario_Control!$B$25*(1+Scenario_Control!$B$26)^(J$3-2026)</f>
        <v>2.92914845250566</v>
      </c>
      <c r="K18" s="67" t="n">
        <f aca="false">Scenario_Control!$B$25*(1+Scenario_Control!$B$26)^(K$3-2026)</f>
        <v>2.98773142155578</v>
      </c>
    </row>
    <row r="19" customFormat="false" ht="15" hidden="false" customHeight="true" outlineLevel="0" collapsed="false">
      <c r="A19" s="62" t="s">
        <v>336</v>
      </c>
      <c r="B19" s="66" t="n">
        <f aca="false">B13*B16</f>
        <v>326.2224</v>
      </c>
      <c r="C19" s="66" t="n">
        <f aca="false">C13*C16</f>
        <v>6973.0038</v>
      </c>
      <c r="D19" s="66" t="n">
        <f aca="false">D13*D16</f>
        <v>7319.6151</v>
      </c>
      <c r="E19" s="66" t="n">
        <f aca="false">E13*E16</f>
        <v>6184.633</v>
      </c>
      <c r="F19" s="66" t="n">
        <f aca="false">F13*F16</f>
        <v>6184.633</v>
      </c>
      <c r="G19" s="66" t="n">
        <f aca="false">G13*G16</f>
        <v>5708.892</v>
      </c>
      <c r="H19" s="66" t="n">
        <f aca="false">H13*H16</f>
        <v>5708.892</v>
      </c>
      <c r="I19" s="66" t="n">
        <f aca="false">I13*I16</f>
        <v>5708.892</v>
      </c>
      <c r="J19" s="66" t="n">
        <f aca="false">J13*J16</f>
        <v>5708.892</v>
      </c>
      <c r="K19" s="66" t="n">
        <f aca="false">K13*K16</f>
        <v>5708.892</v>
      </c>
    </row>
    <row r="20" customFormat="false" ht="15" hidden="false" customHeight="true" outlineLevel="0" collapsed="false">
      <c r="A20" s="62" t="s">
        <v>337</v>
      </c>
      <c r="B20" s="66" t="n">
        <f aca="false">B14*B17</f>
        <v>0</v>
      </c>
      <c r="C20" s="66" t="n">
        <f aca="false">C14*C17</f>
        <v>637.4214</v>
      </c>
      <c r="D20" s="66" t="n">
        <f aca="false">D14*D17</f>
        <v>1545.264</v>
      </c>
      <c r="E20" s="66" t="n">
        <f aca="false">E14*E17</f>
        <v>2266.3872</v>
      </c>
      <c r="F20" s="66" t="n">
        <f aca="false">F14*F17</f>
        <v>3296.5632</v>
      </c>
      <c r="G20" s="66" t="n">
        <f aca="false">G14*G17</f>
        <v>3227.8848</v>
      </c>
      <c r="H20" s="66" t="n">
        <f aca="false">H14*H17</f>
        <v>3227.8848</v>
      </c>
      <c r="I20" s="66" t="n">
        <f aca="false">I14*I17</f>
        <v>3227.8848</v>
      </c>
      <c r="J20" s="66" t="n">
        <f aca="false">J14*J17</f>
        <v>3227.8848</v>
      </c>
      <c r="K20" s="66" t="n">
        <f aca="false">K14*K17</f>
        <v>3227.8848</v>
      </c>
    </row>
    <row r="21" customFormat="false" ht="15" hidden="false" customHeight="true" outlineLevel="0" collapsed="false">
      <c r="A21" s="62" t="s">
        <v>338</v>
      </c>
      <c r="B21" s="66" t="n">
        <f aca="false">B15*B17</f>
        <v>0</v>
      </c>
      <c r="C21" s="66" t="n">
        <f aca="false">C15*C17</f>
        <v>0</v>
      </c>
      <c r="D21" s="66" t="n">
        <f aca="false">D15*D17</f>
        <v>0</v>
      </c>
      <c r="E21" s="66" t="n">
        <f aca="false">E15*E17</f>
        <v>0</v>
      </c>
      <c r="F21" s="66" t="n">
        <f aca="false">F15*F17</f>
        <v>0</v>
      </c>
      <c r="G21" s="66" t="n">
        <f aca="false">G15*G17</f>
        <v>0</v>
      </c>
      <c r="H21" s="66" t="n">
        <f aca="false">H15*H17</f>
        <v>0</v>
      </c>
      <c r="I21" s="66" t="n">
        <f aca="false">I15*I17</f>
        <v>0</v>
      </c>
      <c r="J21" s="66" t="n">
        <f aca="false">J15*J17</f>
        <v>0</v>
      </c>
      <c r="K21" s="66" t="n">
        <f aca="false">K15*K17</f>
        <v>0</v>
      </c>
    </row>
    <row r="22" customFormat="false" ht="15" hidden="false" customHeight="true" outlineLevel="0" collapsed="false">
      <c r="A22" s="62" t="s">
        <v>339</v>
      </c>
      <c r="B22" s="66" t="n">
        <f aca="false">B14*B18</f>
        <v>0</v>
      </c>
      <c r="C22" s="66" t="n">
        <f aca="false">C14*C18</f>
        <v>1477.6587</v>
      </c>
      <c r="D22" s="66" t="n">
        <f aca="false">D14*D18</f>
        <v>4465.81296</v>
      </c>
      <c r="E22" s="66" t="n">
        <f aca="false">E14*E18</f>
        <v>7515.96321168</v>
      </c>
      <c r="F22" s="66" t="n">
        <f aca="false">F14*F18</f>
        <v>11150.9563286016</v>
      </c>
      <c r="G22" s="66" t="n">
        <f aca="false">G14*G18</f>
        <v>11137.0176331909</v>
      </c>
      <c r="H22" s="66" t="n">
        <f aca="false">H14*H18</f>
        <v>11359.7579858547</v>
      </c>
      <c r="I22" s="66" t="n">
        <f aca="false">I14*I18</f>
        <v>11586.9531455718</v>
      </c>
      <c r="J22" s="66" t="n">
        <f aca="false">J14*J18</f>
        <v>11818.6922084832</v>
      </c>
      <c r="K22" s="66" t="n">
        <f aca="false">K14*K18</f>
        <v>12055.0660526529</v>
      </c>
    </row>
    <row r="23" customFormat="false" ht="15" hidden="false" customHeight="true" outlineLevel="0" collapsed="false">
      <c r="A23" s="62" t="s">
        <v>340</v>
      </c>
      <c r="B23" s="66" t="n">
        <f aca="false">B22-B20</f>
        <v>0</v>
      </c>
      <c r="C23" s="66" t="n">
        <f aca="false">C22-C20</f>
        <v>840.2373</v>
      </c>
      <c r="D23" s="66" t="n">
        <f aca="false">D22-D20</f>
        <v>2920.54896</v>
      </c>
      <c r="E23" s="66" t="n">
        <f aca="false">E22-E20</f>
        <v>5249.57601168</v>
      </c>
      <c r="F23" s="66" t="n">
        <f aca="false">F22-F20</f>
        <v>7854.3931286016</v>
      </c>
      <c r="G23" s="66" t="n">
        <f aca="false">G22-G20</f>
        <v>7909.13283319085</v>
      </c>
      <c r="H23" s="66" t="n">
        <f aca="false">H22-H20</f>
        <v>8131.87318585467</v>
      </c>
      <c r="I23" s="66" t="n">
        <f aca="false">I22-I20</f>
        <v>8359.06834557176</v>
      </c>
      <c r="J23" s="66" t="n">
        <f aca="false">J22-J20</f>
        <v>8590.8074084832</v>
      </c>
      <c r="K23" s="66" t="n">
        <f aca="false">K22-K20</f>
        <v>8827.18125265286</v>
      </c>
    </row>
    <row r="24" customFormat="false" ht="15" hidden="false" customHeight="true" outlineLevel="0" collapsed="false">
      <c r="A24" s="62" t="s">
        <v>341</v>
      </c>
      <c r="B24" s="66" t="n">
        <f aca="false">MAX(0,Scenario_Control!$B$20-B16)*B13</f>
        <v>0</v>
      </c>
      <c r="C24" s="66" t="n">
        <f aca="false">MAX(0,Scenario_Control!$B$20-C16)*C13</f>
        <v>3486.5019</v>
      </c>
      <c r="D24" s="66" t="n">
        <f aca="false">MAX(0,Scenario_Control!$B$20-D16)*D13</f>
        <v>7319.6151</v>
      </c>
      <c r="E24" s="66" t="n">
        <f aca="false">MAX(0,Scenario_Control!$B$20-E16)*E13</f>
        <v>8658.4862</v>
      </c>
      <c r="F24" s="66" t="n">
        <f aca="false">MAX(0,Scenario_Control!$B$20-F16)*F13</f>
        <v>8658.4862</v>
      </c>
      <c r="G24" s="66" t="n">
        <f aca="false">MAX(0,Scenario_Control!$B$20-G16)*G13</f>
        <v>7992.4488</v>
      </c>
      <c r="H24" s="66" t="n">
        <f aca="false">MAX(0,Scenario_Control!$B$20-H16)*H13</f>
        <v>7992.4488</v>
      </c>
      <c r="I24" s="66" t="n">
        <f aca="false">MAX(0,Scenario_Control!$B$20-I16)*I13</f>
        <v>7992.4488</v>
      </c>
      <c r="J24" s="66" t="n">
        <f aca="false">MAX(0,Scenario_Control!$B$20-J16)*J13</f>
        <v>7992.4488</v>
      </c>
      <c r="K24" s="66" t="n">
        <f aca="false">MAX(0,Scenario_Control!$B$20-K16)*K13</f>
        <v>7992.4488</v>
      </c>
    </row>
  </sheetData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34"/>
    <col collapsed="false" customWidth="true" hidden="false" outlineLevel="0" max="11" min="2" style="1" width="13"/>
  </cols>
  <sheetData>
    <row r="1" customFormat="false" ht="42" hidden="false" customHeight="true" outlineLevel="0" collapsed="false">
      <c r="A1" s="40" t="s">
        <v>342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3</v>
      </c>
      <c r="B3" s="9" t="s">
        <v>226</v>
      </c>
      <c r="C3" s="9" t="s">
        <v>227</v>
      </c>
      <c r="D3" s="9" t="s">
        <v>92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232</v>
      </c>
      <c r="J3" s="9" t="s">
        <v>233</v>
      </c>
      <c r="K3" s="9" t="s">
        <v>234</v>
      </c>
    </row>
    <row r="4" customFormat="false" ht="15" hidden="false" customHeight="true" outlineLevel="0" collapsed="false">
      <c r="A4" s="62" t="s">
        <v>343</v>
      </c>
      <c r="B4" s="58" t="n">
        <f aca="false">Scenario_Control!$B$12*(1+Scenario_Control!$B$13)^(B$3-2026)</f>
        <v>75000</v>
      </c>
      <c r="C4" s="58" t="n">
        <f aca="false">Scenario_Control!$B$12*(1+Scenario_Control!$B$13)^(C$3-2026)</f>
        <v>84000</v>
      </c>
      <c r="D4" s="58" t="n">
        <f aca="false">Scenario_Control!$B$12*(1+Scenario_Control!$B$13)^(D$3-2026)</f>
        <v>94080</v>
      </c>
      <c r="E4" s="58" t="n">
        <f aca="false">Scenario_Control!$B$12*(1+Scenario_Control!$B$13)^(E$3-2026)</f>
        <v>105369.6</v>
      </c>
      <c r="F4" s="58" t="n">
        <f aca="false">Scenario_Control!$B$12*(1+Scenario_Control!$B$13)^(F$3-2026)</f>
        <v>118013.952</v>
      </c>
      <c r="G4" s="58" t="n">
        <f aca="false">Scenario_Control!$B$12*(1+Scenario_Control!$B$13)^(G$3-2026)</f>
        <v>132175.62624</v>
      </c>
      <c r="H4" s="58" t="n">
        <f aca="false">Scenario_Control!$B$12*(1+Scenario_Control!$B$13)^(H$3-2026)</f>
        <v>148036.7013888</v>
      </c>
      <c r="I4" s="58" t="n">
        <f aca="false">Scenario_Control!$B$12*(1+Scenario_Control!$B$13)^(I$3-2026)</f>
        <v>165801.105555456</v>
      </c>
      <c r="J4" s="58" t="n">
        <f aca="false">Scenario_Control!$B$12*(1+Scenario_Control!$B$13)^(J$3-2026)</f>
        <v>185697.238222111</v>
      </c>
      <c r="K4" s="58" t="n">
        <f aca="false">Scenario_Control!$B$12*(1+Scenario_Control!$B$13)^(K$3-2026)</f>
        <v>207980.906808764</v>
      </c>
    </row>
    <row r="5" customFormat="false" ht="15" hidden="false" customHeight="true" outlineLevel="0" collapsed="false">
      <c r="A5" s="62" t="s">
        <v>344</v>
      </c>
      <c r="B5" s="58" t="n">
        <f aca="false">900000000*(1+Scenario_Control!$B$14)^(B$3-2026)</f>
        <v>900000000</v>
      </c>
      <c r="C5" s="58" t="n">
        <f aca="false">900000000*(1+Scenario_Control!$B$14)^(C$3-2026)</f>
        <v>1008000000</v>
      </c>
      <c r="D5" s="58" t="n">
        <f aca="false">900000000*(1+Scenario_Control!$B$14)^(D$3-2026)</f>
        <v>1128960000</v>
      </c>
      <c r="E5" s="58" t="n">
        <f aca="false">900000000*(1+Scenario_Control!$B$14)^(E$3-2026)</f>
        <v>1264435200</v>
      </c>
      <c r="F5" s="58" t="n">
        <f aca="false">900000000*(1+Scenario_Control!$B$14)^(F$3-2026)</f>
        <v>1416167424</v>
      </c>
      <c r="G5" s="58" t="n">
        <f aca="false">900000000*(1+Scenario_Control!$B$14)^(G$3-2026)</f>
        <v>1586107514.88</v>
      </c>
      <c r="H5" s="58" t="n">
        <f aca="false">900000000*(1+Scenario_Control!$B$14)^(H$3-2026)</f>
        <v>1776440416.6656</v>
      </c>
      <c r="I5" s="58" t="n">
        <f aca="false">900000000*(1+Scenario_Control!$B$14)^(I$3-2026)</f>
        <v>1989613266.66547</v>
      </c>
      <c r="J5" s="58" t="n">
        <f aca="false">900000000*(1+Scenario_Control!$B$14)^(J$3-2026)</f>
        <v>2228366858.66533</v>
      </c>
      <c r="K5" s="58" t="n">
        <f aca="false">900000000*(1+Scenario_Control!$B$14)^(K$3-2026)</f>
        <v>2495770881.70517</v>
      </c>
    </row>
    <row r="6" customFormat="false" ht="15" hidden="false" customHeight="true" outlineLevel="0" collapsed="false">
      <c r="A6" s="62" t="s">
        <v>345</v>
      </c>
      <c r="B6" s="68" t="n">
        <f aca="false">3.125</f>
        <v>3.125</v>
      </c>
      <c r="C6" s="68" t="n">
        <f aca="false">3.125</f>
        <v>3.125</v>
      </c>
      <c r="D6" s="68" t="n">
        <f aca="false">1.5625</f>
        <v>1.5625</v>
      </c>
      <c r="E6" s="68" t="n">
        <f aca="false">1.5625</f>
        <v>1.5625</v>
      </c>
      <c r="F6" s="68" t="n">
        <f aca="false">1.5625</f>
        <v>1.5625</v>
      </c>
      <c r="G6" s="68" t="n">
        <f aca="false">1.5625</f>
        <v>1.5625</v>
      </c>
      <c r="H6" s="68" t="n">
        <f aca="false">0.78125</f>
        <v>0.78125</v>
      </c>
      <c r="I6" s="68" t="n">
        <f aca="false">0.78125</f>
        <v>0.78125</v>
      </c>
      <c r="J6" s="68" t="n">
        <f aca="false">0.78125</f>
        <v>0.78125</v>
      </c>
      <c r="K6" s="68" t="n">
        <f aca="false">0.78125</f>
        <v>0.78125</v>
      </c>
    </row>
    <row r="7" customFormat="false" ht="15" hidden="false" customHeight="true" outlineLevel="0" collapsed="false">
      <c r="A7" s="62" t="s">
        <v>346</v>
      </c>
      <c r="B7" s="65" t="n">
        <f aca="false">MIN(1,Scenario_Control!$B$15+Scenario_Control!$B$16*(B$3-2026))</f>
        <v>0.15</v>
      </c>
      <c r="C7" s="65" t="n">
        <f aca="false">MIN(1,Scenario_Control!$B$15+Scenario_Control!$B$16*(C$3-2026))</f>
        <v>0.225</v>
      </c>
      <c r="D7" s="65" t="n">
        <f aca="false">MIN(1,Scenario_Control!$B$15+Scenario_Control!$B$16*(D$3-2026))</f>
        <v>0.3</v>
      </c>
      <c r="E7" s="65" t="n">
        <f aca="false">MIN(1,Scenario_Control!$B$15+Scenario_Control!$B$16*(E$3-2026))</f>
        <v>0.375</v>
      </c>
      <c r="F7" s="65" t="n">
        <f aca="false">MIN(1,Scenario_Control!$B$15+Scenario_Control!$B$16*(F$3-2026))</f>
        <v>0.45</v>
      </c>
      <c r="G7" s="65" t="n">
        <f aca="false">MIN(1,Scenario_Control!$B$15+Scenario_Control!$B$16*(G$3-2026))</f>
        <v>0.525</v>
      </c>
      <c r="H7" s="65" t="n">
        <f aca="false">MIN(1,Scenario_Control!$B$15+Scenario_Control!$B$16*(H$3-2026))</f>
        <v>0.6</v>
      </c>
      <c r="I7" s="65" t="n">
        <f aca="false">MIN(1,Scenario_Control!$B$15+Scenario_Control!$B$16*(I$3-2026))</f>
        <v>0.675</v>
      </c>
      <c r="J7" s="65" t="n">
        <f aca="false">MIN(1,Scenario_Control!$B$15+Scenario_Control!$B$16*(J$3-2026))</f>
        <v>0.75</v>
      </c>
      <c r="K7" s="65" t="n">
        <f aca="false">MIN(1,Scenario_Control!$B$15+Scenario_Control!$B$16*(K$3-2026))</f>
        <v>0.825</v>
      </c>
    </row>
    <row r="8" customFormat="false" ht="15" hidden="false" customHeight="true" outlineLevel="0" collapsed="false">
      <c r="A8" s="62" t="s">
        <v>347</v>
      </c>
      <c r="B8" s="68" t="n">
        <f aca="false">B6*(1+B7)</f>
        <v>3.59375</v>
      </c>
      <c r="C8" s="68" t="n">
        <f aca="false">C6*(1+C7)</f>
        <v>3.828125</v>
      </c>
      <c r="D8" s="68" t="n">
        <f aca="false">D6*(1+D7)</f>
        <v>2.03125</v>
      </c>
      <c r="E8" s="68" t="n">
        <f aca="false">E6*(1+E7)</f>
        <v>2.1484375</v>
      </c>
      <c r="F8" s="68" t="n">
        <f aca="false">F6*(1+F7)</f>
        <v>2.265625</v>
      </c>
      <c r="G8" s="68" t="n">
        <f aca="false">G6*(1+G7)</f>
        <v>2.3828125</v>
      </c>
      <c r="H8" s="68" t="n">
        <f aca="false">H6*(1+H7)</f>
        <v>1.25</v>
      </c>
      <c r="I8" s="68" t="n">
        <f aca="false">I6*(1+I7)</f>
        <v>1.30859375</v>
      </c>
      <c r="J8" s="68" t="n">
        <f aca="false">J6*(1+J7)</f>
        <v>1.3671875</v>
      </c>
      <c r="K8" s="68" t="n">
        <f aca="false">K6*(1+K7)</f>
        <v>1.42578125</v>
      </c>
    </row>
    <row r="9" customFormat="false" ht="15" hidden="false" customHeight="true" outlineLevel="0" collapsed="false">
      <c r="A9" s="62" t="s">
        <v>348</v>
      </c>
      <c r="B9" s="66" t="n">
        <f aca="false">B8*144*365</f>
        <v>188887.5</v>
      </c>
      <c r="C9" s="66" t="n">
        <f aca="false">C8*144*365</f>
        <v>201206.25</v>
      </c>
      <c r="D9" s="66" t="n">
        <f aca="false">D8*144*365</f>
        <v>106762.5</v>
      </c>
      <c r="E9" s="66" t="n">
        <f aca="false">E8*144*365</f>
        <v>112921.875</v>
      </c>
      <c r="F9" s="66" t="n">
        <f aca="false">F8*144*365</f>
        <v>119081.25</v>
      </c>
      <c r="G9" s="66" t="n">
        <f aca="false">G8*144*365</f>
        <v>125240.625</v>
      </c>
      <c r="H9" s="66" t="n">
        <f aca="false">H8*144*365</f>
        <v>65700</v>
      </c>
      <c r="I9" s="66" t="n">
        <f aca="false">I8*144*365</f>
        <v>68779.6875</v>
      </c>
      <c r="J9" s="66" t="n">
        <f aca="false">J8*144*365</f>
        <v>71859.375</v>
      </c>
      <c r="K9" s="66" t="n">
        <f aca="false">K8*144*365</f>
        <v>74939.0625</v>
      </c>
    </row>
    <row r="10" customFormat="false" ht="15" hidden="false" customHeight="true" outlineLevel="0" collapsed="false">
      <c r="A10" s="62" t="s">
        <v>349</v>
      </c>
      <c r="B10" s="58" t="n">
        <f aca="false">Load_Tariff!B11</f>
        <v>40</v>
      </c>
      <c r="C10" s="58" t="n">
        <f aca="false">Load_Tariff!C11</f>
        <v>1282.5</v>
      </c>
      <c r="D10" s="58" t="n">
        <f aca="false">Load_Tariff!D11</f>
        <v>1795</v>
      </c>
      <c r="E10" s="58" t="n">
        <f aca="false">Load_Tariff!E11</f>
        <v>1820</v>
      </c>
      <c r="F10" s="58" t="n">
        <f aca="false">Load_Tariff!F11</f>
        <v>1820</v>
      </c>
      <c r="G10" s="58" t="n">
        <f aca="false">Load_Tariff!G11</f>
        <v>1680</v>
      </c>
      <c r="H10" s="58" t="n">
        <f aca="false">Load_Tariff!H11</f>
        <v>1680</v>
      </c>
      <c r="I10" s="58" t="n">
        <f aca="false">Load_Tariff!I11</f>
        <v>1680</v>
      </c>
      <c r="J10" s="58" t="n">
        <f aca="false">Load_Tariff!J11</f>
        <v>1680</v>
      </c>
      <c r="K10" s="58" t="n">
        <f aca="false">Load_Tariff!K11</f>
        <v>1680</v>
      </c>
    </row>
    <row r="11" customFormat="false" ht="15" hidden="false" customHeight="true" outlineLevel="0" collapsed="false">
      <c r="A11" s="62" t="s">
        <v>350</v>
      </c>
      <c r="B11" s="58" t="n">
        <f aca="false">B10/(1+Scenario_Control!$B$34)*1000000/(Scenario_Control!$B$32*Scenario_Control!$B$33)*Scenario_Control!$B$32*(Scenario_Control!$B$18/24)*Scenario_Control!$B$17</f>
        <v>2364444.44444444</v>
      </c>
      <c r="C11" s="58" t="n">
        <f aca="false">C10/(1+Scenario_Control!$B$34)*1000000/(Scenario_Control!$B$32*Scenario_Control!$B$33)*Scenario_Control!$B$32*(Scenario_Control!$B$18/24)*Scenario_Control!$B$17</f>
        <v>75810000</v>
      </c>
      <c r="D11" s="58" t="n">
        <f aca="false">D10/(1+Scenario_Control!$B$34)*1000000/(Scenario_Control!$B$32*Scenario_Control!$B$33)*Scenario_Control!$B$32*(Scenario_Control!$B$18/24)*Scenario_Control!$B$17</f>
        <v>106104444.444444</v>
      </c>
      <c r="E11" s="58" t="n">
        <f aca="false">E10/(1+Scenario_Control!$B$34)*1000000/(Scenario_Control!$B$32*Scenario_Control!$B$33)*Scenario_Control!$B$32*(Scenario_Control!$B$18/24)*Scenario_Control!$B$17</f>
        <v>107582222.222222</v>
      </c>
      <c r="F11" s="58" t="n">
        <f aca="false">F10/(1+Scenario_Control!$B$34)*1000000/(Scenario_Control!$B$32*Scenario_Control!$B$33)*Scenario_Control!$B$32*(Scenario_Control!$B$18/24)*Scenario_Control!$B$17</f>
        <v>107582222.222222</v>
      </c>
      <c r="G11" s="58" t="n">
        <f aca="false">G10/(1+Scenario_Control!$B$34)*1000000/(Scenario_Control!$B$32*Scenario_Control!$B$33)*Scenario_Control!$B$32*(Scenario_Control!$B$18/24)*Scenario_Control!$B$17</f>
        <v>99306666.6666667</v>
      </c>
      <c r="H11" s="58" t="n">
        <f aca="false">H10/(1+Scenario_Control!$B$34)*1000000/(Scenario_Control!$B$32*Scenario_Control!$B$33)*Scenario_Control!$B$32*(Scenario_Control!$B$18/24)*Scenario_Control!$B$17</f>
        <v>99306666.6666667</v>
      </c>
      <c r="I11" s="58" t="n">
        <f aca="false">I10/(1+Scenario_Control!$B$34)*1000000/(Scenario_Control!$B$32*Scenario_Control!$B$33)*Scenario_Control!$B$32*(Scenario_Control!$B$18/24)*Scenario_Control!$B$17</f>
        <v>99306666.6666667</v>
      </c>
      <c r="J11" s="58" t="n">
        <f aca="false">J10/(1+Scenario_Control!$B$34)*1000000/(Scenario_Control!$B$32*Scenario_Control!$B$33)*Scenario_Control!$B$32*(Scenario_Control!$B$18/24)*Scenario_Control!$B$17</f>
        <v>99306666.6666667</v>
      </c>
      <c r="K11" s="58" t="n">
        <f aca="false">K10/(1+Scenario_Control!$B$34)*1000000/(Scenario_Control!$B$32*Scenario_Control!$B$33)*Scenario_Control!$B$32*(Scenario_Control!$B$18/24)*Scenario_Control!$B$17</f>
        <v>99306666.6666667</v>
      </c>
    </row>
    <row r="12" customFormat="false" ht="15" hidden="false" customHeight="true" outlineLevel="0" collapsed="false">
      <c r="A12" s="62" t="s">
        <v>351</v>
      </c>
      <c r="B12" s="66" t="n">
        <f aca="false">B11/B5*B9</f>
        <v>496.237777777778</v>
      </c>
      <c r="C12" s="66" t="n">
        <f aca="false">C11/C5*C9</f>
        <v>15132.38671875</v>
      </c>
      <c r="D12" s="66" t="n">
        <f aca="false">D11/D5*D9</f>
        <v>10033.992125496</v>
      </c>
      <c r="E12" s="66" t="n">
        <f aca="false">E11/E5*E9</f>
        <v>9607.75708395337</v>
      </c>
      <c r="F12" s="66" t="n">
        <f aca="false">F11/F5*F9</f>
        <v>9046.26478683921</v>
      </c>
      <c r="G12" s="66" t="n">
        <f aca="false">G11/G5*G9</f>
        <v>7841.35305035798</v>
      </c>
      <c r="H12" s="66" t="n">
        <f aca="false">H11/H5*H9</f>
        <v>3672.76489478125</v>
      </c>
      <c r="I12" s="66" t="n">
        <f aca="false">I11/I5*I9</f>
        <v>3432.96941895011</v>
      </c>
      <c r="J12" s="66" t="n">
        <f aca="false">J11/J5*J9</f>
        <v>3202.39684603555</v>
      </c>
      <c r="K12" s="66" t="n">
        <f aca="false">K11/K5*K9</f>
        <v>2981.82359388514</v>
      </c>
    </row>
    <row r="13" customFormat="false" ht="15" hidden="false" customHeight="true" outlineLevel="0" collapsed="false">
      <c r="A13" s="62" t="s">
        <v>352</v>
      </c>
      <c r="B13" s="66" t="n">
        <f aca="false">B12*B4*Scenario_Control!$B$8/1000000</f>
        <v>632.703166666667</v>
      </c>
      <c r="C13" s="66" t="n">
        <f aca="false">C12*C4*Scenario_Control!$B$8/1000000</f>
        <v>21609.048234375</v>
      </c>
      <c r="D13" s="66" t="n">
        <f aca="false">D12*D4*Scenario_Control!$B$8/1000000</f>
        <v>16047.9656458333</v>
      </c>
      <c r="E13" s="66" t="n">
        <f aca="false">E12*E4*Scenario_Control!$B$8/1000000</f>
        <v>17210.2138541667</v>
      </c>
      <c r="F13" s="66" t="n">
        <f aca="false">F12*F4*Scenario_Control!$B$8/1000000</f>
        <v>18148.9527916667</v>
      </c>
      <c r="G13" s="66" t="n">
        <f aca="false">G12*G4*Scenario_Control!$B$8/1000000</f>
        <v>17619.40775</v>
      </c>
      <c r="H13" s="66" t="n">
        <f aca="false">H12*H4*Scenario_Control!$B$8/1000000</f>
        <v>9242.968</v>
      </c>
      <c r="I13" s="66" t="n">
        <f aca="false">I12*I4*Scenario_Control!$B$8/1000000</f>
        <v>9676.232125</v>
      </c>
      <c r="J13" s="66" t="n">
        <f aca="false">J12*J4*Scenario_Control!$B$8/1000000</f>
        <v>10109.49625</v>
      </c>
      <c r="K13" s="66" t="n">
        <f aca="false">K12*K4*Scenario_Control!$B$8/1000000</f>
        <v>10542.760375</v>
      </c>
    </row>
  </sheetData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40"/>
    <col collapsed="false" customWidth="true" hidden="false" outlineLevel="0" max="11" min="2" style="1" width="15"/>
  </cols>
  <sheetData>
    <row r="1" customFormat="false" ht="42" hidden="false" customHeight="true" outlineLevel="0" collapsed="false">
      <c r="A1" s="40" t="s">
        <v>353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354</v>
      </c>
      <c r="B3" s="9" t="s">
        <v>226</v>
      </c>
      <c r="C3" s="9" t="s">
        <v>227</v>
      </c>
      <c r="D3" s="9" t="s">
        <v>92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232</v>
      </c>
      <c r="J3" s="9" t="s">
        <v>233</v>
      </c>
      <c r="K3" s="9" t="s">
        <v>234</v>
      </c>
    </row>
    <row r="4" customFormat="false" ht="15" hidden="false" customHeight="true" outlineLevel="0" collapsed="false">
      <c r="A4" s="62" t="s">
        <v>355</v>
      </c>
      <c r="B4" s="58" t="n">
        <f aca="false">Load_Tariff!B11</f>
        <v>40</v>
      </c>
      <c r="C4" s="58" t="n">
        <f aca="false">Load_Tariff!C11</f>
        <v>1282.5</v>
      </c>
      <c r="D4" s="58" t="n">
        <f aca="false">Load_Tariff!D11</f>
        <v>1795</v>
      </c>
      <c r="E4" s="58" t="n">
        <f aca="false">Load_Tariff!E11</f>
        <v>1820</v>
      </c>
      <c r="F4" s="58" t="n">
        <f aca="false">Load_Tariff!F11</f>
        <v>1820</v>
      </c>
      <c r="G4" s="58" t="n">
        <f aca="false">Load_Tariff!G11</f>
        <v>1680</v>
      </c>
      <c r="H4" s="58" t="n">
        <f aca="false">Load_Tariff!H11</f>
        <v>1680</v>
      </c>
      <c r="I4" s="58" t="n">
        <f aca="false">Load_Tariff!I11</f>
        <v>1680</v>
      </c>
      <c r="J4" s="58" t="n">
        <f aca="false">Load_Tariff!J11</f>
        <v>1680</v>
      </c>
      <c r="K4" s="58" t="n">
        <f aca="false">Load_Tariff!K11</f>
        <v>1680</v>
      </c>
    </row>
    <row r="5" customFormat="false" ht="15" hidden="false" customHeight="true" outlineLevel="0" collapsed="false">
      <c r="A5" s="62" t="s">
        <v>356</v>
      </c>
      <c r="B5" s="58" t="n">
        <f aca="false">MAX(0,B4-0)</f>
        <v>40</v>
      </c>
      <c r="C5" s="58" t="n">
        <f aca="false">MAX(0,C4-B4)</f>
        <v>1242.5</v>
      </c>
      <c r="D5" s="58" t="n">
        <f aca="false">MAX(0,D4-C4)</f>
        <v>512.5</v>
      </c>
      <c r="E5" s="58" t="n">
        <f aca="false">MAX(0,E4-D4)</f>
        <v>25</v>
      </c>
      <c r="F5" s="58" t="n">
        <f aca="false">MAX(0,F4-E4)</f>
        <v>0</v>
      </c>
      <c r="G5" s="58" t="n">
        <f aca="false">MAX(0,G4-F4)</f>
        <v>0</v>
      </c>
      <c r="H5" s="58" t="n">
        <f aca="false">MAX(0,H4-G4)</f>
        <v>0</v>
      </c>
      <c r="I5" s="58" t="n">
        <f aca="false">MAX(0,I4-H4)</f>
        <v>0</v>
      </c>
      <c r="J5" s="58" t="n">
        <f aca="false">MAX(0,J4-I4)</f>
        <v>0</v>
      </c>
      <c r="K5" s="58" t="n">
        <f aca="false">MAX(0,K4-J4)</f>
        <v>0</v>
      </c>
    </row>
    <row r="6" customFormat="false" ht="15" hidden="false" customHeight="true" outlineLevel="0" collapsed="false">
      <c r="A6" s="62" t="s">
        <v>357</v>
      </c>
      <c r="B6" s="66" t="n">
        <f aca="false">B4*1000*Scenario_Control!$B$28*12/1000000</f>
        <v>38.4</v>
      </c>
      <c r="C6" s="66" t="n">
        <f aca="false">C4*1000*Scenario_Control!$B$28*12/1000000</f>
        <v>1231.2</v>
      </c>
      <c r="D6" s="66" t="n">
        <f aca="false">D4*1000*Scenario_Control!$B$28*12/1000000</f>
        <v>1723.2</v>
      </c>
      <c r="E6" s="66" t="n">
        <f aca="false">E4*1000*Scenario_Control!$B$28*12/1000000</f>
        <v>1747.2</v>
      </c>
      <c r="F6" s="66" t="n">
        <f aca="false">F4*1000*Scenario_Control!$B$28*12/1000000</f>
        <v>1747.2</v>
      </c>
      <c r="G6" s="66" t="n">
        <f aca="false">G4*1000*Scenario_Control!$B$28*12/1000000</f>
        <v>1612.8</v>
      </c>
      <c r="H6" s="66" t="n">
        <f aca="false">H4*1000*Scenario_Control!$B$28*12/1000000</f>
        <v>1612.8</v>
      </c>
      <c r="I6" s="66" t="n">
        <f aca="false">I4*1000*Scenario_Control!$B$28*12/1000000</f>
        <v>1612.8</v>
      </c>
      <c r="J6" s="66" t="n">
        <f aca="false">J4*1000*Scenario_Control!$B$28*12/1000000</f>
        <v>1612.8</v>
      </c>
      <c r="K6" s="66" t="n">
        <f aca="false">K4*1000*Scenario_Control!$B$28*12/1000000</f>
        <v>1612.8</v>
      </c>
    </row>
    <row r="7" customFormat="false" ht="15" hidden="false" customHeight="true" outlineLevel="0" collapsed="false">
      <c r="A7" s="62" t="s">
        <v>358</v>
      </c>
      <c r="B7" s="66" t="n">
        <f aca="false">B5*Scenario_Control!$B$29/2</f>
        <v>60</v>
      </c>
      <c r="C7" s="66" t="n">
        <f aca="false">C5*Scenario_Control!$B$29/2+B5*Scenario_Control!$B$29/2</f>
        <v>1923.75</v>
      </c>
      <c r="D7" s="66" t="n">
        <f aca="false">D5*Scenario_Control!$B$29/2+C5*Scenario_Control!$B$29/2</f>
        <v>2632.5</v>
      </c>
      <c r="E7" s="66" t="n">
        <f aca="false">E5*Scenario_Control!$B$29/2+D5*Scenario_Control!$B$29/2</f>
        <v>806.25</v>
      </c>
      <c r="F7" s="66" t="n">
        <f aca="false">F5*Scenario_Control!$B$29/2+E5*Scenario_Control!$B$29/2</f>
        <v>37.5</v>
      </c>
      <c r="G7" s="66" t="n">
        <f aca="false">G5*Scenario_Control!$B$29/2+F5*Scenario_Control!$B$29/2</f>
        <v>0</v>
      </c>
      <c r="H7" s="66" t="n">
        <f aca="false">H5*Scenario_Control!$B$29/2+G5*Scenario_Control!$B$29/2</f>
        <v>0</v>
      </c>
      <c r="I7" s="66" t="n">
        <f aca="false">I5*Scenario_Control!$B$29/2+H5*Scenario_Control!$B$29/2</f>
        <v>0</v>
      </c>
      <c r="J7" s="66" t="n">
        <f aca="false">J5*Scenario_Control!$B$29/2+I5*Scenario_Control!$B$29/2</f>
        <v>0</v>
      </c>
      <c r="K7" s="66" t="n">
        <f aca="false">K5*Scenario_Control!$B$29/2+J5*Scenario_Control!$B$29/2</f>
        <v>0</v>
      </c>
    </row>
    <row r="8" customFormat="false" ht="15" hidden="false" customHeight="true" outlineLevel="0" collapsed="false">
      <c r="A8" s="62" t="s">
        <v>359</v>
      </c>
      <c r="B8" s="66" t="n">
        <f aca="false">B4*Scenario_Control!$B$31*Scenario_Control!$B$30/1000</f>
        <v>2</v>
      </c>
      <c r="C8" s="66" t="n">
        <f aca="false">C4*Scenario_Control!$B$31*Scenario_Control!$B$30/1000</f>
        <v>64.125</v>
      </c>
      <c r="D8" s="66" t="n">
        <f aca="false">D4*Scenario_Control!$B$31*Scenario_Control!$B$30/1000</f>
        <v>89.75</v>
      </c>
      <c r="E8" s="66" t="n">
        <f aca="false">E4*Scenario_Control!$B$31*Scenario_Control!$B$30/1000</f>
        <v>91</v>
      </c>
      <c r="F8" s="66" t="n">
        <f aca="false">F4*Scenario_Control!$B$31*Scenario_Control!$B$30/1000</f>
        <v>91</v>
      </c>
      <c r="G8" s="66" t="n">
        <f aca="false">G4*Scenario_Control!$B$31*Scenario_Control!$B$30/1000</f>
        <v>84</v>
      </c>
      <c r="H8" s="66" t="n">
        <f aca="false">H4*Scenario_Control!$B$31*Scenario_Control!$B$30/1000</f>
        <v>84</v>
      </c>
      <c r="I8" s="66" t="n">
        <f aca="false">I4*Scenario_Control!$B$31*Scenario_Control!$B$30/1000</f>
        <v>84</v>
      </c>
      <c r="J8" s="66" t="n">
        <f aca="false">J4*Scenario_Control!$B$31*Scenario_Control!$B$30/1000</f>
        <v>84</v>
      </c>
      <c r="K8" s="66" t="n">
        <f aca="false">K4*Scenario_Control!$B$31*Scenario_Control!$B$30/1000</f>
        <v>84</v>
      </c>
    </row>
    <row r="9" customFormat="false" ht="15" hidden="false" customHeight="true" outlineLevel="0" collapsed="false">
      <c r="A9" s="62" t="s">
        <v>360</v>
      </c>
      <c r="B9" s="66" t="n">
        <f aca="false">SUM(B6:B8)</f>
        <v>100.4</v>
      </c>
      <c r="C9" s="66" t="n">
        <f aca="false">SUM(C6:C8)</f>
        <v>3219.075</v>
      </c>
      <c r="D9" s="66" t="n">
        <f aca="false">SUM(D6:D8)</f>
        <v>4445.45</v>
      </c>
      <c r="E9" s="66" t="n">
        <f aca="false">SUM(E6:E8)</f>
        <v>2644.45</v>
      </c>
      <c r="F9" s="66" t="n">
        <f aca="false">SUM(F6:F8)</f>
        <v>1875.7</v>
      </c>
      <c r="G9" s="66" t="n">
        <f aca="false">SUM(G6:G8)</f>
        <v>1696.8</v>
      </c>
      <c r="H9" s="66" t="n">
        <f aca="false">SUM(H6:H8)</f>
        <v>1696.8</v>
      </c>
      <c r="I9" s="66" t="n">
        <f aca="false">SUM(I6:I8)</f>
        <v>1696.8</v>
      </c>
      <c r="J9" s="66" t="n">
        <f aca="false">SUM(J6:J8)</f>
        <v>1696.8</v>
      </c>
      <c r="K9" s="66" t="n">
        <f aca="false">SUM(K6:K8)</f>
        <v>1696.8</v>
      </c>
    </row>
    <row r="10" customFormat="false" ht="15" hidden="false" customHeight="true" outlineLevel="0" collapsed="false">
      <c r="A10" s="62" t="s">
        <v>361</v>
      </c>
      <c r="B10" s="66" t="n">
        <f aca="false">Load_Tariff!B24</f>
        <v>0</v>
      </c>
      <c r="C10" s="66" t="n">
        <f aca="false">Load_Tariff!C24</f>
        <v>3486.5019</v>
      </c>
      <c r="D10" s="66" t="n">
        <f aca="false">Load_Tariff!D24</f>
        <v>7319.6151</v>
      </c>
      <c r="E10" s="66" t="n">
        <f aca="false">Load_Tariff!E24</f>
        <v>8658.4862</v>
      </c>
      <c r="F10" s="66" t="n">
        <f aca="false">Load_Tariff!F24</f>
        <v>8658.4862</v>
      </c>
      <c r="G10" s="66" t="n">
        <f aca="false">Load_Tariff!G24</f>
        <v>7992.4488</v>
      </c>
      <c r="H10" s="66" t="n">
        <f aca="false">Load_Tariff!H24</f>
        <v>7992.4488</v>
      </c>
      <c r="I10" s="66" t="n">
        <f aca="false">Load_Tariff!I24</f>
        <v>7992.4488</v>
      </c>
      <c r="J10" s="66" t="n">
        <f aca="false">Load_Tariff!J24</f>
        <v>7992.4488</v>
      </c>
      <c r="K10" s="66" t="n">
        <f aca="false">Load_Tariff!K24</f>
        <v>7992.4488</v>
      </c>
    </row>
    <row r="11" customFormat="false" ht="15" hidden="false" customHeight="true" outlineLevel="0" collapsed="false">
      <c r="A11" s="62" t="s">
        <v>362</v>
      </c>
      <c r="B11" s="66" t="n">
        <f aca="false">B9+B10</f>
        <v>100.4</v>
      </c>
      <c r="C11" s="66" t="n">
        <f aca="false">C9+C10</f>
        <v>6705.5769</v>
      </c>
      <c r="D11" s="66" t="n">
        <f aca="false">D9+D10</f>
        <v>11765.0651</v>
      </c>
      <c r="E11" s="66" t="n">
        <f aca="false">E9+E10</f>
        <v>11302.9362</v>
      </c>
      <c r="F11" s="66" t="n">
        <f aca="false">F9+F10</f>
        <v>10534.1862</v>
      </c>
      <c r="G11" s="66" t="n">
        <f aca="false">G9+G10</f>
        <v>9689.2488</v>
      </c>
      <c r="H11" s="66" t="n">
        <f aca="false">H9+H10</f>
        <v>9689.2488</v>
      </c>
      <c r="I11" s="66" t="n">
        <f aca="false">I9+I10</f>
        <v>9689.2488</v>
      </c>
      <c r="J11" s="66" t="n">
        <f aca="false">J9+J10</f>
        <v>9689.2488</v>
      </c>
      <c r="K11" s="66" t="n">
        <f aca="false">K9+K10</f>
        <v>9689.2488</v>
      </c>
    </row>
    <row r="12" customFormat="false" ht="41.25" hidden="false" customHeight="true" outlineLevel="0" collapsed="false">
      <c r="A12" s="62" t="s">
        <v>363</v>
      </c>
      <c r="B12" s="69" t="s">
        <v>364</v>
      </c>
      <c r="C12" s="69" t="s">
        <v>364</v>
      </c>
      <c r="D12" s="69" t="s">
        <v>364</v>
      </c>
      <c r="E12" s="69" t="s">
        <v>364</v>
      </c>
      <c r="F12" s="69" t="s">
        <v>364</v>
      </c>
      <c r="G12" s="69" t="s">
        <v>364</v>
      </c>
      <c r="H12" s="69" t="s">
        <v>364</v>
      </c>
      <c r="I12" s="69" t="s">
        <v>364</v>
      </c>
      <c r="J12" s="69" t="s">
        <v>364</v>
      </c>
      <c r="K12" s="69" t="s">
        <v>364</v>
      </c>
    </row>
    <row r="13" customFormat="false" ht="54.75" hidden="false" customHeight="true" outlineLevel="0" collapsed="false">
      <c r="A13" s="62" t="s">
        <v>365</v>
      </c>
      <c r="B13" s="69" t="s">
        <v>366</v>
      </c>
      <c r="C13" s="69" t="s">
        <v>366</v>
      </c>
      <c r="D13" s="69" t="s">
        <v>366</v>
      </c>
      <c r="E13" s="69" t="s">
        <v>366</v>
      </c>
      <c r="F13" s="69" t="s">
        <v>366</v>
      </c>
      <c r="G13" s="69" t="s">
        <v>366</v>
      </c>
      <c r="H13" s="69" t="s">
        <v>366</v>
      </c>
      <c r="I13" s="69" t="s">
        <v>366</v>
      </c>
      <c r="J13" s="69" t="s">
        <v>366</v>
      </c>
      <c r="K13" s="69" t="s">
        <v>366</v>
      </c>
    </row>
  </sheetData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40"/>
    <col collapsed="false" customWidth="true" hidden="false" outlineLevel="0" max="11" min="2" style="1" width="15"/>
  </cols>
  <sheetData>
    <row r="1" customFormat="false" ht="42" hidden="false" customHeight="true" outlineLevel="0" collapsed="false">
      <c r="A1" s="40" t="s">
        <v>367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3</v>
      </c>
      <c r="B3" s="9" t="s">
        <v>226</v>
      </c>
      <c r="C3" s="9" t="s">
        <v>227</v>
      </c>
      <c r="D3" s="9" t="s">
        <v>92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232</v>
      </c>
      <c r="J3" s="9" t="s">
        <v>233</v>
      </c>
      <c r="K3" s="9" t="s">
        <v>234</v>
      </c>
    </row>
    <row r="4" customFormat="false" ht="15" hidden="false" customHeight="true" outlineLevel="0" collapsed="false">
      <c r="A4" s="62" t="s">
        <v>368</v>
      </c>
      <c r="B4" s="58" t="n">
        <f aca="false">Load_Tariff!B9</f>
        <v>0</v>
      </c>
      <c r="C4" s="58" t="n">
        <f aca="false">Load_Tariff!C9</f>
        <v>67.5</v>
      </c>
      <c r="D4" s="58" t="n">
        <f aca="false">Load_Tariff!D9</f>
        <v>200</v>
      </c>
      <c r="E4" s="58" t="n">
        <f aca="false">Load_Tariff!E9</f>
        <v>330</v>
      </c>
      <c r="F4" s="58" t="n">
        <f aca="false">Load_Tariff!F9</f>
        <v>480</v>
      </c>
      <c r="G4" s="58" t="n">
        <f aca="false">Load_Tariff!G9</f>
        <v>470</v>
      </c>
      <c r="H4" s="58" t="n">
        <f aca="false">Load_Tariff!H9</f>
        <v>470</v>
      </c>
      <c r="I4" s="58" t="n">
        <f aca="false">Load_Tariff!I9</f>
        <v>470</v>
      </c>
      <c r="J4" s="58" t="n">
        <f aca="false">Load_Tariff!J9</f>
        <v>470</v>
      </c>
      <c r="K4" s="58" t="n">
        <f aca="false">Load_Tariff!K9</f>
        <v>470</v>
      </c>
    </row>
    <row r="5" customFormat="false" ht="15" hidden="false" customHeight="true" outlineLevel="0" collapsed="false">
      <c r="A5" s="62" t="s">
        <v>369</v>
      </c>
      <c r="B5" s="58" t="n">
        <f aca="false">Load_Tariff!B8</f>
        <v>0</v>
      </c>
      <c r="C5" s="58" t="n">
        <f aca="false">Load_Tariff!C8</f>
        <v>0</v>
      </c>
      <c r="D5" s="58" t="n">
        <f aca="false">Load_Tariff!D8</f>
        <v>5</v>
      </c>
      <c r="E5" s="58" t="n">
        <f aca="false">Load_Tariff!E8</f>
        <v>50</v>
      </c>
      <c r="F5" s="58" t="n">
        <f aca="false">Load_Tariff!F8</f>
        <v>100</v>
      </c>
      <c r="G5" s="58" t="n">
        <f aca="false">Load_Tariff!G8</f>
        <v>250</v>
      </c>
      <c r="H5" s="58" t="n">
        <f aca="false">Load_Tariff!H8</f>
        <v>250</v>
      </c>
      <c r="I5" s="58" t="n">
        <f aca="false">Load_Tariff!I8</f>
        <v>250</v>
      </c>
      <c r="J5" s="58" t="n">
        <f aca="false">Load_Tariff!J8</f>
        <v>250</v>
      </c>
      <c r="K5" s="58" t="n">
        <f aca="false">Load_Tariff!K8</f>
        <v>250</v>
      </c>
    </row>
    <row r="6" customFormat="false" ht="15" hidden="false" customHeight="true" outlineLevel="0" collapsed="false">
      <c r="A6" s="62" t="s">
        <v>331</v>
      </c>
      <c r="B6" s="66" t="n">
        <f aca="false">Load_Tariff!B14</f>
        <v>0</v>
      </c>
      <c r="C6" s="66" t="n">
        <f aca="false">Load_Tariff!C14</f>
        <v>579.474</v>
      </c>
      <c r="D6" s="66" t="n">
        <f aca="false">Load_Tariff!D14</f>
        <v>1716.96</v>
      </c>
      <c r="E6" s="66" t="n">
        <f aca="false">Load_Tariff!E14</f>
        <v>2832.984</v>
      </c>
      <c r="F6" s="66" t="n">
        <f aca="false">Load_Tariff!F14</f>
        <v>4120.704</v>
      </c>
      <c r="G6" s="66" t="n">
        <f aca="false">Load_Tariff!G14</f>
        <v>4034.856</v>
      </c>
      <c r="H6" s="66" t="n">
        <f aca="false">Load_Tariff!H14</f>
        <v>4034.856</v>
      </c>
      <c r="I6" s="66" t="n">
        <f aca="false">Load_Tariff!I14</f>
        <v>4034.856</v>
      </c>
      <c r="J6" s="66" t="n">
        <f aca="false">Load_Tariff!J14</f>
        <v>4034.856</v>
      </c>
      <c r="K6" s="66" t="n">
        <f aca="false">Load_Tariff!K14</f>
        <v>4034.856</v>
      </c>
    </row>
    <row r="7" customFormat="false" ht="15" hidden="false" customHeight="true" outlineLevel="0" collapsed="false">
      <c r="A7" s="62" t="s">
        <v>370</v>
      </c>
      <c r="B7" s="66" t="n">
        <f aca="false">Load_Tariff!B15</f>
        <v>0</v>
      </c>
      <c r="C7" s="66" t="n">
        <f aca="false">Load_Tariff!C15</f>
        <v>0</v>
      </c>
      <c r="D7" s="66" t="n">
        <f aca="false">Load_Tariff!D15</f>
        <v>0</v>
      </c>
      <c r="E7" s="66" t="n">
        <f aca="false">Load_Tariff!E15</f>
        <v>0</v>
      </c>
      <c r="F7" s="66" t="n">
        <f aca="false">Load_Tariff!F15</f>
        <v>0</v>
      </c>
      <c r="G7" s="66" t="n">
        <f aca="false">Load_Tariff!G15</f>
        <v>0</v>
      </c>
      <c r="H7" s="66" t="n">
        <f aca="false">Load_Tariff!H15</f>
        <v>0</v>
      </c>
      <c r="I7" s="66" t="n">
        <f aca="false">Load_Tariff!I15</f>
        <v>0</v>
      </c>
      <c r="J7" s="66" t="n">
        <f aca="false">Load_Tariff!J15</f>
        <v>0</v>
      </c>
      <c r="K7" s="66" t="n">
        <f aca="false">Load_Tariff!K15</f>
        <v>0</v>
      </c>
    </row>
    <row r="8" customFormat="false" ht="15" hidden="false" customHeight="true" outlineLevel="0" collapsed="false">
      <c r="A8" s="62" t="s">
        <v>371</v>
      </c>
      <c r="B8" s="66" t="n">
        <f aca="false">Load_Tariff!B22</f>
        <v>0</v>
      </c>
      <c r="C8" s="66" t="n">
        <f aca="false">Load_Tariff!C22</f>
        <v>1477.6587</v>
      </c>
      <c r="D8" s="66" t="n">
        <f aca="false">Load_Tariff!D22</f>
        <v>4465.81296</v>
      </c>
      <c r="E8" s="66" t="n">
        <f aca="false">Load_Tariff!E22</f>
        <v>7515.96321168</v>
      </c>
      <c r="F8" s="66" t="n">
        <f aca="false">Load_Tariff!F22</f>
        <v>11150.9563286016</v>
      </c>
      <c r="G8" s="66" t="n">
        <f aca="false">Load_Tariff!G22</f>
        <v>11137.0176331909</v>
      </c>
      <c r="H8" s="66" t="n">
        <f aca="false">Load_Tariff!H22</f>
        <v>11359.7579858547</v>
      </c>
      <c r="I8" s="66" t="n">
        <f aca="false">Load_Tariff!I22</f>
        <v>11586.9531455718</v>
      </c>
      <c r="J8" s="66" t="n">
        <f aca="false">Load_Tariff!J22</f>
        <v>11818.6922084832</v>
      </c>
      <c r="K8" s="66" t="n">
        <f aca="false">Load_Tariff!K22</f>
        <v>12055.0660526529</v>
      </c>
    </row>
    <row r="9" customFormat="false" ht="15" hidden="false" customHeight="true" outlineLevel="0" collapsed="false">
      <c r="A9" s="62" t="s">
        <v>372</v>
      </c>
      <c r="B9" s="66" t="n">
        <f aca="false">Load_Tariff!B20</f>
        <v>0</v>
      </c>
      <c r="C9" s="66" t="n">
        <f aca="false">Load_Tariff!C20</f>
        <v>637.4214</v>
      </c>
      <c r="D9" s="66" t="n">
        <f aca="false">Load_Tariff!D20</f>
        <v>1545.264</v>
      </c>
      <c r="E9" s="66" t="n">
        <f aca="false">Load_Tariff!E20</f>
        <v>2266.3872</v>
      </c>
      <c r="F9" s="66" t="n">
        <f aca="false">Load_Tariff!F20</f>
        <v>3296.5632</v>
      </c>
      <c r="G9" s="66" t="n">
        <f aca="false">Load_Tariff!G20</f>
        <v>3227.8848</v>
      </c>
      <c r="H9" s="66" t="n">
        <f aca="false">Load_Tariff!H20</f>
        <v>3227.8848</v>
      </c>
      <c r="I9" s="66" t="n">
        <f aca="false">Load_Tariff!I20</f>
        <v>3227.8848</v>
      </c>
      <c r="J9" s="66" t="n">
        <f aca="false">Load_Tariff!J20</f>
        <v>3227.8848</v>
      </c>
      <c r="K9" s="66" t="n">
        <f aca="false">Load_Tariff!K20</f>
        <v>3227.8848</v>
      </c>
    </row>
    <row r="10" customFormat="false" ht="15" hidden="false" customHeight="true" outlineLevel="0" collapsed="false">
      <c r="A10" s="62" t="s">
        <v>373</v>
      </c>
      <c r="B10" s="66" t="n">
        <f aca="false">B8-B9</f>
        <v>0</v>
      </c>
      <c r="C10" s="66" t="n">
        <f aca="false">C8-C9</f>
        <v>840.2373</v>
      </c>
      <c r="D10" s="66" t="n">
        <f aca="false">D8-D9</f>
        <v>2920.54896</v>
      </c>
      <c r="E10" s="66" t="n">
        <f aca="false">E8-E9</f>
        <v>5249.57601168</v>
      </c>
      <c r="F10" s="66" t="n">
        <f aca="false">F8-F9</f>
        <v>7854.3931286016</v>
      </c>
      <c r="G10" s="66" t="n">
        <f aca="false">G8-G9</f>
        <v>7909.13283319085</v>
      </c>
      <c r="H10" s="66" t="n">
        <f aca="false">H8-H9</f>
        <v>8131.87318585467</v>
      </c>
      <c r="I10" s="66" t="n">
        <f aca="false">I8-I9</f>
        <v>8359.06834557176</v>
      </c>
      <c r="J10" s="66" t="n">
        <f aca="false">J8-J9</f>
        <v>8590.8074084832</v>
      </c>
      <c r="K10" s="66" t="n">
        <f aca="false">K8-K9</f>
        <v>8827.18125265286</v>
      </c>
    </row>
    <row r="11" customFormat="false" ht="15" hidden="false" customHeight="true" outlineLevel="0" collapsed="false">
      <c r="A11" s="62" t="s">
        <v>374</v>
      </c>
      <c r="B11" s="66" t="n">
        <f aca="false">B4*Scenario_Control!$B$27*12</f>
        <v>0</v>
      </c>
      <c r="C11" s="66" t="n">
        <f aca="false">C4*Scenario_Control!$B$27*12</f>
        <v>607.5</v>
      </c>
      <c r="D11" s="66" t="n">
        <f aca="false">D4*Scenario_Control!$B$27*12</f>
        <v>1800</v>
      </c>
      <c r="E11" s="66" t="n">
        <f aca="false">E4*Scenario_Control!$B$27*12</f>
        <v>2970</v>
      </c>
      <c r="F11" s="66" t="n">
        <f aca="false">F4*Scenario_Control!$B$27*12</f>
        <v>4320</v>
      </c>
      <c r="G11" s="66" t="n">
        <f aca="false">G4*Scenario_Control!$B$27*12</f>
        <v>4230</v>
      </c>
      <c r="H11" s="66" t="n">
        <f aca="false">H4*Scenario_Control!$B$27*12</f>
        <v>4230</v>
      </c>
      <c r="I11" s="66" t="n">
        <f aca="false">I4*Scenario_Control!$B$27*12</f>
        <v>4230</v>
      </c>
      <c r="J11" s="66" t="n">
        <f aca="false">J4*Scenario_Control!$B$27*12</f>
        <v>4230</v>
      </c>
      <c r="K11" s="66" t="n">
        <f aca="false">K4*Scenario_Control!$B$27*12</f>
        <v>4230</v>
      </c>
    </row>
    <row r="12" customFormat="false" ht="15" hidden="false" customHeight="true" outlineLevel="0" collapsed="false">
      <c r="A12" s="62" t="s">
        <v>375</v>
      </c>
      <c r="B12" s="66" t="n">
        <f aca="false">B11*0.15</f>
        <v>0</v>
      </c>
      <c r="C12" s="66" t="n">
        <f aca="false">C11*0.15</f>
        <v>91.125</v>
      </c>
      <c r="D12" s="66" t="n">
        <f aca="false">D11*0.15</f>
        <v>270</v>
      </c>
      <c r="E12" s="66" t="n">
        <f aca="false">E11*0.15</f>
        <v>445.5</v>
      </c>
      <c r="F12" s="66" t="n">
        <f aca="false">F11*0.15</f>
        <v>648</v>
      </c>
      <c r="G12" s="66" t="n">
        <f aca="false">G11*0.15</f>
        <v>634.5</v>
      </c>
      <c r="H12" s="66" t="n">
        <f aca="false">H11*0.15</f>
        <v>634.5</v>
      </c>
      <c r="I12" s="66" t="n">
        <f aca="false">I11*0.15</f>
        <v>634.5</v>
      </c>
      <c r="J12" s="66" t="n">
        <f aca="false">J11*0.15</f>
        <v>634.5</v>
      </c>
      <c r="K12" s="66" t="n">
        <f aca="false">K11*0.15</f>
        <v>634.5</v>
      </c>
    </row>
    <row r="13" customFormat="false" ht="15" hidden="false" customHeight="true" outlineLevel="0" collapsed="false">
      <c r="A13" s="62" t="s">
        <v>376</v>
      </c>
      <c r="B13" s="66" t="n">
        <f aca="false">B10+B11-B12</f>
        <v>0</v>
      </c>
      <c r="C13" s="66" t="n">
        <f aca="false">C10+C11-C12</f>
        <v>1356.6123</v>
      </c>
      <c r="D13" s="66" t="n">
        <f aca="false">D10+D11-D12</f>
        <v>4450.54896</v>
      </c>
      <c r="E13" s="66" t="n">
        <f aca="false">E10+E11-E12</f>
        <v>7774.07601168</v>
      </c>
      <c r="F13" s="66" t="n">
        <f aca="false">F10+F11-F12</f>
        <v>11526.3931286016</v>
      </c>
      <c r="G13" s="66" t="n">
        <f aca="false">G10+G11-G12</f>
        <v>11504.6328331909</v>
      </c>
      <c r="H13" s="66" t="n">
        <f aca="false">H10+H11-H12</f>
        <v>11727.3731858547</v>
      </c>
      <c r="I13" s="66" t="n">
        <f aca="false">I10+I11-I12</f>
        <v>11954.5683455718</v>
      </c>
      <c r="J13" s="66" t="n">
        <f aca="false">J10+J11-J12</f>
        <v>12186.3074084832</v>
      </c>
      <c r="K13" s="66" t="n">
        <f aca="false">K10+K11-K12</f>
        <v>12422.6812526529</v>
      </c>
    </row>
    <row r="14" customFormat="false" ht="15" hidden="false" customHeight="true" outlineLevel="0" collapsed="false">
      <c r="A14" s="62" t="s">
        <v>377</v>
      </c>
      <c r="B14" s="66" t="n">
        <f aca="false">B5*Scenario_Control!$B$40*(1-Scenario_Control!$B$41)^MAX(0,B$3-2028)*Scenario_Control!$B$54</f>
        <v>0</v>
      </c>
      <c r="C14" s="66" t="n">
        <f aca="false">C5*Scenario_Control!$B$40*(1-Scenario_Control!$B$41)^MAX(0,C$3-2028)*Scenario_Control!$B$54</f>
        <v>0</v>
      </c>
      <c r="D14" s="66" t="n">
        <f aca="false">D5*Scenario_Control!$B$40*(1-Scenario_Control!$B$41)^MAX(0,D$3-2028)*Scenario_Control!$B$54</f>
        <v>0</v>
      </c>
      <c r="E14" s="66" t="n">
        <f aca="false">E5*Scenario_Control!$B$40*(1-Scenario_Control!$B$41)^MAX(0,E$3-2028)*Scenario_Control!$B$54</f>
        <v>0</v>
      </c>
      <c r="F14" s="66" t="n">
        <f aca="false">F5*Scenario_Control!$B$40*(1-Scenario_Control!$B$41)^MAX(0,F$3-2028)*Scenario_Control!$B$54</f>
        <v>0</v>
      </c>
      <c r="G14" s="66" t="n">
        <f aca="false">G5*Scenario_Control!$B$40*(1-Scenario_Control!$B$41)^MAX(0,G$3-2028)*Scenario_Control!$B$54</f>
        <v>0</v>
      </c>
      <c r="H14" s="66" t="n">
        <f aca="false">H5*Scenario_Control!$B$40*(1-Scenario_Control!$B$41)^MAX(0,H$3-2028)*Scenario_Control!$B$54</f>
        <v>0</v>
      </c>
      <c r="I14" s="66" t="n">
        <f aca="false">I5*Scenario_Control!$B$40*(1-Scenario_Control!$B$41)^MAX(0,I$3-2028)*Scenario_Control!$B$54</f>
        <v>0</v>
      </c>
      <c r="J14" s="66" t="n">
        <f aca="false">J5*Scenario_Control!$B$40*(1-Scenario_Control!$B$41)^MAX(0,J$3-2028)*Scenario_Control!$B$54</f>
        <v>0</v>
      </c>
      <c r="K14" s="66" t="n">
        <f aca="false">K5*Scenario_Control!$B$40*(1-Scenario_Control!$B$41)^MAX(0,K$3-2028)*Scenario_Control!$B$54</f>
        <v>0</v>
      </c>
    </row>
    <row r="15" customFormat="false" ht="15" hidden="false" customHeight="true" outlineLevel="0" collapsed="false">
      <c r="A15" s="62" t="s">
        <v>378</v>
      </c>
      <c r="B15" s="66" t="n">
        <f aca="false">B14*Scenario_Control!$B$42</f>
        <v>0</v>
      </c>
      <c r="C15" s="66" t="n">
        <f aca="false">C14*Scenario_Control!$B$42</f>
        <v>0</v>
      </c>
      <c r="D15" s="66" t="n">
        <f aca="false">D14*Scenario_Control!$B$42</f>
        <v>0</v>
      </c>
      <c r="E15" s="66" t="n">
        <f aca="false">E14*Scenario_Control!$B$42</f>
        <v>0</v>
      </c>
      <c r="F15" s="66" t="n">
        <f aca="false">F14*Scenario_Control!$B$42</f>
        <v>0</v>
      </c>
      <c r="G15" s="66" t="n">
        <f aca="false">G14*Scenario_Control!$B$42</f>
        <v>0</v>
      </c>
      <c r="H15" s="66" t="n">
        <f aca="false">H14*Scenario_Control!$B$42</f>
        <v>0</v>
      </c>
      <c r="I15" s="66" t="n">
        <f aca="false">I14*Scenario_Control!$B$42</f>
        <v>0</v>
      </c>
      <c r="J15" s="66" t="n">
        <f aca="false">J14*Scenario_Control!$B$42</f>
        <v>0</v>
      </c>
      <c r="K15" s="66" t="n">
        <f aca="false">K14*Scenario_Control!$B$42</f>
        <v>0</v>
      </c>
    </row>
    <row r="16" customFormat="false" ht="15" hidden="false" customHeight="true" outlineLevel="0" collapsed="false">
      <c r="A16" s="62" t="s">
        <v>338</v>
      </c>
      <c r="B16" s="66" t="n">
        <f aca="false">Load_Tariff!B21</f>
        <v>0</v>
      </c>
      <c r="C16" s="66" t="n">
        <f aca="false">Load_Tariff!C21</f>
        <v>0</v>
      </c>
      <c r="D16" s="66" t="n">
        <f aca="false">Load_Tariff!D21</f>
        <v>0</v>
      </c>
      <c r="E16" s="66" t="n">
        <f aca="false">Load_Tariff!E21</f>
        <v>0</v>
      </c>
      <c r="F16" s="66" t="n">
        <f aca="false">Load_Tariff!F21</f>
        <v>0</v>
      </c>
      <c r="G16" s="66" t="n">
        <f aca="false">Load_Tariff!G21</f>
        <v>0</v>
      </c>
      <c r="H16" s="66" t="n">
        <f aca="false">Load_Tariff!H21</f>
        <v>0</v>
      </c>
      <c r="I16" s="66" t="n">
        <f aca="false">Load_Tariff!I21</f>
        <v>0</v>
      </c>
      <c r="J16" s="66" t="n">
        <f aca="false">Load_Tariff!J21</f>
        <v>0</v>
      </c>
      <c r="K16" s="66" t="n">
        <f aca="false">Load_Tariff!K21</f>
        <v>0</v>
      </c>
    </row>
    <row r="17" customFormat="false" ht="15" hidden="false" customHeight="true" outlineLevel="0" collapsed="false">
      <c r="A17" s="62" t="s">
        <v>379</v>
      </c>
      <c r="B17" s="66" t="n">
        <f aca="false">B14-B15-B16</f>
        <v>0</v>
      </c>
      <c r="C17" s="66" t="n">
        <f aca="false">C14-C15-C16</f>
        <v>0</v>
      </c>
      <c r="D17" s="66" t="n">
        <f aca="false">D14-D15-D16</f>
        <v>0</v>
      </c>
      <c r="E17" s="66" t="n">
        <f aca="false">E14-E15-E16</f>
        <v>0</v>
      </c>
      <c r="F17" s="66" t="n">
        <f aca="false">F14-F15-F16</f>
        <v>0</v>
      </c>
      <c r="G17" s="66" t="n">
        <f aca="false">G14-G15-G16</f>
        <v>0</v>
      </c>
      <c r="H17" s="66" t="n">
        <f aca="false">H14-H15-H16</f>
        <v>0</v>
      </c>
      <c r="I17" s="66" t="n">
        <f aca="false">I14-I15-I16</f>
        <v>0</v>
      </c>
      <c r="J17" s="66" t="n">
        <f aca="false">J14-J15-J16</f>
        <v>0</v>
      </c>
      <c r="K17" s="66" t="n">
        <f aca="false">K14-K15-K16</f>
        <v>0</v>
      </c>
    </row>
    <row r="18" customFormat="false" ht="15" hidden="false" customHeight="true" outlineLevel="0" collapsed="false">
      <c r="A18" s="62" t="s">
        <v>380</v>
      </c>
      <c r="B18" s="66" t="n">
        <f aca="false">B8+B11+B14</f>
        <v>0</v>
      </c>
      <c r="C18" s="66" t="n">
        <f aca="false">C8+C11+C14</f>
        <v>2085.1587</v>
      </c>
      <c r="D18" s="66" t="n">
        <f aca="false">D8+D11+D14</f>
        <v>6265.81296</v>
      </c>
      <c r="E18" s="66" t="n">
        <f aca="false">E8+E11+E14</f>
        <v>10485.96321168</v>
      </c>
      <c r="F18" s="66" t="n">
        <f aca="false">F8+F11+F14</f>
        <v>15470.9563286016</v>
      </c>
      <c r="G18" s="66" t="n">
        <f aca="false">G8+G11+G14</f>
        <v>15367.0176331909</v>
      </c>
      <c r="H18" s="66" t="n">
        <f aca="false">H8+H11+H14</f>
        <v>15589.7579858547</v>
      </c>
      <c r="I18" s="66" t="n">
        <f aca="false">I8+I11+I14</f>
        <v>15816.9531455718</v>
      </c>
      <c r="J18" s="66" t="n">
        <f aca="false">J8+J11+J14</f>
        <v>16048.6922084832</v>
      </c>
      <c r="K18" s="66" t="n">
        <f aca="false">K8+K11+K14</f>
        <v>16285.0660526529</v>
      </c>
    </row>
    <row r="19" customFormat="false" ht="15" hidden="false" customHeight="true" outlineLevel="0" collapsed="false">
      <c r="A19" s="62" t="s">
        <v>381</v>
      </c>
      <c r="B19" s="66" t="n">
        <f aca="false">B13+B17</f>
        <v>0</v>
      </c>
      <c r="C19" s="66" t="n">
        <f aca="false">C13+C17</f>
        <v>1356.6123</v>
      </c>
      <c r="D19" s="66" t="n">
        <f aca="false">D13+D17</f>
        <v>4450.54896</v>
      </c>
      <c r="E19" s="66" t="n">
        <f aca="false">E13+E17</f>
        <v>7774.07601168</v>
      </c>
      <c r="F19" s="66" t="n">
        <f aca="false">F13+F17</f>
        <v>11526.3931286016</v>
      </c>
      <c r="G19" s="66" t="n">
        <f aca="false">G13+G17</f>
        <v>11504.6328331909</v>
      </c>
      <c r="H19" s="66" t="n">
        <f aca="false">H13+H17</f>
        <v>11727.3731858547</v>
      </c>
      <c r="I19" s="66" t="n">
        <f aca="false">I13+I17</f>
        <v>11954.5683455718</v>
      </c>
      <c r="J19" s="66" t="n">
        <f aca="false">J13+J17</f>
        <v>12186.3074084832</v>
      </c>
      <c r="K19" s="66" t="n">
        <f aca="false">K13+K17</f>
        <v>12422.6812526529</v>
      </c>
    </row>
    <row r="20" customFormat="false" ht="41.25" hidden="false" customHeight="true" outlineLevel="0" collapsed="false">
      <c r="A20" s="62" t="s">
        <v>382</v>
      </c>
      <c r="B20" s="69" t="s">
        <v>383</v>
      </c>
      <c r="C20" s="69" t="s">
        <v>383</v>
      </c>
      <c r="D20" s="69" t="s">
        <v>384</v>
      </c>
      <c r="E20" s="69" t="s">
        <v>384</v>
      </c>
      <c r="F20" s="69" t="s">
        <v>385</v>
      </c>
      <c r="G20" s="69" t="s">
        <v>385</v>
      </c>
      <c r="H20" s="69" t="s">
        <v>385</v>
      </c>
      <c r="I20" s="69" t="s">
        <v>385</v>
      </c>
      <c r="J20" s="69" t="s">
        <v>385</v>
      </c>
      <c r="K20" s="69" t="s">
        <v>385</v>
      </c>
    </row>
  </sheetData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93B"/>
    <pageSetUpPr fitToPage="tru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45"/>
    <col collapsed="false" customWidth="true" hidden="false" outlineLevel="0" max="11" min="2" style="1" width="14"/>
  </cols>
  <sheetData>
    <row r="1" customFormat="false" ht="42" hidden="false" customHeight="true" outlineLevel="0" collapsed="false">
      <c r="A1" s="40" t="s">
        <v>386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387</v>
      </c>
      <c r="B3" s="9" t="s">
        <v>226</v>
      </c>
      <c r="C3" s="9" t="s">
        <v>227</v>
      </c>
      <c r="D3" s="9" t="s">
        <v>92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232</v>
      </c>
      <c r="J3" s="9" t="s">
        <v>233</v>
      </c>
      <c r="K3" s="9" t="s">
        <v>234</v>
      </c>
    </row>
    <row r="4" customFormat="false" ht="15" hidden="false" customHeight="true" outlineLevel="0" collapsed="false">
      <c r="A4" s="62" t="s">
        <v>388</v>
      </c>
      <c r="B4" s="58" t="n">
        <f aca="false">MAX(0,Load_Tariff!B4-0)</f>
        <v>40</v>
      </c>
      <c r="C4" s="58" t="n">
        <f aca="false">MAX(0,Load_Tariff!C4-Load_Tariff!B4)</f>
        <v>1310</v>
      </c>
      <c r="D4" s="58" t="n">
        <f aca="false">MAX(0,Load_Tariff!D4-Load_Tariff!C4)</f>
        <v>650</v>
      </c>
      <c r="E4" s="58" t="n">
        <f aca="false">MAX(0,Load_Tariff!E4-Load_Tariff!D4)</f>
        <v>200</v>
      </c>
      <c r="F4" s="58" t="n">
        <f aca="false">MAX(0,Load_Tariff!F4-Load_Tariff!E4)</f>
        <v>200</v>
      </c>
      <c r="G4" s="58" t="n">
        <f aca="false">MAX(0,Load_Tariff!G4-Load_Tariff!F4)</f>
        <v>0</v>
      </c>
      <c r="H4" s="58" t="n">
        <f aca="false">MAX(0,Load_Tariff!H4-Load_Tariff!G4)</f>
        <v>0</v>
      </c>
      <c r="I4" s="58" t="n">
        <f aca="false">MAX(0,Load_Tariff!I4-Load_Tariff!H4)</f>
        <v>0</v>
      </c>
      <c r="J4" s="58" t="n">
        <f aca="false">MAX(0,Load_Tariff!J4-Load_Tariff!I4)</f>
        <v>0</v>
      </c>
      <c r="K4" s="58" t="n">
        <f aca="false">MAX(0,Load_Tariff!K4-Load_Tariff!J4)</f>
        <v>0</v>
      </c>
    </row>
    <row r="5" customFormat="false" ht="15" hidden="false" customHeight="true" outlineLevel="0" collapsed="false">
      <c r="A5" s="62" t="s">
        <v>389</v>
      </c>
      <c r="B5" s="58" t="n">
        <f aca="false">MAX(0,Load_Tariff!B11-0)</f>
        <v>40</v>
      </c>
      <c r="C5" s="58" t="n">
        <f aca="false">MAX(0,Load_Tariff!C11-Load_Tariff!B11)</f>
        <v>1242.5</v>
      </c>
      <c r="D5" s="58" t="n">
        <f aca="false">MAX(0,Load_Tariff!D11-Load_Tariff!C11)</f>
        <v>512.5</v>
      </c>
      <c r="E5" s="58" t="n">
        <f aca="false">MAX(0,Load_Tariff!E11-Load_Tariff!D11)</f>
        <v>25</v>
      </c>
      <c r="F5" s="58" t="n">
        <f aca="false">MAX(0,Load_Tariff!F11-Load_Tariff!E11)</f>
        <v>0</v>
      </c>
      <c r="G5" s="58" t="n">
        <f aca="false">MAX(0,Load_Tariff!G11-Load_Tariff!F11)</f>
        <v>0</v>
      </c>
      <c r="H5" s="58" t="n">
        <f aca="false">MAX(0,Load_Tariff!H11-Load_Tariff!G11)</f>
        <v>0</v>
      </c>
      <c r="I5" s="58" t="n">
        <f aca="false">MAX(0,Load_Tariff!I11-Load_Tariff!H11)</f>
        <v>0</v>
      </c>
      <c r="J5" s="58" t="n">
        <f aca="false">MAX(0,Load_Tariff!J11-Load_Tariff!I11)</f>
        <v>0</v>
      </c>
      <c r="K5" s="58" t="n">
        <f aca="false">MAX(0,Load_Tariff!K11-Load_Tariff!J11)</f>
        <v>0</v>
      </c>
    </row>
    <row r="6" customFormat="false" ht="15" hidden="false" customHeight="true" outlineLevel="0" collapsed="false">
      <c r="A6" s="62" t="s">
        <v>390</v>
      </c>
      <c r="B6" s="58" t="n">
        <f aca="false">MAX(0,Load_Tariff!B9-0)</f>
        <v>0</v>
      </c>
      <c r="C6" s="58" t="n">
        <f aca="false">MAX(0,Load_Tariff!C9-Load_Tariff!B9)</f>
        <v>67.5</v>
      </c>
      <c r="D6" s="58" t="n">
        <f aca="false">MAX(0,Load_Tariff!D9-Load_Tariff!C9)</f>
        <v>132.5</v>
      </c>
      <c r="E6" s="58" t="n">
        <f aca="false">MAX(0,Load_Tariff!E9-Load_Tariff!D9)</f>
        <v>130</v>
      </c>
      <c r="F6" s="58" t="n">
        <f aca="false">MAX(0,Load_Tariff!F9-Load_Tariff!E9)</f>
        <v>150</v>
      </c>
      <c r="G6" s="58" t="n">
        <f aca="false">MAX(0,Load_Tariff!G9-Load_Tariff!F9)</f>
        <v>0</v>
      </c>
      <c r="H6" s="58" t="n">
        <f aca="false">MAX(0,Load_Tariff!H9-Load_Tariff!G9)</f>
        <v>0</v>
      </c>
      <c r="I6" s="58" t="n">
        <f aca="false">MAX(0,Load_Tariff!I9-Load_Tariff!H9)</f>
        <v>0</v>
      </c>
      <c r="J6" s="58" t="n">
        <f aca="false">MAX(0,Load_Tariff!J9-Load_Tariff!I9)</f>
        <v>0</v>
      </c>
      <c r="K6" s="58" t="n">
        <f aca="false">MAX(0,Load_Tariff!K9-Load_Tariff!J9)</f>
        <v>0</v>
      </c>
    </row>
    <row r="7" customFormat="false" ht="15" hidden="false" customHeight="true" outlineLevel="0" collapsed="false">
      <c r="A7" s="62" t="s">
        <v>391</v>
      </c>
      <c r="B7" s="58" t="n">
        <f aca="false">MAX(0,Load_Tariff!B8-0)</f>
        <v>0</v>
      </c>
      <c r="C7" s="58" t="n">
        <f aca="false">MAX(0,Load_Tariff!C8-Load_Tariff!B8)</f>
        <v>0</v>
      </c>
      <c r="D7" s="58" t="n">
        <f aca="false">MAX(0,Load_Tariff!D8-Load_Tariff!C8)</f>
        <v>5</v>
      </c>
      <c r="E7" s="58" t="n">
        <f aca="false">MAX(0,Load_Tariff!E8-Load_Tariff!D8)</f>
        <v>45</v>
      </c>
      <c r="F7" s="58" t="n">
        <f aca="false">MAX(0,Load_Tariff!F8-Load_Tariff!E8)</f>
        <v>50</v>
      </c>
      <c r="G7" s="58" t="n">
        <f aca="false">MAX(0,Load_Tariff!G8-Load_Tariff!F8)</f>
        <v>150</v>
      </c>
      <c r="H7" s="58" t="n">
        <f aca="false">MAX(0,Load_Tariff!H8-Load_Tariff!G8)</f>
        <v>0</v>
      </c>
      <c r="I7" s="58" t="n">
        <f aca="false">MAX(0,Load_Tariff!I8-Load_Tariff!H8)</f>
        <v>0</v>
      </c>
      <c r="J7" s="58" t="n">
        <f aca="false">MAX(0,Load_Tariff!J8-Load_Tariff!I8)</f>
        <v>0</v>
      </c>
      <c r="K7" s="58" t="n">
        <f aca="false">MAX(0,Load_Tariff!K8-Load_Tariff!J8)</f>
        <v>0</v>
      </c>
    </row>
    <row r="8" customFormat="false" ht="15" hidden="false" customHeight="true" outlineLevel="0" collapsed="false">
      <c r="A8" s="62" t="s">
        <v>392</v>
      </c>
      <c r="B8" s="58" t="n">
        <f aca="false">20</f>
        <v>20</v>
      </c>
      <c r="C8" s="58" t="n">
        <f aca="false">230</f>
        <v>230</v>
      </c>
      <c r="D8" s="58" t="n">
        <f aca="false">350</f>
        <v>350</v>
      </c>
      <c r="E8" s="58" t="n">
        <f aca="false">600</f>
        <v>600</v>
      </c>
      <c r="F8" s="58" t="n">
        <f aca="false">200</f>
        <v>200</v>
      </c>
      <c r="G8" s="58" t="n">
        <f aca="false">100</f>
        <v>100</v>
      </c>
      <c r="H8" s="58" t="n">
        <f aca="false">0</f>
        <v>0</v>
      </c>
      <c r="I8" s="58" t="n">
        <f aca="false">0</f>
        <v>0</v>
      </c>
      <c r="J8" s="58" t="n">
        <f aca="false">0</f>
        <v>0</v>
      </c>
      <c r="K8" s="58" t="n">
        <f aca="false">0</f>
        <v>0</v>
      </c>
    </row>
    <row r="9" customFormat="false" ht="15" hidden="false" customHeight="true" outlineLevel="0" collapsed="false">
      <c r="A9" s="62" t="s">
        <v>393</v>
      </c>
      <c r="B9" s="66" t="n">
        <f aca="false">B5*Scenario_Control!$B$35</f>
        <v>800</v>
      </c>
      <c r="C9" s="66" t="n">
        <f aca="false">C5*Scenario_Control!$B$35</f>
        <v>24850</v>
      </c>
      <c r="D9" s="66" t="n">
        <f aca="false">D5*Scenario_Control!$B$35</f>
        <v>10250</v>
      </c>
      <c r="E9" s="66" t="n">
        <f aca="false">E5*Scenario_Control!$B$35</f>
        <v>500</v>
      </c>
      <c r="F9" s="66" t="n">
        <f aca="false">F5*Scenario_Control!$B$35</f>
        <v>0</v>
      </c>
      <c r="G9" s="66" t="n">
        <f aca="false">G5*Scenario_Control!$B$35</f>
        <v>0</v>
      </c>
      <c r="H9" s="66" t="n">
        <f aca="false">H5*Scenario_Control!$B$35</f>
        <v>0</v>
      </c>
      <c r="I9" s="66" t="n">
        <f aca="false">I5*Scenario_Control!$B$35</f>
        <v>0</v>
      </c>
      <c r="J9" s="66" t="n">
        <f aca="false">J5*Scenario_Control!$B$35</f>
        <v>0</v>
      </c>
      <c r="K9" s="66" t="n">
        <f aca="false">K5*Scenario_Control!$B$35</f>
        <v>0</v>
      </c>
    </row>
    <row r="10" customFormat="false" ht="15" hidden="false" customHeight="true" outlineLevel="0" collapsed="false">
      <c r="A10" s="62" t="s">
        <v>394</v>
      </c>
      <c r="B10" s="66" t="n">
        <f aca="false">B4*Scenario_Control!$B$36</f>
        <v>200</v>
      </c>
      <c r="C10" s="66" t="n">
        <f aca="false">C4*Scenario_Control!$B$36</f>
        <v>6550</v>
      </c>
      <c r="D10" s="66" t="n">
        <f aca="false">D4*Scenario_Control!$B$36</f>
        <v>3250</v>
      </c>
      <c r="E10" s="66" t="n">
        <f aca="false">E4*Scenario_Control!$B$36</f>
        <v>1000</v>
      </c>
      <c r="F10" s="66" t="n">
        <f aca="false">F4*Scenario_Control!$B$36</f>
        <v>1000</v>
      </c>
      <c r="G10" s="66" t="n">
        <f aca="false">G4*Scenario_Control!$B$36</f>
        <v>0</v>
      </c>
      <c r="H10" s="66" t="n">
        <f aca="false">H4*Scenario_Control!$B$36</f>
        <v>0</v>
      </c>
      <c r="I10" s="66" t="n">
        <f aca="false">I4*Scenario_Control!$B$36</f>
        <v>0</v>
      </c>
      <c r="J10" s="66" t="n">
        <f aca="false">J4*Scenario_Control!$B$36</f>
        <v>0</v>
      </c>
      <c r="K10" s="66" t="n">
        <f aca="false">K4*Scenario_Control!$B$36</f>
        <v>0</v>
      </c>
    </row>
    <row r="11" customFormat="false" ht="15" hidden="false" customHeight="true" outlineLevel="0" collapsed="false">
      <c r="A11" s="62" t="s">
        <v>395</v>
      </c>
      <c r="B11" s="66" t="n">
        <f aca="false">B8*Scenario_Control!$B$37</f>
        <v>140</v>
      </c>
      <c r="C11" s="66" t="n">
        <f aca="false">C8*Scenario_Control!$B$37</f>
        <v>1610</v>
      </c>
      <c r="D11" s="66" t="n">
        <f aca="false">D8*Scenario_Control!$B$37</f>
        <v>2450</v>
      </c>
      <c r="E11" s="66" t="n">
        <f aca="false">E8*Scenario_Control!$B$37</f>
        <v>4200</v>
      </c>
      <c r="F11" s="66" t="n">
        <f aca="false">F8*Scenario_Control!$B$37</f>
        <v>1400</v>
      </c>
      <c r="G11" s="66" t="n">
        <f aca="false">G8*Scenario_Control!$B$37</f>
        <v>700</v>
      </c>
      <c r="H11" s="66" t="n">
        <f aca="false">H8*Scenario_Control!$B$37</f>
        <v>0</v>
      </c>
      <c r="I11" s="66" t="n">
        <f aca="false">I8*Scenario_Control!$B$37</f>
        <v>0</v>
      </c>
      <c r="J11" s="66" t="n">
        <f aca="false">J8*Scenario_Control!$B$37</f>
        <v>0</v>
      </c>
      <c r="K11" s="66" t="n">
        <f aca="false">K8*Scenario_Control!$B$37</f>
        <v>0</v>
      </c>
    </row>
    <row r="12" customFormat="false" ht="15" hidden="false" customHeight="true" outlineLevel="0" collapsed="false">
      <c r="A12" s="62" t="s">
        <v>396</v>
      </c>
      <c r="B12" s="66" t="n">
        <f aca="false">B6*Scenario_Control!$B$38</f>
        <v>0</v>
      </c>
      <c r="C12" s="66" t="n">
        <f aca="false">C6*Scenario_Control!$B$38</f>
        <v>2700</v>
      </c>
      <c r="D12" s="66" t="n">
        <f aca="false">D6*Scenario_Control!$B$38</f>
        <v>5300</v>
      </c>
      <c r="E12" s="66" t="n">
        <f aca="false">E6*Scenario_Control!$B$38</f>
        <v>5200</v>
      </c>
      <c r="F12" s="66" t="n">
        <f aca="false">F6*Scenario_Control!$B$38</f>
        <v>6000</v>
      </c>
      <c r="G12" s="66" t="n">
        <f aca="false">G6*Scenario_Control!$B$38</f>
        <v>0</v>
      </c>
      <c r="H12" s="66" t="n">
        <f aca="false">H6*Scenario_Control!$B$38</f>
        <v>0</v>
      </c>
      <c r="I12" s="66" t="n">
        <f aca="false">I6*Scenario_Control!$B$38</f>
        <v>0</v>
      </c>
      <c r="J12" s="66" t="n">
        <f aca="false">J6*Scenario_Control!$B$38</f>
        <v>0</v>
      </c>
      <c r="K12" s="66" t="n">
        <f aca="false">K6*Scenario_Control!$B$38</f>
        <v>0</v>
      </c>
    </row>
    <row r="13" customFormat="false" ht="15" hidden="false" customHeight="true" outlineLevel="0" collapsed="false">
      <c r="A13" s="62" t="s">
        <v>397</v>
      </c>
      <c r="B13" s="66" t="n">
        <f aca="false">B7*Scenario_Control!$B$39*Scenario_Control!$B$54</f>
        <v>0</v>
      </c>
      <c r="C13" s="66" t="n">
        <f aca="false">C7*Scenario_Control!$B$39*Scenario_Control!$B$54</f>
        <v>0</v>
      </c>
      <c r="D13" s="66" t="n">
        <f aca="false">D7*Scenario_Control!$B$39*Scenario_Control!$B$54</f>
        <v>0</v>
      </c>
      <c r="E13" s="66" t="n">
        <f aca="false">E7*Scenario_Control!$B$39*Scenario_Control!$B$54</f>
        <v>0</v>
      </c>
      <c r="F13" s="66" t="n">
        <f aca="false">F7*Scenario_Control!$B$39*Scenario_Control!$B$54</f>
        <v>0</v>
      </c>
      <c r="G13" s="66" t="n">
        <f aca="false">G7*Scenario_Control!$B$39*Scenario_Control!$B$54</f>
        <v>0</v>
      </c>
      <c r="H13" s="66" t="n">
        <f aca="false">H7*Scenario_Control!$B$39*Scenario_Control!$B$54</f>
        <v>0</v>
      </c>
      <c r="I13" s="66" t="n">
        <f aca="false">I7*Scenario_Control!$B$39*Scenario_Control!$B$54</f>
        <v>0</v>
      </c>
      <c r="J13" s="66" t="n">
        <f aca="false">J7*Scenario_Control!$B$39*Scenario_Control!$B$54</f>
        <v>0</v>
      </c>
      <c r="K13" s="66" t="n">
        <f aca="false">K7*Scenario_Control!$B$39*Scenario_Control!$B$54</f>
        <v>0</v>
      </c>
    </row>
    <row r="14" customFormat="false" ht="15" hidden="false" customHeight="true" outlineLevel="0" collapsed="false">
      <c r="A14" s="62" t="s">
        <v>398</v>
      </c>
      <c r="B14" s="66" t="n">
        <f aca="false">SUM(B9:B12)</f>
        <v>1140</v>
      </c>
      <c r="C14" s="66" t="n">
        <f aca="false">SUM(C9:C12)</f>
        <v>35710</v>
      </c>
      <c r="D14" s="66" t="n">
        <f aca="false">SUM(D9:D12)</f>
        <v>21250</v>
      </c>
      <c r="E14" s="66" t="n">
        <f aca="false">SUM(E9:E12)</f>
        <v>10900</v>
      </c>
      <c r="F14" s="66" t="n">
        <f aca="false">SUM(F9:F12)</f>
        <v>8400</v>
      </c>
      <c r="G14" s="66" t="n">
        <f aca="false">SUM(G9:G12)</f>
        <v>700</v>
      </c>
      <c r="H14" s="66" t="n">
        <f aca="false">SUM(H9:H12)</f>
        <v>0</v>
      </c>
      <c r="I14" s="66" t="n">
        <f aca="false">SUM(I9:I12)</f>
        <v>0</v>
      </c>
      <c r="J14" s="66" t="n">
        <f aca="false">SUM(J9:J12)</f>
        <v>0</v>
      </c>
      <c r="K14" s="66" t="n">
        <f aca="false">SUM(K9:K12)</f>
        <v>0</v>
      </c>
    </row>
    <row r="15" customFormat="false" ht="15" hidden="false" customHeight="true" outlineLevel="0" collapsed="false">
      <c r="A15" s="59" t="s">
        <v>399</v>
      </c>
      <c r="B15" s="70" t="n">
        <f aca="false">B14+B13</f>
        <v>1140</v>
      </c>
      <c r="C15" s="70" t="n">
        <f aca="false">C14+C13</f>
        <v>35710</v>
      </c>
      <c r="D15" s="70" t="n">
        <f aca="false">D14+D13</f>
        <v>21250</v>
      </c>
      <c r="E15" s="70" t="n">
        <f aca="false">E14+E13</f>
        <v>10900</v>
      </c>
      <c r="F15" s="70" t="n">
        <f aca="false">F14+F13</f>
        <v>8400</v>
      </c>
      <c r="G15" s="70" t="n">
        <f aca="false">G14+G13</f>
        <v>700</v>
      </c>
      <c r="H15" s="70" t="n">
        <f aca="false">H14+H13</f>
        <v>0</v>
      </c>
      <c r="I15" s="70" t="n">
        <f aca="false">I14+I13</f>
        <v>0</v>
      </c>
      <c r="J15" s="70" t="n">
        <f aca="false">J14+J13</f>
        <v>0</v>
      </c>
      <c r="K15" s="70" t="n">
        <f aca="false">K14+K13</f>
        <v>0</v>
      </c>
    </row>
    <row r="16" customFormat="false" ht="15" hidden="false" customHeight="true" outlineLevel="0" collapsed="false">
      <c r="A16" s="59" t="s">
        <v>400</v>
      </c>
      <c r="B16" s="70" t="n">
        <f aca="false">B12*Scenario_Control!$B$44</f>
        <v>0</v>
      </c>
      <c r="C16" s="70" t="n">
        <f aca="false">C12*Scenario_Control!$B$44</f>
        <v>1350</v>
      </c>
      <c r="D16" s="70" t="n">
        <f aca="false">D12*Scenario_Control!$B$44</f>
        <v>2650</v>
      </c>
      <c r="E16" s="70" t="n">
        <f aca="false">E12*Scenario_Control!$B$44</f>
        <v>2600</v>
      </c>
      <c r="F16" s="70" t="n">
        <f aca="false">F12*Scenario_Control!$B$44</f>
        <v>3000</v>
      </c>
      <c r="G16" s="70" t="n">
        <f aca="false">G12*Scenario_Control!$B$44</f>
        <v>0</v>
      </c>
      <c r="H16" s="70" t="n">
        <f aca="false">H12*Scenario_Control!$B$44</f>
        <v>0</v>
      </c>
      <c r="I16" s="70" t="n">
        <f aca="false">I12*Scenario_Control!$B$44</f>
        <v>0</v>
      </c>
      <c r="J16" s="70" t="n">
        <f aca="false">J12*Scenario_Control!$B$44</f>
        <v>0</v>
      </c>
      <c r="K16" s="70" t="n">
        <f aca="false">K12*Scenario_Control!$B$44</f>
        <v>0</v>
      </c>
    </row>
    <row r="17" customFormat="false" ht="15" hidden="false" customHeight="true" outlineLevel="0" collapsed="false">
      <c r="A17" s="62" t="s">
        <v>401</v>
      </c>
      <c r="B17" s="66" t="n">
        <f aca="false">B13*Scenario_Control!$B$45</f>
        <v>0</v>
      </c>
      <c r="C17" s="66" t="n">
        <f aca="false">C13*Scenario_Control!$B$45</f>
        <v>0</v>
      </c>
      <c r="D17" s="66" t="n">
        <f aca="false">D13*Scenario_Control!$B$45</f>
        <v>0</v>
      </c>
      <c r="E17" s="66" t="n">
        <f aca="false">E13*Scenario_Control!$B$45</f>
        <v>0</v>
      </c>
      <c r="F17" s="66" t="n">
        <f aca="false">F13*Scenario_Control!$B$45</f>
        <v>0</v>
      </c>
      <c r="G17" s="66" t="n">
        <f aca="false">G13*Scenario_Control!$B$45</f>
        <v>0</v>
      </c>
      <c r="H17" s="66" t="n">
        <f aca="false">H13*Scenario_Control!$B$45</f>
        <v>0</v>
      </c>
      <c r="I17" s="66" t="n">
        <f aca="false">I13*Scenario_Control!$B$45</f>
        <v>0</v>
      </c>
      <c r="J17" s="66" t="n">
        <f aca="false">J13*Scenario_Control!$B$45</f>
        <v>0</v>
      </c>
      <c r="K17" s="66" t="n">
        <f aca="false">K13*Scenario_Control!$B$45</f>
        <v>0</v>
      </c>
    </row>
    <row r="18" customFormat="false" ht="15" hidden="false" customHeight="true" outlineLevel="0" collapsed="false">
      <c r="A18" s="62" t="s">
        <v>402</v>
      </c>
      <c r="B18" s="66" t="n">
        <f aca="false">(B9+B10+B11)*(1-Scenario_Control!$B$48)+B12*(1-Scenario_Control!$B$44)</f>
        <v>1026</v>
      </c>
      <c r="C18" s="66" t="n">
        <f aca="false">(C9+C10+C11)*(1-Scenario_Control!$B$48)+C12*(1-Scenario_Control!$B$44)</f>
        <v>31059</v>
      </c>
      <c r="D18" s="66" t="n">
        <f aca="false">(D9+D10+D11)*(1-Scenario_Control!$B$48)+D12*(1-Scenario_Control!$B$44)</f>
        <v>17005</v>
      </c>
      <c r="E18" s="66" t="n">
        <f aca="false">(E9+E10+E11)*(1-Scenario_Control!$B$48)+E12*(1-Scenario_Control!$B$44)</f>
        <v>7730</v>
      </c>
      <c r="F18" s="66" t="n">
        <f aca="false">(F9+F10+F11)*(1-Scenario_Control!$B$48)+F12*(1-Scenario_Control!$B$44)</f>
        <v>5160</v>
      </c>
      <c r="G18" s="66" t="n">
        <f aca="false">(G9+G10+G11)*(1-Scenario_Control!$B$48)+G12*(1-Scenario_Control!$B$44)</f>
        <v>630</v>
      </c>
      <c r="H18" s="66" t="n">
        <f aca="false">(H9+H10+H11)*(1-Scenario_Control!$B$48)+H12*(1-Scenario_Control!$B$44)</f>
        <v>0</v>
      </c>
      <c r="I18" s="66" t="n">
        <f aca="false">(I9+I10+I11)*(1-Scenario_Control!$B$48)+I12*(1-Scenario_Control!$B$44)</f>
        <v>0</v>
      </c>
      <c r="J18" s="66" t="n">
        <f aca="false">(J9+J10+J11)*(1-Scenario_Control!$B$48)+J12*(1-Scenario_Control!$B$44)</f>
        <v>0</v>
      </c>
      <c r="K18" s="66" t="n">
        <f aca="false">(K9+K10+K11)*(1-Scenario_Control!$B$48)+K12*(1-Scenario_Control!$B$44)</f>
        <v>0</v>
      </c>
    </row>
    <row r="19" customFormat="false" ht="15" hidden="false" customHeight="true" outlineLevel="0" collapsed="false">
      <c r="A19" s="62" t="s">
        <v>403</v>
      </c>
      <c r="B19" s="66" t="n">
        <f aca="false">B13*(1-Scenario_Control!$B$45)</f>
        <v>0</v>
      </c>
      <c r="C19" s="66" t="n">
        <f aca="false">C13*(1-Scenario_Control!$B$45)</f>
        <v>0</v>
      </c>
      <c r="D19" s="66" t="n">
        <f aca="false">D13*(1-Scenario_Control!$B$45)</f>
        <v>0</v>
      </c>
      <c r="E19" s="66" t="n">
        <f aca="false">E13*(1-Scenario_Control!$B$45)</f>
        <v>0</v>
      </c>
      <c r="F19" s="66" t="n">
        <f aca="false">F13*(1-Scenario_Control!$B$45)</f>
        <v>0</v>
      </c>
      <c r="G19" s="66" t="n">
        <f aca="false">G13*(1-Scenario_Control!$B$45)</f>
        <v>0</v>
      </c>
      <c r="H19" s="66" t="n">
        <f aca="false">H13*(1-Scenario_Control!$B$45)</f>
        <v>0</v>
      </c>
      <c r="I19" s="66" t="n">
        <f aca="false">I13*(1-Scenario_Control!$B$45)</f>
        <v>0</v>
      </c>
      <c r="J19" s="66" t="n">
        <f aca="false">J13*(1-Scenario_Control!$B$45)</f>
        <v>0</v>
      </c>
      <c r="K19" s="66" t="n">
        <f aca="false">K13*(1-Scenario_Control!$B$45)</f>
        <v>0</v>
      </c>
    </row>
    <row r="20" customFormat="false" ht="15" hidden="false" customHeight="true" outlineLevel="0" collapsed="false">
      <c r="A20" s="62" t="s">
        <v>404</v>
      </c>
      <c r="B20" s="66" t="n">
        <f aca="false">B15*Scenario_Control!$B$43</f>
        <v>114</v>
      </c>
      <c r="C20" s="66" t="n">
        <f aca="false">C15*Scenario_Control!$B$43</f>
        <v>3571</v>
      </c>
      <c r="D20" s="66" t="n">
        <f aca="false">D15*Scenario_Control!$B$43</f>
        <v>2125</v>
      </c>
      <c r="E20" s="66" t="n">
        <f aca="false">E15*Scenario_Control!$B$43</f>
        <v>1090</v>
      </c>
      <c r="F20" s="66" t="n">
        <f aca="false">F15*Scenario_Control!$B$43</f>
        <v>840</v>
      </c>
      <c r="G20" s="66" t="n">
        <f aca="false">G15*Scenario_Control!$B$43</f>
        <v>70</v>
      </c>
      <c r="H20" s="66" t="n">
        <f aca="false">H15*Scenario_Control!$B$43</f>
        <v>0</v>
      </c>
      <c r="I20" s="66" t="n">
        <f aca="false">I15*Scenario_Control!$B$43</f>
        <v>0</v>
      </c>
      <c r="J20" s="66" t="n">
        <f aca="false">J15*Scenario_Control!$B$43</f>
        <v>0</v>
      </c>
      <c r="K20" s="66" t="n">
        <f aca="false">K15*Scenario_Control!$B$43</f>
        <v>0</v>
      </c>
    </row>
    <row r="21" customFormat="false" ht="15" hidden="false" customHeight="true" outlineLevel="0" collapsed="false">
      <c r="A21" s="59" t="s">
        <v>405</v>
      </c>
      <c r="B21" s="70" t="n">
        <f aca="false">B18+B19+B20</f>
        <v>1140</v>
      </c>
      <c r="C21" s="70" t="n">
        <f aca="false">C18+C19+C20</f>
        <v>34630</v>
      </c>
      <c r="D21" s="70" t="n">
        <f aca="false">D18+D19+D20</f>
        <v>19130</v>
      </c>
      <c r="E21" s="70" t="n">
        <f aca="false">E18+E19+E20</f>
        <v>8820</v>
      </c>
      <c r="F21" s="70" t="n">
        <f aca="false">F18+F19+F20</f>
        <v>6000</v>
      </c>
      <c r="G21" s="70" t="n">
        <f aca="false">G18+G19+G20</f>
        <v>700</v>
      </c>
      <c r="H21" s="70" t="n">
        <f aca="false">H18+H19+H20</f>
        <v>0</v>
      </c>
      <c r="I21" s="70" t="n">
        <f aca="false">I18+I19+I20</f>
        <v>0</v>
      </c>
      <c r="J21" s="70" t="n">
        <f aca="false">J18+J19+J20</f>
        <v>0</v>
      </c>
      <c r="K21" s="70" t="n">
        <f aca="false">K18+K19+K20</f>
        <v>0</v>
      </c>
    </row>
    <row r="22" customFormat="false" ht="15" hidden="false" customHeight="true" outlineLevel="0" collapsed="false">
      <c r="A22" s="59" t="s">
        <v>406</v>
      </c>
      <c r="B22" s="70" t="n">
        <f aca="false">SUM($B$14:B14)*(1+Scenario_Control!$B$43)</f>
        <v>1254</v>
      </c>
      <c r="C22" s="70" t="n">
        <f aca="false">SUM($B$14:C14)*(1+Scenario_Control!$B$43)</f>
        <v>40535</v>
      </c>
      <c r="D22" s="70" t="n">
        <f aca="false">SUM($B$14:D14)*(1+Scenario_Control!$B$43)</f>
        <v>63910</v>
      </c>
      <c r="E22" s="70" t="n">
        <f aca="false">SUM($B$14:E14)*(1+Scenario_Control!$B$43)</f>
        <v>75900</v>
      </c>
      <c r="F22" s="70" t="n">
        <f aca="false">SUM($B$14:F14)*(1+Scenario_Control!$B$43)</f>
        <v>85140</v>
      </c>
      <c r="G22" s="70" t="n">
        <f aca="false">SUM($B$14:G14)*(1+Scenario_Control!$B$43)</f>
        <v>85910</v>
      </c>
      <c r="H22" s="70" t="n">
        <f aca="false">SUM($B$14:H14)*(1+Scenario_Control!$B$43)</f>
        <v>85910</v>
      </c>
      <c r="I22" s="70" t="n">
        <f aca="false">SUM($B$14:I14)*(1+Scenario_Control!$B$43)</f>
        <v>85910</v>
      </c>
      <c r="J22" s="70" t="n">
        <f aca="false">SUM($B$14:J14)*(1+Scenario_Control!$B$43)</f>
        <v>85910</v>
      </c>
      <c r="K22" s="70" t="n">
        <f aca="false">SUM($B$14:K14)*(1+Scenario_Control!$B$43)</f>
        <v>85910</v>
      </c>
    </row>
    <row r="23" customFormat="false" ht="15" hidden="false" customHeight="true" outlineLevel="0" collapsed="false">
      <c r="A23" s="59" t="s">
        <v>407</v>
      </c>
      <c r="B23" s="70" t="n">
        <f aca="false">SUM($B$15:B15)*(1+Scenario_Control!$B$43)</f>
        <v>1254</v>
      </c>
      <c r="C23" s="70" t="n">
        <f aca="false">SUM($B$15:C15)*(1+Scenario_Control!$B$43)</f>
        <v>40535</v>
      </c>
      <c r="D23" s="70" t="n">
        <f aca="false">SUM($B$15:D15)*(1+Scenario_Control!$B$43)</f>
        <v>63910</v>
      </c>
      <c r="E23" s="70" t="n">
        <f aca="false">SUM($B$15:E15)*(1+Scenario_Control!$B$43)</f>
        <v>75900</v>
      </c>
      <c r="F23" s="70" t="n">
        <f aca="false">SUM($B$15:F15)*(1+Scenario_Control!$B$43)</f>
        <v>85140</v>
      </c>
      <c r="G23" s="70" t="n">
        <f aca="false">SUM($B$15:G15)*(1+Scenario_Control!$B$43)</f>
        <v>85910</v>
      </c>
      <c r="H23" s="70" t="n">
        <f aca="false">SUM($B$15:H15)*(1+Scenario_Control!$B$43)</f>
        <v>85910</v>
      </c>
      <c r="I23" s="70" t="n">
        <f aca="false">SUM($B$15:I15)*(1+Scenario_Control!$B$43)</f>
        <v>85910</v>
      </c>
      <c r="J23" s="70" t="n">
        <f aca="false">SUM($B$15:J15)*(1+Scenario_Control!$B$43)</f>
        <v>85910</v>
      </c>
      <c r="K23" s="70" t="n">
        <f aca="false">SUM($B$15:K15)*(1+Scenario_Control!$B$43)</f>
        <v>85910</v>
      </c>
    </row>
    <row r="24" customFormat="false" ht="15" hidden="false" customHeight="true" outlineLevel="0" collapsed="false">
      <c r="A24" s="62" t="s">
        <v>408</v>
      </c>
      <c r="B24" s="65" t="n">
        <f aca="false">IF(B15=0,0,B13/B15)</f>
        <v>0</v>
      </c>
      <c r="C24" s="65" t="n">
        <f aca="false">IF(C15=0,0,C13/C15)</f>
        <v>0</v>
      </c>
      <c r="D24" s="65" t="n">
        <f aca="false">IF(D15=0,0,D13/D15)</f>
        <v>0</v>
      </c>
      <c r="E24" s="65" t="n">
        <f aca="false">IF(E15=0,0,E13/E15)</f>
        <v>0</v>
      </c>
      <c r="F24" s="65" t="n">
        <f aca="false">IF(F15=0,0,F13/F15)</f>
        <v>0</v>
      </c>
      <c r="G24" s="65" t="n">
        <f aca="false">IF(G15=0,0,G13/G15)</f>
        <v>0</v>
      </c>
      <c r="H24" s="65" t="n">
        <f aca="false">IF(H15=0,0,H13/H15)</f>
        <v>0</v>
      </c>
      <c r="I24" s="65" t="n">
        <f aca="false">IF(I15=0,0,I13/I15)</f>
        <v>0</v>
      </c>
      <c r="J24" s="65" t="n">
        <f aca="false">IF(J15=0,0,J13/J15)</f>
        <v>0</v>
      </c>
      <c r="K24" s="65" t="n">
        <f aca="false">IF(K15=0,0,K13/K15)</f>
        <v>0</v>
      </c>
    </row>
  </sheetData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93B"/>
    <pageSetUpPr fitToPage="tru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48"/>
    <col collapsed="false" customWidth="true" hidden="false" outlineLevel="0" max="11" min="2" style="1" width="14"/>
  </cols>
  <sheetData>
    <row r="1" customFormat="false" ht="42" hidden="false" customHeight="true" outlineLevel="0" collapsed="false">
      <c r="A1" s="40" t="s">
        <v>409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410</v>
      </c>
      <c r="B3" s="9" t="s">
        <v>226</v>
      </c>
      <c r="C3" s="9" t="s">
        <v>227</v>
      </c>
      <c r="D3" s="9" t="s">
        <v>92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232</v>
      </c>
      <c r="J3" s="9" t="s">
        <v>233</v>
      </c>
      <c r="K3" s="9" t="s">
        <v>234</v>
      </c>
    </row>
    <row r="4" customFormat="false" ht="15" hidden="false" customHeight="true" outlineLevel="0" collapsed="false">
      <c r="A4" s="62" t="s">
        <v>411</v>
      </c>
      <c r="B4" s="66" t="n">
        <f aca="false">BTC_Model!B13</f>
        <v>632.703166666667</v>
      </c>
      <c r="C4" s="66" t="n">
        <f aca="false">BTC_Model!C13</f>
        <v>21609.048234375</v>
      </c>
      <c r="D4" s="66" t="n">
        <f aca="false">BTC_Model!D13</f>
        <v>16047.9656458333</v>
      </c>
      <c r="E4" s="66" t="n">
        <f aca="false">BTC_Model!E13</f>
        <v>17210.2138541667</v>
      </c>
      <c r="F4" s="66" t="n">
        <f aca="false">BTC_Model!F13</f>
        <v>18148.9527916667</v>
      </c>
      <c r="G4" s="66" t="n">
        <f aca="false">BTC_Model!G13</f>
        <v>17619.40775</v>
      </c>
      <c r="H4" s="66" t="n">
        <f aca="false">BTC_Model!H13</f>
        <v>9242.968</v>
      </c>
      <c r="I4" s="66" t="n">
        <f aca="false">BTC_Model!I13</f>
        <v>9676.232125</v>
      </c>
      <c r="J4" s="66" t="n">
        <f aca="false">BTC_Model!J13</f>
        <v>10109.49625</v>
      </c>
      <c r="K4" s="66" t="n">
        <f aca="false">BTC_Model!K13</f>
        <v>10542.760375</v>
      </c>
    </row>
    <row r="5" customFormat="false" ht="15" hidden="false" customHeight="true" outlineLevel="0" collapsed="false">
      <c r="A5" s="62" t="s">
        <v>412</v>
      </c>
      <c r="B5" s="66" t="n">
        <f aca="false">DR_Model!B9</f>
        <v>100.4</v>
      </c>
      <c r="C5" s="66" t="n">
        <f aca="false">DR_Model!C9</f>
        <v>3219.075</v>
      </c>
      <c r="D5" s="66" t="n">
        <f aca="false">DR_Model!D9</f>
        <v>4445.45</v>
      </c>
      <c r="E5" s="66" t="n">
        <f aca="false">DR_Model!E9</f>
        <v>2644.45</v>
      </c>
      <c r="F5" s="66" t="n">
        <f aca="false">DR_Model!F9</f>
        <v>1875.7</v>
      </c>
      <c r="G5" s="66" t="n">
        <f aca="false">DR_Model!G9</f>
        <v>1696.8</v>
      </c>
      <c r="H5" s="66" t="n">
        <f aca="false">DR_Model!H9</f>
        <v>1696.8</v>
      </c>
      <c r="I5" s="66" t="n">
        <f aca="false">DR_Model!I9</f>
        <v>1696.8</v>
      </c>
      <c r="J5" s="66" t="n">
        <f aca="false">DR_Model!J9</f>
        <v>1696.8</v>
      </c>
      <c r="K5" s="66" t="n">
        <f aca="false">DR_Model!K9</f>
        <v>1696.8</v>
      </c>
    </row>
    <row r="6" customFormat="false" ht="15" hidden="false" customHeight="true" outlineLevel="0" collapsed="false">
      <c r="A6" s="62" t="s">
        <v>413</v>
      </c>
      <c r="B6" s="66" t="n">
        <f aca="false">DR_Model!B10</f>
        <v>0</v>
      </c>
      <c r="C6" s="66" t="n">
        <f aca="false">DR_Model!C10</f>
        <v>3486.5019</v>
      </c>
      <c r="D6" s="66" t="n">
        <f aca="false">DR_Model!D10</f>
        <v>7319.6151</v>
      </c>
      <c r="E6" s="66" t="n">
        <f aca="false">DR_Model!E10</f>
        <v>8658.4862</v>
      </c>
      <c r="F6" s="66" t="n">
        <f aca="false">DR_Model!F10</f>
        <v>8658.4862</v>
      </c>
      <c r="G6" s="66" t="n">
        <f aca="false">DR_Model!G10</f>
        <v>7992.4488</v>
      </c>
      <c r="H6" s="66" t="n">
        <f aca="false">DR_Model!H10</f>
        <v>7992.4488</v>
      </c>
      <c r="I6" s="66" t="n">
        <f aca="false">DR_Model!I10</f>
        <v>7992.4488</v>
      </c>
      <c r="J6" s="66" t="n">
        <f aca="false">DR_Model!J10</f>
        <v>7992.4488</v>
      </c>
      <c r="K6" s="66" t="n">
        <f aca="false">DR_Model!K10</f>
        <v>7992.4488</v>
      </c>
    </row>
    <row r="7" customFormat="false" ht="15" hidden="false" customHeight="true" outlineLevel="0" collapsed="false">
      <c r="A7" s="62" t="s">
        <v>414</v>
      </c>
      <c r="B7" s="66" t="n">
        <f aca="false">IF(B$3&lt;2028,0,DR_Model!B9*0.3)</f>
        <v>30.12</v>
      </c>
      <c r="C7" s="66" t="n">
        <f aca="false">IF(C$3&lt;2028,0,DR_Model!C9*0.3)</f>
        <v>965.7225</v>
      </c>
      <c r="D7" s="66" t="n">
        <f aca="false">IF(D$3&lt;2028,0,DR_Model!D9*0.3)</f>
        <v>1333.635</v>
      </c>
      <c r="E7" s="66" t="n">
        <f aca="false">IF(E$3&lt;2028,0,DR_Model!E9*0.3)</f>
        <v>793.335</v>
      </c>
      <c r="F7" s="66" t="n">
        <f aca="false">IF(F$3&lt;2028,0,DR_Model!F9*0.3)</f>
        <v>562.71</v>
      </c>
      <c r="G7" s="66" t="n">
        <f aca="false">IF(G$3&lt;2028,0,DR_Model!G9*0.3)</f>
        <v>509.04</v>
      </c>
      <c r="H7" s="66" t="n">
        <f aca="false">IF(H$3&lt;2028,0,DR_Model!H9*0.3)</f>
        <v>509.04</v>
      </c>
      <c r="I7" s="66" t="n">
        <f aca="false">IF(I$3&lt;2028,0,DR_Model!I9*0.3)</f>
        <v>509.04</v>
      </c>
      <c r="J7" s="66" t="n">
        <f aca="false">IF(J$3&lt;2028,0,DR_Model!J9*0.3)</f>
        <v>509.04</v>
      </c>
      <c r="K7" s="66" t="n">
        <f aca="false">IF(K$3&lt;2028,0,DR_Model!K9*0.3)</f>
        <v>509.04</v>
      </c>
    </row>
    <row r="8" customFormat="false" ht="15" hidden="false" customHeight="true" outlineLevel="0" collapsed="false">
      <c r="A8" s="62" t="s">
        <v>415</v>
      </c>
      <c r="B8" s="66" t="n">
        <f aca="false">AI_DC_Model!B8</f>
        <v>0</v>
      </c>
      <c r="C8" s="66" t="n">
        <f aca="false">AI_DC_Model!C8</f>
        <v>1477.6587</v>
      </c>
      <c r="D8" s="66" t="n">
        <f aca="false">AI_DC_Model!D8</f>
        <v>4465.81296</v>
      </c>
      <c r="E8" s="66" t="n">
        <f aca="false">AI_DC_Model!E8</f>
        <v>7515.96321168</v>
      </c>
      <c r="F8" s="66" t="n">
        <f aca="false">AI_DC_Model!F8</f>
        <v>11150.9563286016</v>
      </c>
      <c r="G8" s="66" t="n">
        <f aca="false">AI_DC_Model!G8</f>
        <v>11137.0176331909</v>
      </c>
      <c r="H8" s="66" t="n">
        <f aca="false">AI_DC_Model!H8</f>
        <v>11359.7579858547</v>
      </c>
      <c r="I8" s="66" t="n">
        <f aca="false">AI_DC_Model!I8</f>
        <v>11586.9531455718</v>
      </c>
      <c r="J8" s="66" t="n">
        <f aca="false">AI_DC_Model!J8</f>
        <v>11818.6922084832</v>
      </c>
      <c r="K8" s="66" t="n">
        <f aca="false">AI_DC_Model!K8</f>
        <v>12055.0660526529</v>
      </c>
    </row>
    <row r="9" customFormat="false" ht="15" hidden="false" customHeight="true" outlineLevel="0" collapsed="false">
      <c r="A9" s="62" t="s">
        <v>416</v>
      </c>
      <c r="B9" s="66" t="n">
        <f aca="false">AI_DC_Model!B11</f>
        <v>0</v>
      </c>
      <c r="C9" s="66" t="n">
        <f aca="false">AI_DC_Model!C11</f>
        <v>607.5</v>
      </c>
      <c r="D9" s="66" t="n">
        <f aca="false">AI_DC_Model!D11</f>
        <v>1800</v>
      </c>
      <c r="E9" s="66" t="n">
        <f aca="false">AI_DC_Model!E11</f>
        <v>2970</v>
      </c>
      <c r="F9" s="66" t="n">
        <f aca="false">AI_DC_Model!F11</f>
        <v>4320</v>
      </c>
      <c r="G9" s="66" t="n">
        <f aca="false">AI_DC_Model!G11</f>
        <v>4230</v>
      </c>
      <c r="H9" s="66" t="n">
        <f aca="false">AI_DC_Model!H11</f>
        <v>4230</v>
      </c>
      <c r="I9" s="66" t="n">
        <f aca="false">AI_DC_Model!I11</f>
        <v>4230</v>
      </c>
      <c r="J9" s="66" t="n">
        <f aca="false">AI_DC_Model!J11</f>
        <v>4230</v>
      </c>
      <c r="K9" s="66" t="n">
        <f aca="false">AI_DC_Model!K11</f>
        <v>4230</v>
      </c>
    </row>
    <row r="10" customFormat="false" ht="15" hidden="false" customHeight="true" outlineLevel="0" collapsed="false">
      <c r="A10" s="59" t="s">
        <v>417</v>
      </c>
      <c r="B10" s="70" t="n">
        <f aca="false">SUM(B4:B5,B7:B9)</f>
        <v>763.223166666667</v>
      </c>
      <c r="C10" s="70" t="n">
        <f aca="false">SUM(C4:C5,C7:C9)</f>
        <v>27879.004434375</v>
      </c>
      <c r="D10" s="70" t="n">
        <f aca="false">SUM(D4:D5,D7:D9)</f>
        <v>28092.8636058333</v>
      </c>
      <c r="E10" s="70" t="n">
        <f aca="false">SUM(E4:E5,E7:E9)</f>
        <v>31133.9620658467</v>
      </c>
      <c r="F10" s="70" t="n">
        <f aca="false">SUM(F4:F5,F7:F9)</f>
        <v>36058.3191202683</v>
      </c>
      <c r="G10" s="70" t="n">
        <f aca="false">SUM(G4:G5,G7:G9)</f>
        <v>35192.2653831909</v>
      </c>
      <c r="H10" s="70" t="n">
        <f aca="false">SUM(H4:H5,H7:H9)</f>
        <v>27038.5659858547</v>
      </c>
      <c r="I10" s="70" t="n">
        <f aca="false">SUM(I4:I5,I7:I9)</f>
        <v>27699.0252705718</v>
      </c>
      <c r="J10" s="70" t="n">
        <f aca="false">SUM(J4:J5,J7:J9)</f>
        <v>28364.0284584832</v>
      </c>
      <c r="K10" s="70" t="n">
        <f aca="false">SUM(K4:K5,K7:K9)</f>
        <v>29033.6664276529</v>
      </c>
    </row>
    <row r="11" customFormat="false" ht="15" hidden="false" customHeight="true" outlineLevel="0" collapsed="false">
      <c r="A11" s="62" t="s">
        <v>418</v>
      </c>
      <c r="B11" s="66" t="n">
        <f aca="false">AI_DC_Model!B14</f>
        <v>0</v>
      </c>
      <c r="C11" s="66" t="n">
        <f aca="false">AI_DC_Model!C14</f>
        <v>0</v>
      </c>
      <c r="D11" s="66" t="n">
        <f aca="false">AI_DC_Model!D14</f>
        <v>0</v>
      </c>
      <c r="E11" s="66" t="n">
        <f aca="false">AI_DC_Model!E14</f>
        <v>0</v>
      </c>
      <c r="F11" s="66" t="n">
        <f aca="false">AI_DC_Model!F14</f>
        <v>0</v>
      </c>
      <c r="G11" s="66" t="n">
        <f aca="false">AI_DC_Model!G14</f>
        <v>0</v>
      </c>
      <c r="H11" s="66" t="n">
        <f aca="false">AI_DC_Model!H14</f>
        <v>0</v>
      </c>
      <c r="I11" s="66" t="n">
        <f aca="false">AI_DC_Model!I14</f>
        <v>0</v>
      </c>
      <c r="J11" s="66" t="n">
        <f aca="false">AI_DC_Model!J14</f>
        <v>0</v>
      </c>
      <c r="K11" s="66" t="n">
        <f aca="false">AI_DC_Model!K14</f>
        <v>0</v>
      </c>
    </row>
    <row r="12" customFormat="false" ht="15" hidden="false" customHeight="true" outlineLevel="0" collapsed="false">
      <c r="A12" s="59" t="s">
        <v>419</v>
      </c>
      <c r="B12" s="70" t="n">
        <f aca="false">B10+B11</f>
        <v>763.223166666667</v>
      </c>
      <c r="C12" s="70" t="n">
        <f aca="false">C10+C11</f>
        <v>27879.004434375</v>
      </c>
      <c r="D12" s="70" t="n">
        <f aca="false">D10+D11</f>
        <v>28092.8636058333</v>
      </c>
      <c r="E12" s="70" t="n">
        <f aca="false">E10+E11</f>
        <v>31133.9620658467</v>
      </c>
      <c r="F12" s="70" t="n">
        <f aca="false">F10+F11</f>
        <v>36058.3191202683</v>
      </c>
      <c r="G12" s="70" t="n">
        <f aca="false">G10+G11</f>
        <v>35192.2653831909</v>
      </c>
      <c r="H12" s="70" t="n">
        <f aca="false">H10+H11</f>
        <v>27038.5659858547</v>
      </c>
      <c r="I12" s="70" t="n">
        <f aca="false">I10+I11</f>
        <v>27699.0252705718</v>
      </c>
      <c r="J12" s="70" t="n">
        <f aca="false">J10+J11</f>
        <v>28364.0284584832</v>
      </c>
      <c r="K12" s="70" t="n">
        <f aca="false">K10+K11</f>
        <v>29033.6664276529</v>
      </c>
    </row>
    <row r="13" customFormat="false" ht="15" hidden="false" customHeight="true" outlineLevel="0" collapsed="false">
      <c r="A13" s="62" t="s">
        <v>420</v>
      </c>
      <c r="B13" s="65" t="n">
        <f aca="false">IF(B12=0,0,B4/B12)</f>
        <v>0.828988419507706</v>
      </c>
      <c r="C13" s="65" t="n">
        <f aca="false">IF(C12=0,0,C4/C12)</f>
        <v>0.77510114413307</v>
      </c>
      <c r="D13" s="65" t="n">
        <f aca="false">IF(D12=0,0,D4/D12)</f>
        <v>0.571247056583476</v>
      </c>
      <c r="E13" s="65" t="n">
        <f aca="false">IF(E12=0,0,E4/E12)</f>
        <v>0.552779431598458</v>
      </c>
      <c r="F13" s="65" t="n">
        <f aca="false">IF(F12=0,0,F4/F12)</f>
        <v>0.503322207869229</v>
      </c>
      <c r="G13" s="65" t="n">
        <f aca="false">IF(G12=0,0,G4/G12)</f>
        <v>0.500661368574917</v>
      </c>
      <c r="H13" s="65" t="n">
        <f aca="false">IF(H12=0,0,H4/H12)</f>
        <v>0.341843868673934</v>
      </c>
      <c r="I13" s="65" t="n">
        <f aca="false">IF(I12=0,0,I4/I12)</f>
        <v>0.349334752052821</v>
      </c>
      <c r="J13" s="65" t="n">
        <f aca="false">IF(J12=0,0,J4/J12)</f>
        <v>0.356419620181858</v>
      </c>
      <c r="K13" s="65" t="n">
        <f aca="false">IF(K12=0,0,K4/K12)</f>
        <v>0.36312190888019</v>
      </c>
    </row>
    <row r="14" customFormat="false" ht="15" hidden="false" customHeight="true" outlineLevel="0" collapsed="false">
      <c r="A14" s="62" t="s">
        <v>421</v>
      </c>
      <c r="B14" s="65" t="n">
        <f aca="false">IF(B12=0,0,(B5+B7)/B12)</f>
        <v>0.171011580492294</v>
      </c>
      <c r="C14" s="65" t="n">
        <f aca="false">IF(C12=0,0,(C5+C7)/C12)</f>
        <v>0.150105700863554</v>
      </c>
      <c r="D14" s="65" t="n">
        <f aca="false">IF(D12=0,0,(D5+D7)/D12)</f>
        <v>0.205713631799359</v>
      </c>
      <c r="E14" s="65" t="n">
        <f aca="false">IF(E12=0,0,(E5+E7)/E12)</f>
        <v>0.110419129846991</v>
      </c>
      <c r="F14" s="65" t="n">
        <f aca="false">IF(F12=0,0,(F5+F7)/F12)</f>
        <v>0.0676240617835505</v>
      </c>
      <c r="G14" s="65" t="n">
        <f aca="false">IF(G12=0,0,(G5+G7)/G12)</f>
        <v>0.0626796819125373</v>
      </c>
      <c r="H14" s="65" t="n">
        <f aca="false">IF(H12=0,0,(H5+H7)/H12)</f>
        <v>0.0815812495808392</v>
      </c>
      <c r="I14" s="65" t="n">
        <f aca="false">IF(I12=0,0,(I5+I7)/I12)</f>
        <v>0.079636015291251</v>
      </c>
      <c r="J14" s="65" t="n">
        <f aca="false">IF(J12=0,0,(J5+J7)/J12)</f>
        <v>0.0777689249335198</v>
      </c>
      <c r="K14" s="65" t="n">
        <f aca="false">IF(K12=0,0,(K5+K7)/K12)</f>
        <v>0.0759752477523496</v>
      </c>
    </row>
    <row r="15" customFormat="false" ht="15" hidden="false" customHeight="true" outlineLevel="0" collapsed="false">
      <c r="A15" s="62" t="s">
        <v>422</v>
      </c>
      <c r="B15" s="65" t="n">
        <f aca="false">IF(B12=0,0,(B8+B9+B11)/B12)</f>
        <v>0</v>
      </c>
      <c r="C15" s="65" t="n">
        <f aca="false">IF(C12=0,0,(C8+C9+C11)/C12)</f>
        <v>0.0747931550033754</v>
      </c>
      <c r="D15" s="65" t="n">
        <f aca="false">IF(D12=0,0,(D8+D9+D11)/D12)</f>
        <v>0.223039311617166</v>
      </c>
      <c r="E15" s="65" t="n">
        <f aca="false">IF(E12=0,0,(E8+E9+E11)/E12)</f>
        <v>0.336801438554552</v>
      </c>
      <c r="F15" s="65" t="n">
        <f aca="false">IF(F12=0,0,(F8+F9+F11)/F12)</f>
        <v>0.42905373034722</v>
      </c>
      <c r="G15" s="65" t="n">
        <f aca="false">IF(G12=0,0,(G8+G9+G11)/G12)</f>
        <v>0.436658949512546</v>
      </c>
      <c r="H15" s="65" t="n">
        <f aca="false">IF(H12=0,0,(H8+H9+H11)/H12)</f>
        <v>0.576574881745227</v>
      </c>
      <c r="I15" s="65" t="n">
        <f aca="false">IF(I12=0,0,(I8+I9+I11)/I12)</f>
        <v>0.571029232655928</v>
      </c>
      <c r="J15" s="65" t="n">
        <f aca="false">IF(J12=0,0,(J8+J9+J11)/J12)</f>
        <v>0.565811454884622</v>
      </c>
      <c r="K15" s="65" t="n">
        <f aca="false">IF(K12=0,0,(K8+K9+K11)/K12)</f>
        <v>0.56090284336746</v>
      </c>
    </row>
    <row r="16" customFormat="false" ht="54.75" hidden="false" customHeight="true" outlineLevel="0" collapsed="false">
      <c r="A16" s="62" t="s">
        <v>423</v>
      </c>
      <c r="B16" s="69" t="s">
        <v>424</v>
      </c>
      <c r="C16" s="69" t="s">
        <v>425</v>
      </c>
      <c r="D16" s="69" t="s">
        <v>425</v>
      </c>
      <c r="E16" s="69" t="s">
        <v>426</v>
      </c>
      <c r="F16" s="69" t="s">
        <v>426</v>
      </c>
      <c r="G16" s="69" t="s">
        <v>426</v>
      </c>
      <c r="H16" s="69" t="s">
        <v>426</v>
      </c>
      <c r="I16" s="69" t="s">
        <v>426</v>
      </c>
      <c r="J16" s="69" t="s">
        <v>426</v>
      </c>
      <c r="K16" s="69" t="s">
        <v>426</v>
      </c>
    </row>
  </sheetData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93B"/>
    <pageSetUpPr fitToPage="tru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46"/>
    <col collapsed="false" customWidth="true" hidden="false" outlineLevel="0" max="11" min="2" style="1" width="14"/>
    <col collapsed="false" customWidth="true" hidden="false" outlineLevel="0" max="15" min="13" style="1" width="24"/>
  </cols>
  <sheetData>
    <row r="1" customFormat="false" ht="42" hidden="false" customHeight="true" outlineLevel="0" collapsed="false">
      <c r="A1" s="40" t="s">
        <v>427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71"/>
      <c r="M1" s="71"/>
      <c r="N1" s="71"/>
      <c r="O1" s="71"/>
    </row>
    <row r="2" customFormat="false" ht="15.75" hidden="false" customHeight="true" outlineLevel="0" collapsed="false">
      <c r="A2" s="72" t="s">
        <v>428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customFormat="false" ht="15" hidden="false" customHeight="true" outlineLevel="0" collapsed="false">
      <c r="A3" s="9" t="s">
        <v>3</v>
      </c>
      <c r="B3" s="9" t="s">
        <v>226</v>
      </c>
      <c r="C3" s="9" t="s">
        <v>227</v>
      </c>
      <c r="D3" s="9" t="s">
        <v>92</v>
      </c>
      <c r="E3" s="9" t="s">
        <v>228</v>
      </c>
      <c r="F3" s="9" t="s">
        <v>229</v>
      </c>
      <c r="G3" s="9" t="s">
        <v>230</v>
      </c>
      <c r="H3" s="9" t="s">
        <v>231</v>
      </c>
      <c r="I3" s="9" t="s">
        <v>232</v>
      </c>
      <c r="J3" s="9" t="s">
        <v>233</v>
      </c>
      <c r="K3" s="9" t="s">
        <v>234</v>
      </c>
      <c r="L3" s="9"/>
      <c r="M3" s="9" t="s">
        <v>429</v>
      </c>
      <c r="N3" s="9" t="s">
        <v>430</v>
      </c>
      <c r="O3" s="9" t="s">
        <v>431</v>
      </c>
    </row>
    <row r="4" customFormat="false" ht="15" hidden="false" customHeight="true" outlineLevel="0" collapsed="false">
      <c r="A4" s="62" t="s">
        <v>432</v>
      </c>
      <c r="B4" s="66" t="n">
        <f aca="false">Revenue_Bridge!B10</f>
        <v>763.223166666667</v>
      </c>
      <c r="C4" s="66" t="n">
        <f aca="false">Revenue_Bridge!C10</f>
        <v>27879.004434375</v>
      </c>
      <c r="D4" s="66" t="n">
        <f aca="false">Revenue_Bridge!D10</f>
        <v>28092.8636058333</v>
      </c>
      <c r="E4" s="66" t="n">
        <f aca="false">Revenue_Bridge!E10</f>
        <v>31133.9620658467</v>
      </c>
      <c r="F4" s="66" t="n">
        <f aca="false">Revenue_Bridge!F10</f>
        <v>36058.3191202683</v>
      </c>
      <c r="G4" s="66" t="n">
        <f aca="false">Revenue_Bridge!G10</f>
        <v>35192.2653831909</v>
      </c>
      <c r="H4" s="66" t="n">
        <f aca="false">Revenue_Bridge!H10</f>
        <v>27038.5659858547</v>
      </c>
      <c r="I4" s="66" t="n">
        <f aca="false">Revenue_Bridge!I10</f>
        <v>27699.0252705718</v>
      </c>
      <c r="J4" s="66" t="n">
        <f aca="false">Revenue_Bridge!J10</f>
        <v>28364.0284584832</v>
      </c>
      <c r="K4" s="66" t="n">
        <f aca="false">Revenue_Bridge!K10</f>
        <v>29033.6664276529</v>
      </c>
      <c r="L4" s="53"/>
      <c r="M4" s="53" t="s">
        <v>433</v>
      </c>
      <c r="N4" s="73" t="n">
        <f aca="false">NPV(Scenario_Control!$B$9,B36:K36)</f>
        <v>45538.6301429597</v>
      </c>
      <c r="O4" s="74" t="s">
        <v>434</v>
      </c>
    </row>
    <row r="5" customFormat="false" ht="15" hidden="false" customHeight="true" outlineLevel="0" collapsed="false">
      <c r="A5" s="62" t="s">
        <v>435</v>
      </c>
      <c r="B5" s="66" t="n">
        <f aca="false">Revenue_Bridge!B12</f>
        <v>763.223166666667</v>
      </c>
      <c r="C5" s="66" t="n">
        <f aca="false">Revenue_Bridge!C12</f>
        <v>27879.004434375</v>
      </c>
      <c r="D5" s="66" t="n">
        <f aca="false">Revenue_Bridge!D12</f>
        <v>28092.8636058333</v>
      </c>
      <c r="E5" s="66" t="n">
        <f aca="false">Revenue_Bridge!E12</f>
        <v>31133.9620658467</v>
      </c>
      <c r="F5" s="66" t="n">
        <f aca="false">Revenue_Bridge!F12</f>
        <v>36058.3191202683</v>
      </c>
      <c r="G5" s="66" t="n">
        <f aca="false">Revenue_Bridge!G12</f>
        <v>35192.2653831909</v>
      </c>
      <c r="H5" s="66" t="n">
        <f aca="false">Revenue_Bridge!H12</f>
        <v>27038.5659858547</v>
      </c>
      <c r="I5" s="66" t="n">
        <f aca="false">Revenue_Bridge!I12</f>
        <v>27699.0252705718</v>
      </c>
      <c r="J5" s="66" t="n">
        <f aca="false">Revenue_Bridge!J12</f>
        <v>28364.0284584832</v>
      </c>
      <c r="K5" s="66" t="n">
        <f aca="false">Revenue_Bridge!K12</f>
        <v>29033.6664276529</v>
      </c>
      <c r="L5" s="53"/>
      <c r="M5" s="53" t="s">
        <v>436</v>
      </c>
      <c r="N5" s="65" t="n">
        <f aca="false">IRR(B36:K36)</f>
        <v>0.384868477605364</v>
      </c>
      <c r="O5" s="75" t="s">
        <v>437</v>
      </c>
    </row>
    <row r="6" customFormat="false" ht="15" hidden="false" customHeight="true" outlineLevel="0" collapsed="false">
      <c r="A6" s="62" t="s">
        <v>438</v>
      </c>
      <c r="B6" s="66" t="n">
        <f aca="false">Load_Tariff!B19</f>
        <v>326.2224</v>
      </c>
      <c r="C6" s="66" t="n">
        <f aca="false">Load_Tariff!C19</f>
        <v>6973.0038</v>
      </c>
      <c r="D6" s="66" t="n">
        <f aca="false">Load_Tariff!D19</f>
        <v>7319.6151</v>
      </c>
      <c r="E6" s="66" t="n">
        <f aca="false">Load_Tariff!E19</f>
        <v>6184.633</v>
      </c>
      <c r="F6" s="66" t="n">
        <f aca="false">Load_Tariff!F19</f>
        <v>6184.633</v>
      </c>
      <c r="G6" s="66" t="n">
        <f aca="false">Load_Tariff!G19</f>
        <v>5708.892</v>
      </c>
      <c r="H6" s="66" t="n">
        <f aca="false">Load_Tariff!H19</f>
        <v>5708.892</v>
      </c>
      <c r="I6" s="66" t="n">
        <f aca="false">Load_Tariff!I19</f>
        <v>5708.892</v>
      </c>
      <c r="J6" s="66" t="n">
        <f aca="false">Load_Tariff!J19</f>
        <v>5708.892</v>
      </c>
      <c r="K6" s="66" t="n">
        <f aca="false">Load_Tariff!K19</f>
        <v>5708.892</v>
      </c>
      <c r="L6" s="53"/>
      <c r="M6" s="53" t="s">
        <v>439</v>
      </c>
      <c r="N6" s="64" t="n">
        <f aca="false">K15*Scenario_Control!$B$10</f>
        <v>149082.05444844</v>
      </c>
      <c r="O6" s="76" t="s">
        <v>440</v>
      </c>
    </row>
    <row r="7" customFormat="false" ht="15" hidden="false" customHeight="true" outlineLevel="0" collapsed="false">
      <c r="A7" s="62" t="s">
        <v>441</v>
      </c>
      <c r="B7" s="66" t="n">
        <f aca="false">AI_DC_Model!B9</f>
        <v>0</v>
      </c>
      <c r="C7" s="66" t="n">
        <f aca="false">AI_DC_Model!C9</f>
        <v>637.4214</v>
      </c>
      <c r="D7" s="66" t="n">
        <f aca="false">AI_DC_Model!D9</f>
        <v>1545.264</v>
      </c>
      <c r="E7" s="66" t="n">
        <f aca="false">AI_DC_Model!E9</f>
        <v>2266.3872</v>
      </c>
      <c r="F7" s="66" t="n">
        <f aca="false">AI_DC_Model!F9</f>
        <v>3296.5632</v>
      </c>
      <c r="G7" s="66" t="n">
        <f aca="false">AI_DC_Model!G9</f>
        <v>3227.8848</v>
      </c>
      <c r="H7" s="66" t="n">
        <f aca="false">AI_DC_Model!H9</f>
        <v>3227.8848</v>
      </c>
      <c r="I7" s="66" t="n">
        <f aca="false">AI_DC_Model!I9</f>
        <v>3227.8848</v>
      </c>
      <c r="J7" s="66" t="n">
        <f aca="false">AI_DC_Model!J9</f>
        <v>3227.8848</v>
      </c>
      <c r="K7" s="66" t="n">
        <f aca="false">AI_DC_Model!K9</f>
        <v>3227.8848</v>
      </c>
      <c r="L7" s="53"/>
      <c r="M7" s="53" t="s">
        <v>406</v>
      </c>
      <c r="N7" s="66" t="n">
        <f aca="false">Capex_Model!K22</f>
        <v>85910</v>
      </c>
      <c r="O7" s="64"/>
    </row>
    <row r="8" customFormat="false" ht="15" hidden="false" customHeight="true" outlineLevel="0" collapsed="false">
      <c r="A8" s="62" t="s">
        <v>442</v>
      </c>
      <c r="B8" s="66" t="n">
        <f aca="false">AI_DC_Model!B16</f>
        <v>0</v>
      </c>
      <c r="C8" s="66" t="n">
        <f aca="false">AI_DC_Model!C16</f>
        <v>0</v>
      </c>
      <c r="D8" s="66" t="n">
        <f aca="false">AI_DC_Model!D16</f>
        <v>0</v>
      </c>
      <c r="E8" s="66" t="n">
        <f aca="false">AI_DC_Model!E16</f>
        <v>0</v>
      </c>
      <c r="F8" s="66" t="n">
        <f aca="false">AI_DC_Model!F16</f>
        <v>0</v>
      </c>
      <c r="G8" s="66" t="n">
        <f aca="false">AI_DC_Model!G16</f>
        <v>0</v>
      </c>
      <c r="H8" s="66" t="n">
        <f aca="false">AI_DC_Model!H16</f>
        <v>0</v>
      </c>
      <c r="I8" s="66" t="n">
        <f aca="false">AI_DC_Model!I16</f>
        <v>0</v>
      </c>
      <c r="J8" s="66" t="n">
        <f aca="false">AI_DC_Model!J16</f>
        <v>0</v>
      </c>
      <c r="K8" s="66" t="n">
        <f aca="false">AI_DC_Model!K16</f>
        <v>0</v>
      </c>
      <c r="L8" s="53"/>
      <c r="M8" s="53" t="s">
        <v>407</v>
      </c>
      <c r="N8" s="66" t="n">
        <f aca="false">Capex_Model!K23</f>
        <v>85910</v>
      </c>
      <c r="O8" s="64"/>
    </row>
    <row r="9" customFormat="false" ht="15" hidden="false" customHeight="true" outlineLevel="0" collapsed="false">
      <c r="A9" s="62" t="s">
        <v>443</v>
      </c>
      <c r="B9" s="66" t="n">
        <f aca="false">100*(1+Scenario_Control!$B$13)^0*(1+0.05)^(B$3-2026)</f>
        <v>100</v>
      </c>
      <c r="C9" s="66" t="n">
        <f aca="false">100*(1+Scenario_Control!$B$13)^0*(1+0.05)^(C$3-2026)</f>
        <v>105</v>
      </c>
      <c r="D9" s="66" t="n">
        <f aca="false">100*(1+Scenario_Control!$B$13)^0*(1+0.05)^(D$3-2026)</f>
        <v>110.25</v>
      </c>
      <c r="E9" s="66" t="n">
        <f aca="false">100*(1+Scenario_Control!$B$13)^0*(1+0.05)^(E$3-2026)</f>
        <v>115.7625</v>
      </c>
      <c r="F9" s="66" t="n">
        <f aca="false">100*(1+Scenario_Control!$B$13)^0*(1+0.05)^(F$3-2026)</f>
        <v>121.550625</v>
      </c>
      <c r="G9" s="66" t="n">
        <f aca="false">100*(1+Scenario_Control!$B$13)^0*(1+0.05)^(G$3-2026)</f>
        <v>127.62815625</v>
      </c>
      <c r="H9" s="66" t="n">
        <f aca="false">100*(1+Scenario_Control!$B$13)^0*(1+0.05)^(H$3-2026)</f>
        <v>134.0095640625</v>
      </c>
      <c r="I9" s="66" t="n">
        <f aca="false">100*(1+Scenario_Control!$B$13)^0*(1+0.05)^(I$3-2026)</f>
        <v>140.710042265625</v>
      </c>
      <c r="J9" s="66" t="n">
        <f aca="false">100*(1+Scenario_Control!$B$13)^0*(1+0.05)^(J$3-2026)</f>
        <v>147.745544378906</v>
      </c>
      <c r="K9" s="66" t="n">
        <f aca="false">100*(1+Scenario_Control!$B$13)^0*(1+0.05)^(K$3-2026)</f>
        <v>155.132821597852</v>
      </c>
      <c r="L9" s="53"/>
      <c r="M9" s="53" t="s">
        <v>444</v>
      </c>
      <c r="N9" s="66" t="n">
        <f aca="false">K15</f>
        <v>18635.256806055</v>
      </c>
      <c r="O9" s="64"/>
    </row>
    <row r="10" customFormat="false" ht="15" hidden="false" customHeight="true" outlineLevel="0" collapsed="false">
      <c r="A10" s="62" t="s">
        <v>445</v>
      </c>
      <c r="B10" s="66" t="n">
        <f aca="false">Load_Tariff!B11*0.4</f>
        <v>16</v>
      </c>
      <c r="C10" s="66" t="n">
        <f aca="false">Load_Tariff!C11*0.4</f>
        <v>513</v>
      </c>
      <c r="D10" s="66" t="n">
        <f aca="false">Load_Tariff!D11*0.4</f>
        <v>718</v>
      </c>
      <c r="E10" s="66" t="n">
        <f aca="false">Load_Tariff!E11*0.4</f>
        <v>728</v>
      </c>
      <c r="F10" s="66" t="n">
        <f aca="false">Load_Tariff!F11*0.4</f>
        <v>728</v>
      </c>
      <c r="G10" s="66" t="n">
        <f aca="false">Load_Tariff!G11*0.4</f>
        <v>672</v>
      </c>
      <c r="H10" s="66" t="n">
        <f aca="false">Load_Tariff!H11*0.4</f>
        <v>672</v>
      </c>
      <c r="I10" s="66" t="n">
        <f aca="false">Load_Tariff!I11*0.4</f>
        <v>672</v>
      </c>
      <c r="J10" s="66" t="n">
        <f aca="false">Load_Tariff!J11*0.4</f>
        <v>672</v>
      </c>
      <c r="K10" s="66" t="n">
        <f aca="false">Load_Tariff!K11*0.4</f>
        <v>672</v>
      </c>
      <c r="L10" s="53"/>
      <c r="M10" s="53" t="s">
        <v>446</v>
      </c>
      <c r="N10" s="66" t="n">
        <f aca="false">K4</f>
        <v>29033.6664276529</v>
      </c>
      <c r="O10" s="64"/>
    </row>
    <row r="11" customFormat="false" ht="15" hidden="false" customHeight="true" outlineLevel="0" collapsed="false">
      <c r="A11" s="62" t="s">
        <v>447</v>
      </c>
      <c r="B11" s="66" t="n">
        <f aca="false">AI_DC_Model!B12</f>
        <v>0</v>
      </c>
      <c r="C11" s="66" t="n">
        <f aca="false">AI_DC_Model!C12</f>
        <v>91.125</v>
      </c>
      <c r="D11" s="66" t="n">
        <f aca="false">AI_DC_Model!D12</f>
        <v>270</v>
      </c>
      <c r="E11" s="66" t="n">
        <f aca="false">AI_DC_Model!E12</f>
        <v>445.5</v>
      </c>
      <c r="F11" s="66" t="n">
        <f aca="false">AI_DC_Model!F12</f>
        <v>648</v>
      </c>
      <c r="G11" s="66" t="n">
        <f aca="false">AI_DC_Model!G12</f>
        <v>634.5</v>
      </c>
      <c r="H11" s="66" t="n">
        <f aca="false">AI_DC_Model!H12</f>
        <v>634.5</v>
      </c>
      <c r="I11" s="66" t="n">
        <f aca="false">AI_DC_Model!I12</f>
        <v>634.5</v>
      </c>
      <c r="J11" s="66" t="n">
        <f aca="false">AI_DC_Model!J12</f>
        <v>634.5</v>
      </c>
      <c r="K11" s="66" t="n">
        <f aca="false">AI_DC_Model!K12</f>
        <v>634.5</v>
      </c>
      <c r="L11" s="53"/>
      <c r="M11" s="53" t="s">
        <v>448</v>
      </c>
      <c r="N11" s="64" t="n">
        <f aca="false">SUM(B22:K22)</f>
        <v>29723.5</v>
      </c>
      <c r="O11" s="64"/>
    </row>
    <row r="12" customFormat="false" ht="15" hidden="false" customHeight="true" outlineLevel="0" collapsed="false">
      <c r="A12" s="62" t="s">
        <v>449</v>
      </c>
      <c r="B12" s="66" t="n">
        <f aca="false">AI_DC_Model!B15</f>
        <v>0</v>
      </c>
      <c r="C12" s="66" t="n">
        <f aca="false">AI_DC_Model!C15</f>
        <v>0</v>
      </c>
      <c r="D12" s="66" t="n">
        <f aca="false">AI_DC_Model!D15</f>
        <v>0</v>
      </c>
      <c r="E12" s="66" t="n">
        <f aca="false">AI_DC_Model!E15</f>
        <v>0</v>
      </c>
      <c r="F12" s="66" t="n">
        <f aca="false">AI_DC_Model!F15</f>
        <v>0</v>
      </c>
      <c r="G12" s="66" t="n">
        <f aca="false">AI_DC_Model!G15</f>
        <v>0</v>
      </c>
      <c r="H12" s="66" t="n">
        <f aca="false">AI_DC_Model!H15</f>
        <v>0</v>
      </c>
      <c r="I12" s="66" t="n">
        <f aca="false">AI_DC_Model!I15</f>
        <v>0</v>
      </c>
      <c r="J12" s="66" t="n">
        <f aca="false">AI_DC_Model!J15</f>
        <v>0</v>
      </c>
      <c r="K12" s="66" t="n">
        <f aca="false">AI_DC_Model!K15</f>
        <v>0</v>
      </c>
      <c r="L12" s="53"/>
      <c r="M12" s="53"/>
      <c r="N12" s="53"/>
      <c r="O12" s="53"/>
    </row>
    <row r="13" customFormat="false" ht="15" hidden="false" customHeight="true" outlineLevel="0" collapsed="false">
      <c r="A13" s="62" t="s">
        <v>450</v>
      </c>
      <c r="B13" s="66" t="n">
        <f aca="false">SUM(B6:B7,B9:B11)</f>
        <v>442.2224</v>
      </c>
      <c r="C13" s="66" t="n">
        <f aca="false">SUM(C6:C7,C9:C11)</f>
        <v>8319.5502</v>
      </c>
      <c r="D13" s="66" t="n">
        <f aca="false">SUM(D6:D7,D9:D11)</f>
        <v>9963.1291</v>
      </c>
      <c r="E13" s="66" t="n">
        <f aca="false">SUM(E6:E7,E9:E11)</f>
        <v>9740.2827</v>
      </c>
      <c r="F13" s="66" t="n">
        <f aca="false">SUM(F6:F7,F9:F11)</f>
        <v>10978.746825</v>
      </c>
      <c r="G13" s="66" t="n">
        <f aca="false">SUM(G6:G7,G9:G11)</f>
        <v>10370.90495625</v>
      </c>
      <c r="H13" s="66" t="n">
        <f aca="false">SUM(H6:H7,H9:H11)</f>
        <v>10377.2863640625</v>
      </c>
      <c r="I13" s="66" t="n">
        <f aca="false">SUM(I6:I7,I9:I11)</f>
        <v>10383.9868422656</v>
      </c>
      <c r="J13" s="66" t="n">
        <f aca="false">SUM(J6:J7,J9:J11)</f>
        <v>10391.0223443789</v>
      </c>
      <c r="K13" s="66" t="n">
        <f aca="false">SUM(K6:K7,K9:K11)</f>
        <v>10398.4096215979</v>
      </c>
      <c r="L13" s="53"/>
      <c r="M13" s="53"/>
      <c r="N13" s="53"/>
      <c r="O13" s="53"/>
    </row>
    <row r="14" customFormat="false" ht="15" hidden="false" customHeight="true" outlineLevel="0" collapsed="false">
      <c r="A14" s="62" t="s">
        <v>451</v>
      </c>
      <c r="B14" s="66" t="n">
        <f aca="false">B13+B8+B12</f>
        <v>442.2224</v>
      </c>
      <c r="C14" s="66" t="n">
        <f aca="false">C13+C8+C12</f>
        <v>8319.5502</v>
      </c>
      <c r="D14" s="66" t="n">
        <f aca="false">D13+D8+D12</f>
        <v>9963.1291</v>
      </c>
      <c r="E14" s="66" t="n">
        <f aca="false">E13+E8+E12</f>
        <v>9740.2827</v>
      </c>
      <c r="F14" s="66" t="n">
        <f aca="false">F13+F8+F12</f>
        <v>10978.746825</v>
      </c>
      <c r="G14" s="66" t="n">
        <f aca="false">G13+G8+G12</f>
        <v>10370.90495625</v>
      </c>
      <c r="H14" s="66" t="n">
        <f aca="false">H13+H8+H12</f>
        <v>10377.2863640625</v>
      </c>
      <c r="I14" s="66" t="n">
        <f aca="false">I13+I8+I12</f>
        <v>10383.9868422656</v>
      </c>
      <c r="J14" s="66" t="n">
        <f aca="false">J13+J8+J12</f>
        <v>10391.0223443789</v>
      </c>
      <c r="K14" s="66" t="n">
        <f aca="false">K13+K8+K12</f>
        <v>10398.4096215979</v>
      </c>
      <c r="L14" s="53"/>
      <c r="M14" s="53"/>
      <c r="N14" s="53"/>
      <c r="O14" s="53"/>
    </row>
    <row r="15" customFormat="false" ht="15" hidden="false" customHeight="true" outlineLevel="0" collapsed="false">
      <c r="A15" s="59" t="s">
        <v>452</v>
      </c>
      <c r="B15" s="70" t="n">
        <f aca="false">B4-B13</f>
        <v>321.000766666667</v>
      </c>
      <c r="C15" s="70" t="n">
        <f aca="false">C4-C13</f>
        <v>19559.454234375</v>
      </c>
      <c r="D15" s="70" t="n">
        <f aca="false">D4-D13</f>
        <v>18129.7345058333</v>
      </c>
      <c r="E15" s="70" t="n">
        <f aca="false">E4-E13</f>
        <v>21393.6793658467</v>
      </c>
      <c r="F15" s="70" t="n">
        <f aca="false">F4-F13</f>
        <v>25079.5722952683</v>
      </c>
      <c r="G15" s="70" t="n">
        <f aca="false">G4-G13</f>
        <v>24821.3604269408</v>
      </c>
      <c r="H15" s="70" t="n">
        <f aca="false">H4-H13</f>
        <v>16661.2796217922</v>
      </c>
      <c r="I15" s="70" t="n">
        <f aca="false">I4-I13</f>
        <v>17315.0384283061</v>
      </c>
      <c r="J15" s="70" t="n">
        <f aca="false">J4-J13</f>
        <v>17973.0061141043</v>
      </c>
      <c r="K15" s="70" t="n">
        <f aca="false">K4-K13</f>
        <v>18635.256806055</v>
      </c>
      <c r="L15" s="53"/>
      <c r="M15" s="53"/>
      <c r="N15" s="53"/>
      <c r="O15" s="53"/>
    </row>
    <row r="16" customFormat="false" ht="15" hidden="false" customHeight="true" outlineLevel="0" collapsed="false">
      <c r="A16" s="59" t="s">
        <v>453</v>
      </c>
      <c r="B16" s="70" t="n">
        <f aca="false">B5-B14</f>
        <v>321.000766666667</v>
      </c>
      <c r="C16" s="70" t="n">
        <f aca="false">C5-C14</f>
        <v>19559.454234375</v>
      </c>
      <c r="D16" s="70" t="n">
        <f aca="false">D5-D14</f>
        <v>18129.7345058333</v>
      </c>
      <c r="E16" s="70" t="n">
        <f aca="false">E5-E14</f>
        <v>21393.6793658467</v>
      </c>
      <c r="F16" s="70" t="n">
        <f aca="false">F5-F14</f>
        <v>25079.5722952683</v>
      </c>
      <c r="G16" s="70" t="n">
        <f aca="false">G5-G14</f>
        <v>24821.3604269408</v>
      </c>
      <c r="H16" s="70" t="n">
        <f aca="false">H5-H14</f>
        <v>16661.2796217922</v>
      </c>
      <c r="I16" s="70" t="n">
        <f aca="false">I5-I14</f>
        <v>17315.0384283061</v>
      </c>
      <c r="J16" s="70" t="n">
        <f aca="false">J5-J14</f>
        <v>17973.0061141043</v>
      </c>
      <c r="K16" s="70" t="n">
        <f aca="false">K5-K14</f>
        <v>18635.256806055</v>
      </c>
      <c r="L16" s="53"/>
      <c r="M16" s="53"/>
      <c r="N16" s="53"/>
      <c r="O16" s="53"/>
    </row>
    <row r="17" customFormat="false" ht="15" hidden="false" customHeight="true" outlineLevel="0" collapsed="false">
      <c r="A17" s="59" t="s">
        <v>454</v>
      </c>
      <c r="B17" s="70" t="n">
        <f aca="false">Capex_Model!B14</f>
        <v>1140</v>
      </c>
      <c r="C17" s="70" t="n">
        <f aca="false">Capex_Model!C14</f>
        <v>35710</v>
      </c>
      <c r="D17" s="70" t="n">
        <f aca="false">Capex_Model!D14</f>
        <v>21250</v>
      </c>
      <c r="E17" s="70" t="n">
        <f aca="false">Capex_Model!E14</f>
        <v>10900</v>
      </c>
      <c r="F17" s="70" t="n">
        <f aca="false">Capex_Model!F14</f>
        <v>8400</v>
      </c>
      <c r="G17" s="70" t="n">
        <f aca="false">Capex_Model!G14</f>
        <v>700</v>
      </c>
      <c r="H17" s="70" t="n">
        <f aca="false">Capex_Model!H14</f>
        <v>0</v>
      </c>
      <c r="I17" s="70" t="n">
        <f aca="false">Capex_Model!I14</f>
        <v>0</v>
      </c>
      <c r="J17" s="70" t="n">
        <f aca="false">Capex_Model!J14</f>
        <v>0</v>
      </c>
      <c r="K17" s="70" t="n">
        <f aca="false">Capex_Model!K14</f>
        <v>0</v>
      </c>
      <c r="L17" s="53"/>
      <c r="M17" s="53"/>
      <c r="N17" s="53"/>
      <c r="O17" s="53"/>
    </row>
    <row r="18" customFormat="false" ht="15" hidden="false" customHeight="true" outlineLevel="0" collapsed="false">
      <c r="A18" s="59" t="s">
        <v>455</v>
      </c>
      <c r="B18" s="70" t="n">
        <f aca="false">Capex_Model!B15</f>
        <v>1140</v>
      </c>
      <c r="C18" s="70" t="n">
        <f aca="false">Capex_Model!C15</f>
        <v>35710</v>
      </c>
      <c r="D18" s="70" t="n">
        <f aca="false">Capex_Model!D15</f>
        <v>21250</v>
      </c>
      <c r="E18" s="70" t="n">
        <f aca="false">Capex_Model!E15</f>
        <v>10900</v>
      </c>
      <c r="F18" s="70" t="n">
        <f aca="false">Capex_Model!F15</f>
        <v>8400</v>
      </c>
      <c r="G18" s="70" t="n">
        <f aca="false">Capex_Model!G15</f>
        <v>700</v>
      </c>
      <c r="H18" s="70" t="n">
        <f aca="false">Capex_Model!H15</f>
        <v>0</v>
      </c>
      <c r="I18" s="70" t="n">
        <f aca="false">Capex_Model!I15</f>
        <v>0</v>
      </c>
      <c r="J18" s="70" t="n">
        <f aca="false">Capex_Model!J15</f>
        <v>0</v>
      </c>
      <c r="K18" s="70" t="n">
        <f aca="false">Capex_Model!K15</f>
        <v>0</v>
      </c>
      <c r="L18" s="53"/>
      <c r="M18" s="53"/>
      <c r="N18" s="53"/>
      <c r="O18" s="53"/>
    </row>
    <row r="19" customFormat="false" ht="15" hidden="false" customHeight="true" outlineLevel="0" collapsed="false">
      <c r="A19" s="62" t="s">
        <v>456</v>
      </c>
      <c r="B19" s="66" t="n">
        <f aca="false">Capex_Model!B21</f>
        <v>1140</v>
      </c>
      <c r="C19" s="66" t="n">
        <f aca="false">Capex_Model!C21</f>
        <v>34630</v>
      </c>
      <c r="D19" s="66" t="n">
        <f aca="false">Capex_Model!D21</f>
        <v>19130</v>
      </c>
      <c r="E19" s="66" t="n">
        <f aca="false">Capex_Model!E21</f>
        <v>8820</v>
      </c>
      <c r="F19" s="66" t="n">
        <f aca="false">Capex_Model!F21</f>
        <v>6000</v>
      </c>
      <c r="G19" s="66" t="n">
        <f aca="false">Capex_Model!G21</f>
        <v>700</v>
      </c>
      <c r="H19" s="66" t="n">
        <f aca="false">Capex_Model!H21</f>
        <v>0</v>
      </c>
      <c r="I19" s="66" t="n">
        <f aca="false">Capex_Model!I21</f>
        <v>0</v>
      </c>
      <c r="J19" s="66" t="n">
        <f aca="false">Capex_Model!J21</f>
        <v>0</v>
      </c>
      <c r="K19" s="66" t="n">
        <f aca="false">Capex_Model!K21</f>
        <v>0</v>
      </c>
      <c r="L19" s="53"/>
      <c r="M19" s="53"/>
      <c r="N19" s="53"/>
      <c r="O19" s="53"/>
    </row>
    <row r="20" customFormat="false" ht="15" hidden="false" customHeight="true" outlineLevel="0" collapsed="false">
      <c r="A20" s="62" t="s">
        <v>457</v>
      </c>
      <c r="B20" s="66" t="n">
        <f aca="false">Capex_Model!B16+Capex_Model!B17+((Capex_Model!B9+Capex_Model!B10+Capex_Model!B11)*Scenario_Control!$B$48)</f>
        <v>114</v>
      </c>
      <c r="C20" s="66" t="n">
        <f aca="false">Capex_Model!C16+Capex_Model!C17+((Capex_Model!C9+Capex_Model!C10+Capex_Model!C11)*Scenario_Control!$B$48)</f>
        <v>4651</v>
      </c>
      <c r="D20" s="66" t="n">
        <f aca="false">Capex_Model!D16+Capex_Model!D17+((Capex_Model!D9+Capex_Model!D10+Capex_Model!D11)*Scenario_Control!$B$48)</f>
        <v>4245</v>
      </c>
      <c r="E20" s="66" t="n">
        <f aca="false">Capex_Model!E16+Capex_Model!E17+((Capex_Model!E9+Capex_Model!E10+Capex_Model!E11)*Scenario_Control!$B$48)</f>
        <v>3170</v>
      </c>
      <c r="F20" s="66" t="n">
        <f aca="false">Capex_Model!F16+Capex_Model!F17+((Capex_Model!F9+Capex_Model!F10+Capex_Model!F11)*Scenario_Control!$B$48)</f>
        <v>3240</v>
      </c>
      <c r="G20" s="66" t="n">
        <f aca="false">Capex_Model!G16+Capex_Model!G17+((Capex_Model!G9+Capex_Model!G10+Capex_Model!G11)*Scenario_Control!$B$48)</f>
        <v>70</v>
      </c>
      <c r="H20" s="66" t="n">
        <f aca="false">Capex_Model!H16+Capex_Model!H17+((Capex_Model!H9+Capex_Model!H10+Capex_Model!H11)*Scenario_Control!$B$48)</f>
        <v>0</v>
      </c>
      <c r="I20" s="66" t="n">
        <f aca="false">Capex_Model!I16+Capex_Model!I17+((Capex_Model!I9+Capex_Model!I10+Capex_Model!I11)*Scenario_Control!$B$48)</f>
        <v>0</v>
      </c>
      <c r="J20" s="66" t="n">
        <f aca="false">Capex_Model!J16+Capex_Model!J17+((Capex_Model!J9+Capex_Model!J10+Capex_Model!J11)*Scenario_Control!$B$48)</f>
        <v>0</v>
      </c>
      <c r="K20" s="66" t="n">
        <f aca="false">Capex_Model!K16+Capex_Model!K17+((Capex_Model!K9+Capex_Model!K10+Capex_Model!K11)*Scenario_Control!$B$48)</f>
        <v>0</v>
      </c>
      <c r="L20" s="53"/>
      <c r="M20" s="53"/>
      <c r="N20" s="53"/>
      <c r="O20" s="53"/>
    </row>
    <row r="21" customFormat="false" ht="15" hidden="false" customHeight="true" outlineLevel="0" collapsed="false">
      <c r="A21" s="62" t="s">
        <v>458</v>
      </c>
      <c r="B21" s="66" t="n">
        <f aca="false">Capex_Model!B18*Scenario_Control!$B$46+Capex_Model!B19*Scenario_Control!$B$49</f>
        <v>564.3</v>
      </c>
      <c r="C21" s="66" t="n">
        <f aca="false">Capex_Model!C18*Scenario_Control!$B$46+Capex_Model!C19*Scenario_Control!$B$49</f>
        <v>17082.45</v>
      </c>
      <c r="D21" s="66" t="n">
        <f aca="false">Capex_Model!D18*Scenario_Control!$B$46+Capex_Model!D19*Scenario_Control!$B$49</f>
        <v>9352.75</v>
      </c>
      <c r="E21" s="66" t="n">
        <f aca="false">Capex_Model!E18*Scenario_Control!$B$46+Capex_Model!E19*Scenario_Control!$B$49</f>
        <v>4251.5</v>
      </c>
      <c r="F21" s="66" t="n">
        <f aca="false">Capex_Model!F18*Scenario_Control!$B$46+Capex_Model!F19*Scenario_Control!$B$49</f>
        <v>2838</v>
      </c>
      <c r="G21" s="66" t="n">
        <f aca="false">Capex_Model!G18*Scenario_Control!$B$46+Capex_Model!G19*Scenario_Control!$B$49</f>
        <v>346.5</v>
      </c>
      <c r="H21" s="66" t="n">
        <f aca="false">Capex_Model!H18*Scenario_Control!$B$46+Capex_Model!H19*Scenario_Control!$B$49</f>
        <v>0</v>
      </c>
      <c r="I21" s="66" t="n">
        <f aca="false">Capex_Model!I18*Scenario_Control!$B$46+Capex_Model!I19*Scenario_Control!$B$49</f>
        <v>0</v>
      </c>
      <c r="J21" s="66" t="n">
        <f aca="false">Capex_Model!J18*Scenario_Control!$B$46+Capex_Model!J19*Scenario_Control!$B$49</f>
        <v>0</v>
      </c>
      <c r="K21" s="66" t="n">
        <f aca="false">Capex_Model!K18*Scenario_Control!$B$46+Capex_Model!K19*Scenario_Control!$B$49</f>
        <v>0</v>
      </c>
      <c r="L21" s="53"/>
      <c r="M21" s="53"/>
      <c r="N21" s="53"/>
      <c r="O21" s="53"/>
    </row>
    <row r="22" customFormat="false" ht="15" hidden="false" customHeight="true" outlineLevel="0" collapsed="false">
      <c r="A22" s="62" t="s">
        <v>459</v>
      </c>
      <c r="B22" s="66" t="n">
        <f aca="false">Capex_Model!B18*Scenario_Control!$B$47+Capex_Model!B19*Scenario_Control!$B$50+Capex_Model!B20</f>
        <v>473.1</v>
      </c>
      <c r="C22" s="66" t="n">
        <f aca="false">Capex_Model!C18*Scenario_Control!$B$47+Capex_Model!C19*Scenario_Control!$B$50+Capex_Model!C20</f>
        <v>14441.65</v>
      </c>
      <c r="D22" s="66" t="n">
        <f aca="false">Capex_Model!D18*Scenario_Control!$B$47+Capex_Model!D19*Scenario_Control!$B$50+Capex_Model!D20</f>
        <v>8076.75</v>
      </c>
      <c r="E22" s="66" t="n">
        <f aca="false">Capex_Model!E18*Scenario_Control!$B$47+Capex_Model!E19*Scenario_Control!$B$50+Capex_Model!E20</f>
        <v>3795.5</v>
      </c>
      <c r="F22" s="66" t="n">
        <f aca="false">Capex_Model!F18*Scenario_Control!$B$47+Capex_Model!F19*Scenario_Control!$B$50+Capex_Model!F20</f>
        <v>2646</v>
      </c>
      <c r="G22" s="66" t="n">
        <f aca="false">Capex_Model!G18*Scenario_Control!$B$47+Capex_Model!G19*Scenario_Control!$B$50+Capex_Model!G20</f>
        <v>290.5</v>
      </c>
      <c r="H22" s="66" t="n">
        <f aca="false">Capex_Model!H18*Scenario_Control!$B$47+Capex_Model!H19*Scenario_Control!$B$50+Capex_Model!H20</f>
        <v>0</v>
      </c>
      <c r="I22" s="66" t="n">
        <f aca="false">Capex_Model!I18*Scenario_Control!$B$47+Capex_Model!I19*Scenario_Control!$B$50+Capex_Model!I20</f>
        <v>0</v>
      </c>
      <c r="J22" s="66" t="n">
        <f aca="false">Capex_Model!J18*Scenario_Control!$B$47+Capex_Model!J19*Scenario_Control!$B$50+Capex_Model!J20</f>
        <v>0</v>
      </c>
      <c r="K22" s="66" t="n">
        <f aca="false">Capex_Model!K18*Scenario_Control!$B$47+Capex_Model!K19*Scenario_Control!$B$50+Capex_Model!K20</f>
        <v>0</v>
      </c>
      <c r="L22" s="53"/>
      <c r="M22" s="53"/>
      <c r="N22" s="53"/>
      <c r="O22" s="53"/>
    </row>
    <row r="23" customFormat="false" ht="15" hidden="false" customHeight="true" outlineLevel="0" collapsed="false">
      <c r="A23" s="62" t="s">
        <v>460</v>
      </c>
      <c r="B23" s="66" t="n">
        <f aca="false">0</f>
        <v>0</v>
      </c>
      <c r="C23" s="66" t="n">
        <f aca="false">B26</f>
        <v>564.3</v>
      </c>
      <c r="D23" s="66" t="n">
        <f aca="false">C26</f>
        <v>17566.1357142857</v>
      </c>
      <c r="E23" s="66" t="n">
        <f aca="false">D26</f>
        <v>24409.437755102</v>
      </c>
      <c r="F23" s="66" t="n">
        <f aca="false">E26</f>
        <v>25173.8752186589</v>
      </c>
      <c r="G23" s="66" t="n">
        <f aca="false">F26</f>
        <v>24415.6073302791</v>
      </c>
      <c r="H23" s="66" t="n">
        <f aca="false">G26</f>
        <v>21274.1634259535</v>
      </c>
      <c r="I23" s="66" t="n">
        <f aca="false">H26</f>
        <v>18234.9972222458</v>
      </c>
      <c r="J23" s="66" t="n">
        <f aca="false">I26</f>
        <v>15629.9976190679</v>
      </c>
      <c r="K23" s="66" t="n">
        <f aca="false">J26</f>
        <v>13397.1408163439</v>
      </c>
      <c r="L23" s="53"/>
      <c r="M23" s="53"/>
      <c r="N23" s="53"/>
      <c r="O23" s="53"/>
    </row>
    <row r="24" customFormat="false" ht="15" hidden="false" customHeight="true" outlineLevel="0" collapsed="false">
      <c r="A24" s="62" t="s">
        <v>461</v>
      </c>
      <c r="B24" s="66" t="n">
        <f aca="false">AVERAGE(B23,B23+B21)*Scenario_Control!$B$51</f>
        <v>36.6795</v>
      </c>
      <c r="C24" s="66" t="n">
        <f aca="false">AVERAGE(C23,C23+C21)*Scenario_Control!$B$51</f>
        <v>1183.71825</v>
      </c>
      <c r="D24" s="66" t="n">
        <f aca="false">AVERAGE(D23,D23+D21)*Scenario_Control!$B$51</f>
        <v>2891.52639285714</v>
      </c>
      <c r="E24" s="66" t="n">
        <f aca="false">AVERAGE(E23,E23+E21)*Scenario_Control!$B$51</f>
        <v>3449.57440816327</v>
      </c>
      <c r="F24" s="66" t="n">
        <f aca="false">AVERAGE(F23,F23+F21)*Scenario_Control!$B$51</f>
        <v>3457.07377842566</v>
      </c>
      <c r="G24" s="66" t="n">
        <f aca="false">AVERAGE(G23,G23+G21)*Scenario_Control!$B$51</f>
        <v>3196.55145293628</v>
      </c>
      <c r="H24" s="66" t="n">
        <f aca="false">AVERAGE(H23,H23+H21)*Scenario_Control!$B$51</f>
        <v>2765.64124537395</v>
      </c>
      <c r="I24" s="66" t="n">
        <f aca="false">AVERAGE(I23,I23+I21)*Scenario_Control!$B$51</f>
        <v>2370.54963889196</v>
      </c>
      <c r="J24" s="66" t="n">
        <f aca="false">AVERAGE(J23,J23+J21)*Scenario_Control!$B$51</f>
        <v>2031.89969047882</v>
      </c>
      <c r="K24" s="66" t="n">
        <f aca="false">AVERAGE(K23,K23+K21)*Scenario_Control!$B$51</f>
        <v>1741.6283061247</v>
      </c>
      <c r="L24" s="53"/>
      <c r="M24" s="53"/>
      <c r="N24" s="53"/>
      <c r="O24" s="53"/>
    </row>
    <row r="25" customFormat="false" ht="15" hidden="false" customHeight="true" outlineLevel="0" collapsed="false">
      <c r="A25" s="62" t="s">
        <v>462</v>
      </c>
      <c r="B25" s="66" t="n">
        <f aca="false">IF(B$3&lt;=2026+Scenario_Control!$B$53,0,MIN(B23,B23/Scenario_Control!$B$52))</f>
        <v>0</v>
      </c>
      <c r="C25" s="66" t="n">
        <f aca="false">IF(C$3&lt;=2026+Scenario_Control!$B$53,0,MIN(C23,C23/Scenario_Control!$B$52))</f>
        <v>80.6142857142857</v>
      </c>
      <c r="D25" s="66" t="n">
        <f aca="false">IF(D$3&lt;=2026+Scenario_Control!$B$53,0,MIN(D23,D23/Scenario_Control!$B$52))</f>
        <v>2509.44795918367</v>
      </c>
      <c r="E25" s="66" t="n">
        <f aca="false">IF(E$3&lt;=2026+Scenario_Control!$B$53,0,MIN(E23,E23/Scenario_Control!$B$52))</f>
        <v>3487.06253644315</v>
      </c>
      <c r="F25" s="66" t="n">
        <f aca="false">IF(F$3&lt;=2026+Scenario_Control!$B$53,0,MIN(F23,F23/Scenario_Control!$B$52))</f>
        <v>3596.26788837984</v>
      </c>
      <c r="G25" s="66" t="n">
        <f aca="false">IF(G$3&lt;=2026+Scenario_Control!$B$53,0,MIN(G23,G23/Scenario_Control!$B$52))</f>
        <v>3487.94390432558</v>
      </c>
      <c r="H25" s="66" t="n">
        <f aca="false">IF(H$3&lt;=2026+Scenario_Control!$B$53,0,MIN(H23,H23/Scenario_Control!$B$52))</f>
        <v>3039.16620370764</v>
      </c>
      <c r="I25" s="66" t="n">
        <f aca="false">IF(I$3&lt;=2026+Scenario_Control!$B$53,0,MIN(I23,I23/Scenario_Control!$B$52))</f>
        <v>2604.99960317798</v>
      </c>
      <c r="J25" s="66" t="n">
        <f aca="false">IF(J$3&lt;=2026+Scenario_Control!$B$53,0,MIN(J23,J23/Scenario_Control!$B$52))</f>
        <v>2232.85680272398</v>
      </c>
      <c r="K25" s="66" t="n">
        <f aca="false">IF(K$3&lt;=2026+Scenario_Control!$B$53,0,MIN(K23,K23/Scenario_Control!$B$52))</f>
        <v>1913.8772594777</v>
      </c>
      <c r="L25" s="53"/>
      <c r="M25" s="53"/>
      <c r="N25" s="53"/>
      <c r="O25" s="53"/>
    </row>
    <row r="26" customFormat="false" ht="15" hidden="false" customHeight="true" outlineLevel="0" collapsed="false">
      <c r="A26" s="62" t="s">
        <v>463</v>
      </c>
      <c r="B26" s="66" t="n">
        <f aca="false">B23+B21-B25</f>
        <v>564.3</v>
      </c>
      <c r="C26" s="66" t="n">
        <f aca="false">C23+C21-C25</f>
        <v>17566.1357142857</v>
      </c>
      <c r="D26" s="66" t="n">
        <f aca="false">D23+D21-D25</f>
        <v>24409.437755102</v>
      </c>
      <c r="E26" s="66" t="n">
        <f aca="false">E23+E21-E25</f>
        <v>25173.8752186589</v>
      </c>
      <c r="F26" s="66" t="n">
        <f aca="false">F23+F21-F25</f>
        <v>24415.6073302791</v>
      </c>
      <c r="G26" s="66" t="n">
        <f aca="false">G23+G21-G25</f>
        <v>21274.1634259535</v>
      </c>
      <c r="H26" s="66" t="n">
        <f aca="false">H23+H21-H25</f>
        <v>18234.9972222458</v>
      </c>
      <c r="I26" s="66" t="n">
        <f aca="false">I23+I21-I25</f>
        <v>15629.9976190679</v>
      </c>
      <c r="J26" s="66" t="n">
        <f aca="false">J23+J21-J25</f>
        <v>13397.1408163439</v>
      </c>
      <c r="K26" s="66" t="n">
        <f aca="false">K23+K21-K25</f>
        <v>11483.2635568662</v>
      </c>
      <c r="L26" s="53"/>
      <c r="M26" s="53"/>
      <c r="N26" s="53"/>
      <c r="O26" s="53"/>
    </row>
    <row r="27" customFormat="false" ht="15" hidden="false" customHeight="true" outlineLevel="0" collapsed="false">
      <c r="A27" s="62" t="s">
        <v>464</v>
      </c>
      <c r="B27" s="66" t="n">
        <f aca="false">MAX(0,B16*Scenario_Control!$B$11)</f>
        <v>86.670207</v>
      </c>
      <c r="C27" s="66" t="n">
        <f aca="false">MAX(0,C16*Scenario_Control!$B$11)</f>
        <v>5281.05264328125</v>
      </c>
      <c r="D27" s="66" t="n">
        <f aca="false">MAX(0,D16*Scenario_Control!$B$11)</f>
        <v>4895.028316575</v>
      </c>
      <c r="E27" s="66" t="n">
        <f aca="false">MAX(0,E16*Scenario_Control!$B$11)</f>
        <v>5776.2934287786</v>
      </c>
      <c r="F27" s="66" t="n">
        <f aca="false">MAX(0,F16*Scenario_Control!$B$11)</f>
        <v>6771.48451972243</v>
      </c>
      <c r="G27" s="66" t="n">
        <f aca="false">MAX(0,G16*Scenario_Control!$B$11)</f>
        <v>6701.76731527403</v>
      </c>
      <c r="H27" s="66" t="n">
        <f aca="false">MAX(0,H16*Scenario_Control!$B$11)</f>
        <v>4498.54549788389</v>
      </c>
      <c r="I27" s="66" t="n">
        <f aca="false">MAX(0,I16*Scenario_Control!$B$11)</f>
        <v>4675.06037564266</v>
      </c>
      <c r="J27" s="66" t="n">
        <f aca="false">MAX(0,J16*Scenario_Control!$B$11)</f>
        <v>4852.71165080816</v>
      </c>
      <c r="K27" s="66" t="n">
        <f aca="false">MAX(0,K16*Scenario_Control!$B$11)</f>
        <v>5031.51933763485</v>
      </c>
      <c r="L27" s="53"/>
      <c r="M27" s="53"/>
      <c r="N27" s="53"/>
      <c r="O27" s="53"/>
    </row>
    <row r="28" customFormat="false" ht="15" hidden="false" customHeight="true" outlineLevel="0" collapsed="false">
      <c r="A28" s="59" t="s">
        <v>465</v>
      </c>
      <c r="B28" s="70" t="n">
        <f aca="false">B15*(1-Scenario_Control!$B$11)-B17</f>
        <v>-905.669440333333</v>
      </c>
      <c r="C28" s="70" t="n">
        <f aca="false">C15*(1-Scenario_Control!$B$11)-C17</f>
        <v>-21431.5984089063</v>
      </c>
      <c r="D28" s="70" t="n">
        <f aca="false">D15*(1-Scenario_Control!$B$11)-D17</f>
        <v>-8015.29381074167</v>
      </c>
      <c r="E28" s="70" t="n">
        <f aca="false">E15*(1-Scenario_Control!$B$11)-E17</f>
        <v>4717.38593706806</v>
      </c>
      <c r="F28" s="70" t="n">
        <f aca="false">F15*(1-Scenario_Control!$B$11)-F17</f>
        <v>9908.08777554583</v>
      </c>
      <c r="G28" s="70" t="n">
        <f aca="false">G15*(1-Scenario_Control!$B$11)-G17</f>
        <v>17419.5931116668</v>
      </c>
      <c r="H28" s="70" t="n">
        <f aca="false">H15*(1-Scenario_Control!$B$11)-H17</f>
        <v>12162.7341239083</v>
      </c>
      <c r="I28" s="70" t="n">
        <f aca="false">I15*(1-Scenario_Control!$B$11)-I17</f>
        <v>12639.9780526635</v>
      </c>
      <c r="J28" s="70" t="n">
        <f aca="false">J15*(1-Scenario_Control!$B$11)-J17</f>
        <v>13120.2944632961</v>
      </c>
      <c r="K28" s="70" t="n">
        <f aca="false">K15*(1-Scenario_Control!$B$11)-K17</f>
        <v>13603.7374684202</v>
      </c>
      <c r="L28" s="53"/>
      <c r="M28" s="53"/>
      <c r="N28" s="53"/>
      <c r="O28" s="53"/>
    </row>
    <row r="29" customFormat="false" ht="15" hidden="false" customHeight="true" outlineLevel="0" collapsed="false">
      <c r="A29" s="59" t="s">
        <v>466</v>
      </c>
      <c r="B29" s="70" t="n">
        <f aca="false">B16*(1-Scenario_Control!$B$11)-B18</f>
        <v>-905.669440333333</v>
      </c>
      <c r="C29" s="70" t="n">
        <f aca="false">C16*(1-Scenario_Control!$B$11)-C18</f>
        <v>-21431.5984089063</v>
      </c>
      <c r="D29" s="70" t="n">
        <f aca="false">D16*(1-Scenario_Control!$B$11)-D18</f>
        <v>-8015.29381074167</v>
      </c>
      <c r="E29" s="70" t="n">
        <f aca="false">E16*(1-Scenario_Control!$B$11)-E18</f>
        <v>4717.38593706806</v>
      </c>
      <c r="F29" s="70" t="n">
        <f aca="false">F16*(1-Scenario_Control!$B$11)-F18</f>
        <v>9908.08777554583</v>
      </c>
      <c r="G29" s="70" t="n">
        <f aca="false">G16*(1-Scenario_Control!$B$11)-G18</f>
        <v>17419.5931116668</v>
      </c>
      <c r="H29" s="70" t="n">
        <f aca="false">H16*(1-Scenario_Control!$B$11)-H18</f>
        <v>12162.7341239083</v>
      </c>
      <c r="I29" s="70" t="n">
        <f aca="false">I16*(1-Scenario_Control!$B$11)-I18</f>
        <v>12639.9780526635</v>
      </c>
      <c r="J29" s="70" t="n">
        <f aca="false">J16*(1-Scenario_Control!$B$11)-J18</f>
        <v>13120.2944632961</v>
      </c>
      <c r="K29" s="70" t="n">
        <f aca="false">K16*(1-Scenario_Control!$B$11)-K18</f>
        <v>13603.7374684202</v>
      </c>
      <c r="L29" s="53"/>
      <c r="M29" s="53"/>
      <c r="N29" s="53"/>
      <c r="O29" s="53"/>
    </row>
    <row r="30" customFormat="false" ht="15" hidden="false" customHeight="true" outlineLevel="0" collapsed="false">
      <c r="A30" s="59" t="s">
        <v>467</v>
      </c>
      <c r="B30" s="70" t="n">
        <f aca="false">B16*(1-Scenario_Control!$B$11)-B19+B21-B24-B25</f>
        <v>-378.048940333333</v>
      </c>
      <c r="C30" s="70" t="n">
        <f aca="false">C16*(1-Scenario_Control!$B$11)-C19+C21-C24-C25</f>
        <v>-4533.48094462054</v>
      </c>
      <c r="D30" s="70" t="n">
        <f aca="false">D16*(1-Scenario_Control!$B$11)-D19+D21-D24-D25</f>
        <v>-1943.51816278249</v>
      </c>
      <c r="E30" s="70" t="n">
        <f aca="false">E16*(1-Scenario_Control!$B$11)-E19+E21-E24-E25</f>
        <v>4112.24899246165</v>
      </c>
      <c r="F30" s="70" t="n">
        <f aca="false">F16*(1-Scenario_Control!$B$11)-F19+F21-F24-F25</f>
        <v>8092.74610874033</v>
      </c>
      <c r="G30" s="70" t="n">
        <f aca="false">G16*(1-Scenario_Control!$B$11)-G19+G21-G24-G25</f>
        <v>11081.597754405</v>
      </c>
      <c r="H30" s="70" t="n">
        <f aca="false">H16*(1-Scenario_Control!$B$11)-H19+H21-H24-H25</f>
        <v>6357.92667482669</v>
      </c>
      <c r="I30" s="70" t="n">
        <f aca="false">I16*(1-Scenario_Control!$B$11)-I19+I21-I24-I25</f>
        <v>7664.42881059354</v>
      </c>
      <c r="J30" s="70" t="n">
        <f aca="false">J16*(1-Scenario_Control!$B$11)-J19+J21-J24-J25</f>
        <v>8855.53797009333</v>
      </c>
      <c r="K30" s="70" t="n">
        <f aca="false">K16*(1-Scenario_Control!$B$11)-K19+K21-K24-K25</f>
        <v>9948.23190281776</v>
      </c>
      <c r="L30" s="53"/>
      <c r="M30" s="53"/>
      <c r="N30" s="53"/>
      <c r="O30" s="53"/>
    </row>
    <row r="31" customFormat="false" ht="15" hidden="false" customHeight="true" outlineLevel="0" collapsed="false">
      <c r="A31" s="62" t="s">
        <v>468</v>
      </c>
      <c r="B31" s="66" t="n">
        <f aca="false">IF(VALUE(B$3)=2035,B16*Scenario_Control!$B$10,0)</f>
        <v>0</v>
      </c>
      <c r="C31" s="66" t="n">
        <f aca="false">IF(VALUE(C$3)=2035,C16*Scenario_Control!$B$10,0)</f>
        <v>0</v>
      </c>
      <c r="D31" s="66" t="n">
        <f aca="false">IF(VALUE(D$3)=2035,D16*Scenario_Control!$B$10,0)</f>
        <v>0</v>
      </c>
      <c r="E31" s="66" t="n">
        <f aca="false">IF(VALUE(E$3)=2035,E16*Scenario_Control!$B$10,0)</f>
        <v>0</v>
      </c>
      <c r="F31" s="66" t="n">
        <f aca="false">IF(VALUE(F$3)=2035,F16*Scenario_Control!$B$10,0)</f>
        <v>0</v>
      </c>
      <c r="G31" s="66" t="n">
        <f aca="false">IF(VALUE(G$3)=2035,G16*Scenario_Control!$B$10,0)</f>
        <v>0</v>
      </c>
      <c r="H31" s="66" t="n">
        <f aca="false">IF(VALUE(H$3)=2035,H16*Scenario_Control!$B$10,0)</f>
        <v>0</v>
      </c>
      <c r="I31" s="66" t="n">
        <f aca="false">IF(VALUE(I$3)=2035,I16*Scenario_Control!$B$10,0)</f>
        <v>0</v>
      </c>
      <c r="J31" s="66" t="n">
        <f aca="false">IF(VALUE(J$3)=2035,J16*Scenario_Control!$B$10,0)</f>
        <v>0</v>
      </c>
      <c r="K31" s="66" t="n">
        <f aca="false">IF(VALUE(K$3)=2035,K16*Scenario_Control!$B$10,0)</f>
        <v>149082.05444844</v>
      </c>
      <c r="L31" s="53"/>
      <c r="M31" s="53"/>
      <c r="N31" s="53"/>
      <c r="O31" s="53"/>
    </row>
    <row r="32" customFormat="false" ht="15" hidden="false" customHeight="true" outlineLevel="0" collapsed="false">
      <c r="A32" s="62" t="s">
        <v>469</v>
      </c>
      <c r="B32" s="66" t="n">
        <f aca="false">B30/(1+Scenario_Control!$B$9)^(B$3-2025)</f>
        <v>-328.738208985507</v>
      </c>
      <c r="C32" s="66" t="n">
        <f aca="false">C30/(1+Scenario_Control!$B$9)^(C$3-2025)</f>
        <v>-3427.96290708547</v>
      </c>
      <c r="D32" s="66" t="n">
        <f aca="false">D30/(1+Scenario_Control!$B$9)^(D$3-2025)</f>
        <v>-1277.89474005588</v>
      </c>
      <c r="E32" s="66" t="n">
        <f aca="false">E30/(1+Scenario_Control!$B$9)^(E$3-2025)</f>
        <v>2351.19170812663</v>
      </c>
      <c r="F32" s="66" t="n">
        <f aca="false">F30/(1+Scenario_Control!$B$9)^(F$3-2025)</f>
        <v>4023.52508994146</v>
      </c>
      <c r="G32" s="66" t="n">
        <f aca="false">G30/(1+Scenario_Control!$B$9)^(G$3-2025)</f>
        <v>4790.8805160208</v>
      </c>
      <c r="H32" s="66" t="n">
        <f aca="false">H30/(1+Scenario_Control!$B$9)^(H$3-2025)</f>
        <v>2390.18013418242</v>
      </c>
      <c r="I32" s="66" t="n">
        <f aca="false">I30/(1+Scenario_Control!$B$9)^(I$3-2025)</f>
        <v>2505.5153737007</v>
      </c>
      <c r="J32" s="66" t="n">
        <f aca="false">J30/(1+Scenario_Control!$B$9)^(J$3-2025)</f>
        <v>2517.29658329183</v>
      </c>
      <c r="K32" s="66" t="n">
        <f aca="false">K30/(1+Scenario_Control!$B$9)^(K$3-2025)</f>
        <v>2459.05077933018</v>
      </c>
      <c r="L32" s="53"/>
      <c r="M32" s="53"/>
      <c r="N32" s="53"/>
      <c r="O32" s="53"/>
    </row>
    <row r="33" customFormat="false" ht="15" hidden="false" customHeight="true" outlineLevel="0" collapsed="false">
      <c r="A33" s="62" t="s">
        <v>448</v>
      </c>
      <c r="B33" s="66" t="n">
        <f aca="false">SUM($B$22:B22)</f>
        <v>473.1</v>
      </c>
      <c r="C33" s="66" t="n">
        <f aca="false">SUM($B$22:C22)</f>
        <v>14914.75</v>
      </c>
      <c r="D33" s="66" t="n">
        <f aca="false">SUM($B$22:D22)</f>
        <v>22991.5</v>
      </c>
      <c r="E33" s="66" t="n">
        <f aca="false">SUM($B$22:E22)</f>
        <v>26787</v>
      </c>
      <c r="F33" s="66" t="n">
        <f aca="false">SUM($B$22:F22)</f>
        <v>29433</v>
      </c>
      <c r="G33" s="66" t="n">
        <f aca="false">SUM($B$22:G22)</f>
        <v>29723.5</v>
      </c>
      <c r="H33" s="66" t="n">
        <f aca="false">SUM($B$22:H22)</f>
        <v>29723.5</v>
      </c>
      <c r="I33" s="66" t="n">
        <f aca="false">SUM($B$22:I22)</f>
        <v>29723.5</v>
      </c>
      <c r="J33" s="66" t="n">
        <f aca="false">SUM($B$22:J22)</f>
        <v>29723.5</v>
      </c>
      <c r="K33" s="66" t="n">
        <f aca="false">SUM($B$22:K22)</f>
        <v>29723.5</v>
      </c>
      <c r="L33" s="53"/>
      <c r="M33" s="53"/>
      <c r="N33" s="53"/>
      <c r="O33" s="53"/>
    </row>
    <row r="34" customFormat="false" ht="15" hidden="false" customHeight="true" outlineLevel="0" collapsed="false">
      <c r="A34" s="59" t="s">
        <v>470</v>
      </c>
      <c r="B34" s="77" t="n">
        <f aca="false">IF(B16&lt;=0,0,B26/B16)</f>
        <v>1.75793972662371</v>
      </c>
      <c r="C34" s="77" t="n">
        <f aca="false">IF(C16&lt;=0,0,C26/C16)</f>
        <v>0.898089256673323</v>
      </c>
      <c r="D34" s="77" t="n">
        <f aca="false">IF(D16&lt;=0,0,D26/D16)</f>
        <v>1.34637590789033</v>
      </c>
      <c r="E34" s="77" t="n">
        <f aca="false">IF(E16&lt;=0,0,E26/E16)</f>
        <v>1.17669685462553</v>
      </c>
      <c r="F34" s="77" t="n">
        <f aca="false">IF(F16&lt;=0,0,F26/F16)</f>
        <v>0.973525666340232</v>
      </c>
      <c r="G34" s="77" t="n">
        <f aca="false">IF(G16&lt;=0,0,G26/G16)</f>
        <v>0.857090951504121</v>
      </c>
      <c r="H34" s="77" t="n">
        <f aca="false">IF(H16&lt;=0,0,H26/H16)</f>
        <v>1.09445358556946</v>
      </c>
      <c r="I34" s="77" t="n">
        <f aca="false">IF(I16&lt;=0,0,I26/I16)</f>
        <v>0.902683391884154</v>
      </c>
      <c r="J34" s="77" t="n">
        <f aca="false">IF(J16&lt;=0,0,J26/J16)</f>
        <v>0.74540345289431</v>
      </c>
      <c r="K34" s="77" t="n">
        <f aca="false">IF(K16&lt;=0,0,K26/K16)</f>
        <v>0.616211715050528</v>
      </c>
      <c r="L34" s="53"/>
      <c r="M34" s="53"/>
      <c r="N34" s="53"/>
      <c r="O34" s="53"/>
    </row>
    <row r="35" customFormat="false" ht="12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customFormat="false" ht="15" hidden="false" customHeight="true" outlineLevel="0" collapsed="false">
      <c r="A36" s="53" t="s">
        <v>471</v>
      </c>
      <c r="B36" s="66" t="n">
        <f aca="false">B28</f>
        <v>-905.669440333333</v>
      </c>
      <c r="C36" s="66" t="n">
        <f aca="false">C28</f>
        <v>-21431.5984089063</v>
      </c>
      <c r="D36" s="66" t="n">
        <f aca="false">D28</f>
        <v>-8015.29381074167</v>
      </c>
      <c r="E36" s="66" t="n">
        <f aca="false">E28</f>
        <v>4717.38593706806</v>
      </c>
      <c r="F36" s="66" t="n">
        <f aca="false">F28</f>
        <v>9908.08777554583</v>
      </c>
      <c r="G36" s="66" t="n">
        <f aca="false">G28</f>
        <v>17419.5931116668</v>
      </c>
      <c r="H36" s="66" t="n">
        <f aca="false">H28</f>
        <v>12162.7341239083</v>
      </c>
      <c r="I36" s="66" t="n">
        <f aca="false">I28</f>
        <v>12639.9780526635</v>
      </c>
      <c r="J36" s="66" t="n">
        <f aca="false">J28</f>
        <v>13120.2944632961</v>
      </c>
      <c r="K36" s="66" t="n">
        <f aca="false">K28+K31</f>
        <v>162685.79191686</v>
      </c>
      <c r="L36" s="53"/>
      <c r="M36" s="53"/>
      <c r="N36" s="53"/>
      <c r="O36" s="53"/>
    </row>
    <row r="37" customFormat="false" ht="15" hidden="false" customHeight="true" outlineLevel="0" collapsed="false">
      <c r="A37" s="53" t="s">
        <v>472</v>
      </c>
      <c r="B37" s="66" t="n">
        <f aca="false">B29</f>
        <v>-905.669440333333</v>
      </c>
      <c r="C37" s="66" t="n">
        <f aca="false">C29</f>
        <v>-21431.5984089063</v>
      </c>
      <c r="D37" s="66" t="n">
        <f aca="false">D29</f>
        <v>-8015.29381074167</v>
      </c>
      <c r="E37" s="66" t="n">
        <f aca="false">E29</f>
        <v>4717.38593706806</v>
      </c>
      <c r="F37" s="66" t="n">
        <f aca="false">F29</f>
        <v>9908.08777554583</v>
      </c>
      <c r="G37" s="66" t="n">
        <f aca="false">G29</f>
        <v>17419.5931116668</v>
      </c>
      <c r="H37" s="66" t="n">
        <f aca="false">H29</f>
        <v>12162.7341239083</v>
      </c>
      <c r="I37" s="66" t="n">
        <f aca="false">I29</f>
        <v>12639.9780526635</v>
      </c>
      <c r="J37" s="66" t="n">
        <f aca="false">J29</f>
        <v>13120.2944632961</v>
      </c>
      <c r="K37" s="66" t="n">
        <f aca="false">K29+K31</f>
        <v>162685.79191686</v>
      </c>
      <c r="L37" s="53"/>
      <c r="M37" s="53"/>
      <c r="N37" s="53"/>
      <c r="O37" s="53"/>
    </row>
    <row r="38" customFormat="false" ht="15" hidden="false" customHeight="true" outlineLevel="0" collapsed="false">
      <c r="A38" s="53" t="s">
        <v>473</v>
      </c>
      <c r="B38" s="78" t="n">
        <f aca="false">IF(Capex_Model!$K$22=0,0,SUM($B$36:$K$36)/Capex_Model!$K$22)</f>
        <v>2.35480507183131</v>
      </c>
      <c r="C38" s="64"/>
      <c r="D38" s="64"/>
      <c r="E38" s="64"/>
      <c r="F38" s="64"/>
      <c r="G38" s="64"/>
      <c r="H38" s="64"/>
      <c r="I38" s="64"/>
      <c r="J38" s="64"/>
      <c r="K38" s="64"/>
      <c r="L38" s="53"/>
      <c r="M38" s="53"/>
      <c r="N38" s="53"/>
      <c r="O38" s="53"/>
    </row>
  </sheetData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tru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3" min="1" style="1" width="18"/>
    <col collapsed="false" customWidth="true" hidden="false" outlineLevel="0" max="4" min="4" style="1" width="16"/>
    <col collapsed="false" customWidth="true" hidden="false" outlineLevel="0" max="8" min="5" style="1" width="28"/>
    <col collapsed="false" customWidth="true" hidden="false" outlineLevel="0" max="9" min="9" style="1" width="18"/>
    <col collapsed="false" customWidth="true" hidden="false" outlineLevel="0" max="10" min="10" style="1" width="30"/>
  </cols>
  <sheetData>
    <row r="1" customFormat="false" ht="42" hidden="false" customHeight="true" outlineLevel="0" collapsed="false">
      <c r="A1" s="40" t="s">
        <v>474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61</v>
      </c>
      <c r="B3" s="9" t="s">
        <v>475</v>
      </c>
      <c r="C3" s="9" t="s">
        <v>476</v>
      </c>
      <c r="D3" s="9" t="s">
        <v>477</v>
      </c>
      <c r="E3" s="9" t="s">
        <v>478</v>
      </c>
      <c r="F3" s="9" t="s">
        <v>479</v>
      </c>
      <c r="G3" s="9" t="s">
        <v>480</v>
      </c>
      <c r="H3" s="9" t="s">
        <v>481</v>
      </c>
      <c r="I3" s="9" t="s">
        <v>482</v>
      </c>
      <c r="J3" s="9" t="s">
        <v>483</v>
      </c>
      <c r="K3" s="9"/>
    </row>
    <row r="4" customFormat="false" ht="27.75" hidden="false" customHeight="true" outlineLevel="0" collapsed="false">
      <c r="A4" s="42" t="s">
        <v>484</v>
      </c>
      <c r="B4" s="42" t="s">
        <v>67</v>
      </c>
      <c r="C4" s="42" t="s">
        <v>68</v>
      </c>
      <c r="D4" s="42" t="s">
        <v>69</v>
      </c>
      <c r="E4" s="42" t="s">
        <v>485</v>
      </c>
      <c r="F4" s="42" t="s">
        <v>486</v>
      </c>
      <c r="G4" s="42" t="s">
        <v>487</v>
      </c>
      <c r="H4" s="42" t="s">
        <v>488</v>
      </c>
      <c r="I4" s="42" t="s">
        <v>489</v>
      </c>
      <c r="J4" s="42" t="s">
        <v>490</v>
      </c>
    </row>
    <row r="5" customFormat="false" ht="27.75" hidden="false" customHeight="true" outlineLevel="0" collapsed="false">
      <c r="A5" s="42" t="s">
        <v>491</v>
      </c>
      <c r="B5" s="42" t="s">
        <v>72</v>
      </c>
      <c r="C5" s="42" t="s">
        <v>73</v>
      </c>
      <c r="D5" s="42" t="s">
        <v>74</v>
      </c>
      <c r="E5" s="42" t="s">
        <v>492</v>
      </c>
      <c r="F5" s="42" t="s">
        <v>493</v>
      </c>
      <c r="G5" s="42" t="s">
        <v>494</v>
      </c>
      <c r="H5" s="42" t="s">
        <v>495</v>
      </c>
      <c r="I5" s="42" t="s">
        <v>496</v>
      </c>
      <c r="J5" s="42" t="s">
        <v>497</v>
      </c>
    </row>
    <row r="6" customFormat="false" ht="27.75" hidden="false" customHeight="true" outlineLevel="0" collapsed="false">
      <c r="A6" s="42" t="s">
        <v>498</v>
      </c>
      <c r="B6" s="42" t="s">
        <v>77</v>
      </c>
      <c r="C6" s="42" t="s">
        <v>78</v>
      </c>
      <c r="D6" s="42" t="s">
        <v>79</v>
      </c>
      <c r="E6" s="42" t="s">
        <v>499</v>
      </c>
      <c r="F6" s="42" t="s">
        <v>500</v>
      </c>
      <c r="G6" s="42" t="s">
        <v>501</v>
      </c>
      <c r="H6" s="42" t="s">
        <v>502</v>
      </c>
      <c r="I6" s="42" t="s">
        <v>496</v>
      </c>
      <c r="J6" s="42" t="s">
        <v>503</v>
      </c>
    </row>
    <row r="7" customFormat="false" ht="27.75" hidden="false" customHeight="true" outlineLevel="0" collapsed="false">
      <c r="A7" s="42" t="s">
        <v>504</v>
      </c>
      <c r="B7" s="42" t="s">
        <v>82</v>
      </c>
      <c r="C7" s="42" t="s">
        <v>83</v>
      </c>
      <c r="D7" s="42" t="s">
        <v>84</v>
      </c>
      <c r="E7" s="42" t="s">
        <v>505</v>
      </c>
      <c r="F7" s="42" t="s">
        <v>506</v>
      </c>
      <c r="G7" s="42" t="s">
        <v>507</v>
      </c>
      <c r="H7" s="42" t="s">
        <v>508</v>
      </c>
      <c r="I7" s="42" t="s">
        <v>496</v>
      </c>
      <c r="J7" s="42" t="s">
        <v>509</v>
      </c>
    </row>
    <row r="8" customFormat="false" ht="41.25" hidden="false" customHeight="true" outlineLevel="0" collapsed="false">
      <c r="A8" s="42" t="s">
        <v>510</v>
      </c>
      <c r="B8" s="42" t="s">
        <v>87</v>
      </c>
      <c r="C8" s="42" t="s">
        <v>88</v>
      </c>
      <c r="D8" s="42" t="s">
        <v>89</v>
      </c>
      <c r="E8" s="42" t="s">
        <v>511</v>
      </c>
      <c r="F8" s="42" t="s">
        <v>512</v>
      </c>
      <c r="G8" s="42" t="s">
        <v>513</v>
      </c>
      <c r="H8" s="42" t="s">
        <v>514</v>
      </c>
      <c r="I8" s="42" t="s">
        <v>496</v>
      </c>
      <c r="J8" s="42" t="s">
        <v>515</v>
      </c>
    </row>
    <row r="9" customFormat="false" ht="41.25" hidden="false" customHeight="true" outlineLevel="0" collapsed="false">
      <c r="A9" s="42" t="s">
        <v>516</v>
      </c>
      <c r="B9" s="42" t="s">
        <v>92</v>
      </c>
      <c r="C9" s="42" t="s">
        <v>517</v>
      </c>
      <c r="D9" s="42" t="s">
        <v>89</v>
      </c>
      <c r="E9" s="42" t="s">
        <v>518</v>
      </c>
      <c r="F9" s="42" t="s">
        <v>519</v>
      </c>
      <c r="G9" s="42" t="s">
        <v>520</v>
      </c>
      <c r="H9" s="42" t="s">
        <v>521</v>
      </c>
      <c r="I9" s="42" t="s">
        <v>496</v>
      </c>
      <c r="J9" s="42" t="s">
        <v>522</v>
      </c>
    </row>
    <row r="10" customFormat="false" ht="41.25" hidden="false" customHeight="true" outlineLevel="0" collapsed="false">
      <c r="A10" s="42" t="s">
        <v>523</v>
      </c>
      <c r="B10" s="42" t="s">
        <v>524</v>
      </c>
      <c r="C10" s="42" t="s">
        <v>525</v>
      </c>
      <c r="D10" s="42" t="s">
        <v>526</v>
      </c>
      <c r="E10" s="42" t="s">
        <v>527</v>
      </c>
      <c r="F10" s="42" t="s">
        <v>528</v>
      </c>
      <c r="G10" s="42" t="s">
        <v>529</v>
      </c>
      <c r="H10" s="42" t="s">
        <v>530</v>
      </c>
      <c r="I10" s="42" t="s">
        <v>531</v>
      </c>
      <c r="J10" s="42" t="s">
        <v>532</v>
      </c>
    </row>
    <row r="11" customFormat="false" ht="27.75" hidden="false" customHeight="true" outlineLevel="0" collapsed="false">
      <c r="A11" s="42" t="s">
        <v>533</v>
      </c>
      <c r="B11" s="42" t="s">
        <v>534</v>
      </c>
      <c r="C11" s="42" t="s">
        <v>535</v>
      </c>
      <c r="D11" s="42" t="s">
        <v>536</v>
      </c>
      <c r="E11" s="42" t="s">
        <v>537</v>
      </c>
      <c r="F11" s="42" t="s">
        <v>538</v>
      </c>
      <c r="G11" s="42" t="s">
        <v>539</v>
      </c>
      <c r="H11" s="42" t="s">
        <v>540</v>
      </c>
      <c r="I11" s="42" t="s">
        <v>541</v>
      </c>
      <c r="J11" s="42" t="s">
        <v>532</v>
      </c>
    </row>
  </sheetData>
  <mergeCells count="1">
    <mergeCell ref="A1:J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4" min="1" style="1" width="40"/>
    <col collapsed="false" customWidth="true" hidden="false" outlineLevel="0" max="5" min="5" style="1" width="16"/>
  </cols>
  <sheetData>
    <row r="1" customFormat="false" ht="42" hidden="false" customHeight="true" outlineLevel="0" collapsed="false">
      <c r="A1" s="40" t="s">
        <v>542</v>
      </c>
      <c r="B1" s="40"/>
      <c r="C1" s="40"/>
      <c r="D1" s="40"/>
      <c r="E1" s="40"/>
    </row>
    <row r="2" customFormat="false" ht="15.75" hidden="false" customHeight="true" outlineLevel="0" collapsed="false">
      <c r="A2" s="79" t="s">
        <v>543</v>
      </c>
      <c r="B2" s="79"/>
      <c r="C2" s="79"/>
      <c r="D2" s="79"/>
      <c r="E2" s="79"/>
      <c r="F2" s="9"/>
      <c r="G2" s="9"/>
      <c r="H2" s="9"/>
      <c r="I2" s="9"/>
      <c r="J2" s="9"/>
      <c r="K2" s="9"/>
    </row>
    <row r="3" customFormat="false" ht="27.75" hidden="false" customHeight="true" outlineLevel="0" collapsed="false">
      <c r="A3" s="69"/>
      <c r="B3" s="69"/>
      <c r="C3" s="69"/>
      <c r="D3" s="69"/>
      <c r="E3" s="69"/>
    </row>
    <row r="4" customFormat="false" ht="15" hidden="false" customHeight="true" outlineLevel="0" collapsed="false">
      <c r="A4" s="80" t="s">
        <v>544</v>
      </c>
      <c r="B4" s="80"/>
      <c r="C4" s="80"/>
      <c r="D4" s="80"/>
      <c r="E4" s="80"/>
    </row>
    <row r="5" customFormat="false" ht="15" hidden="false" customHeight="true" outlineLevel="0" collapsed="false">
      <c r="A5" s="81" t="s">
        <v>114</v>
      </c>
      <c r="B5" s="82" t="s">
        <v>545</v>
      </c>
      <c r="C5" s="69"/>
      <c r="D5" s="69"/>
      <c r="E5" s="69"/>
    </row>
    <row r="6" customFormat="false" ht="15" hidden="false" customHeight="true" outlineLevel="0" collapsed="false">
      <c r="A6" s="83" t="n">
        <v>0.12</v>
      </c>
      <c r="B6" s="84" t="n">
        <f aca="false">NPV(A6,Financing_DCF!$B$36:$K$36)</f>
        <v>61565.1659053757</v>
      </c>
      <c r="C6" s="85"/>
      <c r="D6" s="85"/>
      <c r="E6" s="69"/>
    </row>
    <row r="7" customFormat="false" ht="15" hidden="false" customHeight="true" outlineLevel="0" collapsed="false">
      <c r="A7" s="83" t="n">
        <v>0.15</v>
      </c>
      <c r="B7" s="84" t="n">
        <f aca="false">NPV(A7,Financing_DCF!$B$36:$K$36)</f>
        <v>45538.6301429597</v>
      </c>
      <c r="C7" s="86" t="s">
        <v>546</v>
      </c>
      <c r="D7" s="85"/>
      <c r="E7" s="69"/>
    </row>
    <row r="8" customFormat="false" ht="15" hidden="false" customHeight="true" outlineLevel="0" collapsed="false">
      <c r="A8" s="83" t="n">
        <v>0.18</v>
      </c>
      <c r="B8" s="84" t="n">
        <f aca="false">NPV(A8,Financing_DCF!$B$36:$K$36)</f>
        <v>33401.5737433338</v>
      </c>
      <c r="C8" s="69"/>
      <c r="D8" s="69"/>
      <c r="E8" s="69"/>
    </row>
    <row r="9" customFormat="false" ht="15" hidden="false" customHeight="true" outlineLevel="0" collapsed="false">
      <c r="A9" s="83" t="n">
        <v>0.2</v>
      </c>
      <c r="B9" s="84" t="n">
        <f aca="false">NPV(A9,Financing_DCF!$B$36:$K$36)</f>
        <v>26965.8548802993</v>
      </c>
      <c r="C9" s="69"/>
      <c r="D9" s="69"/>
      <c r="E9" s="69"/>
    </row>
    <row r="10" customFormat="false" ht="15" hidden="false" customHeight="true" outlineLevel="0" collapsed="false">
      <c r="A10" s="83" t="n">
        <v>0.25</v>
      </c>
      <c r="B10" s="84" t="n">
        <f aca="false">NPV(A10,Financing_DCF!$B$36:$K$36)</f>
        <v>15101.3529820265</v>
      </c>
      <c r="C10" s="69"/>
      <c r="D10" s="69"/>
      <c r="E10" s="69"/>
    </row>
    <row r="11" customFormat="false" ht="27.75" hidden="false" customHeight="true" outlineLevel="0" collapsed="false">
      <c r="A11" s="69"/>
      <c r="B11" s="69"/>
      <c r="C11" s="69"/>
      <c r="D11" s="69"/>
      <c r="E11" s="69"/>
    </row>
    <row r="12" customFormat="false" ht="27.75" hidden="false" customHeight="true" outlineLevel="0" collapsed="false">
      <c r="A12" s="80" t="s">
        <v>547</v>
      </c>
      <c r="B12" s="80"/>
      <c r="C12" s="80"/>
      <c r="D12" s="80"/>
      <c r="E12" s="80"/>
    </row>
    <row r="13" customFormat="false" ht="27.75" hidden="false" customHeight="true" outlineLevel="0" collapsed="false">
      <c r="A13" s="81" t="s">
        <v>548</v>
      </c>
      <c r="B13" s="81" t="s">
        <v>549</v>
      </c>
      <c r="C13" s="82" t="s">
        <v>545</v>
      </c>
      <c r="D13" s="82" t="s">
        <v>550</v>
      </c>
      <c r="E13" s="69"/>
    </row>
    <row r="14" customFormat="false" ht="15" hidden="false" customHeight="true" outlineLevel="0" collapsed="false">
      <c r="A14" s="87" t="s">
        <v>551</v>
      </c>
      <c r="B14" s="88" t="s">
        <v>552</v>
      </c>
      <c r="C14" s="84" t="n">
        <v>45539</v>
      </c>
      <c r="D14" s="89" t="n">
        <v>0.385</v>
      </c>
      <c r="E14" s="53"/>
    </row>
    <row r="15" customFormat="false" ht="23.25" hidden="false" customHeight="true" outlineLevel="0" collapsed="false">
      <c r="A15" s="90" t="s">
        <v>553</v>
      </c>
      <c r="B15" s="88" t="s">
        <v>554</v>
      </c>
      <c r="C15" s="84" t="n">
        <v>9030</v>
      </c>
      <c r="D15" s="89" t="n">
        <v>0.203</v>
      </c>
      <c r="E15" s="53"/>
    </row>
    <row r="16" customFormat="false" ht="15" hidden="false" customHeight="true" outlineLevel="0" collapsed="false">
      <c r="A16" s="90" t="s">
        <v>555</v>
      </c>
      <c r="B16" s="88" t="s">
        <v>556</v>
      </c>
      <c r="C16" s="84" t="n">
        <v>25697</v>
      </c>
      <c r="D16" s="89" t="n">
        <v>0.293</v>
      </c>
      <c r="E16" s="53"/>
    </row>
    <row r="17" customFormat="false" ht="15" hidden="false" customHeight="true" outlineLevel="0" collapsed="false">
      <c r="A17" s="90" t="s">
        <v>557</v>
      </c>
      <c r="B17" s="88" t="s">
        <v>558</v>
      </c>
      <c r="C17" s="84" t="n">
        <v>26336</v>
      </c>
      <c r="D17" s="89" t="n">
        <v>0.299</v>
      </c>
      <c r="E17" s="53"/>
    </row>
    <row r="18" customFormat="false" ht="23.25" hidden="false" customHeight="true" outlineLevel="0" collapsed="false">
      <c r="A18" s="53" t="s">
        <v>559</v>
      </c>
      <c r="B18" s="53" t="s">
        <v>560</v>
      </c>
      <c r="C18" s="63" t="n">
        <v>37414</v>
      </c>
      <c r="D18" s="91" t="n">
        <v>0.336</v>
      </c>
      <c r="E18" s="53"/>
    </row>
    <row r="19" customFormat="false" ht="43.5" hidden="false" customHeight="true" outlineLevel="0" collapsed="false">
      <c r="A19" s="92" t="s">
        <v>561</v>
      </c>
      <c r="B19" s="93" t="s">
        <v>562</v>
      </c>
      <c r="C19" s="94" t="n">
        <v>-25179</v>
      </c>
      <c r="D19" s="93" t="s">
        <v>563</v>
      </c>
    </row>
    <row r="20" customFormat="false" ht="53.25" hidden="false" customHeight="true" outlineLevel="0" collapsed="false">
      <c r="A20" s="95" t="s">
        <v>564</v>
      </c>
      <c r="B20" s="53"/>
      <c r="C20" s="53"/>
      <c r="D20" s="53"/>
      <c r="E20" s="53"/>
    </row>
    <row r="21" customFormat="false" ht="12.75" hidden="false" customHeight="true" outlineLevel="0" collapsed="false">
      <c r="A21" s="53"/>
      <c r="B21" s="53"/>
      <c r="C21" s="53"/>
      <c r="D21" s="53"/>
      <c r="E21" s="53"/>
    </row>
    <row r="22" customFormat="false" ht="12.75" hidden="false" customHeight="true" outlineLevel="0" collapsed="false">
      <c r="A22" s="80" t="s">
        <v>565</v>
      </c>
      <c r="B22" s="96"/>
      <c r="C22" s="96"/>
      <c r="D22" s="96"/>
      <c r="E22" s="96"/>
    </row>
    <row r="23" customFormat="false" ht="12.75" hidden="false" customHeight="true" outlineLevel="0" collapsed="false">
      <c r="A23" s="97" t="s">
        <v>566</v>
      </c>
      <c r="B23" s="97" t="s">
        <v>545</v>
      </c>
      <c r="C23" s="97" t="s">
        <v>567</v>
      </c>
      <c r="D23" s="53"/>
      <c r="E23" s="53"/>
    </row>
    <row r="24" customFormat="false" ht="12.75" hidden="false" customHeight="true" outlineLevel="0" collapsed="false">
      <c r="A24" s="98" t="n">
        <v>5</v>
      </c>
      <c r="B24" s="63" t="n">
        <f aca="false">Financing_DCF!$N$4+(5-Scenario_Control!$B$10)*(Financing_DCF!$K$15/(1+Scenario_Control!$B$9)^(Financing_DCF!$K$3-2025))</f>
        <v>31719.578711629</v>
      </c>
      <c r="C24" s="91" t="n">
        <f aca="false">(5*(Financing_DCF!$K$15/(1+Scenario_Control!$B$9)^(Financing_DCF!$K$3-2025)))/(Financing_DCF!$N$4+(5-Scenario_Control!$B$10)*(Financing_DCF!$K$15/(1+Scenario_Control!$B$9)^(Financing_DCF!$K$3-2025)))</f>
        <v>0.726105242283913</v>
      </c>
      <c r="D24" s="53"/>
      <c r="E24" s="53"/>
    </row>
    <row r="25" customFormat="false" ht="12.75" hidden="false" customHeight="true" outlineLevel="0" collapsed="false">
      <c r="A25" s="98" t="n">
        <v>6</v>
      </c>
      <c r="B25" s="63" t="n">
        <f aca="false">Financing_DCF!$N$4+(6-Scenario_Control!$B$10)*(Financing_DCF!$K$15/(1+Scenario_Control!$B$9)^(Financing_DCF!$K$3-2025))</f>
        <v>36325.9291887393</v>
      </c>
      <c r="C25" s="91" t="n">
        <f aca="false">(6*(Financing_DCF!$K$15/(1+Scenario_Control!$B$9)^(Financing_DCF!$K$3-2025)))/(Financing_DCF!$N$4+(6-Scenario_Control!$B$10)*(Financing_DCF!$K$15/(1+Scenario_Control!$B$9)^(Financing_DCF!$K$3-2025)))</f>
        <v>0.760836776371542</v>
      </c>
      <c r="D25" s="53"/>
      <c r="E25" s="53"/>
    </row>
    <row r="26" customFormat="false" ht="12.75" hidden="false" customHeight="true" outlineLevel="0" collapsed="false">
      <c r="A26" s="98" t="n">
        <v>7</v>
      </c>
      <c r="B26" s="63" t="n">
        <f aca="false">Financing_DCF!$N$4+(7-Scenario_Control!$B$10)*(Financing_DCF!$K$15/(1+Scenario_Control!$B$9)^(Financing_DCF!$K$3-2025))</f>
        <v>40932.2796658495</v>
      </c>
      <c r="C26" s="91" t="n">
        <f aca="false">(7*(Financing_DCF!$K$15/(1+Scenario_Control!$B$9)^(Financing_DCF!$K$3-2025)))/(Financing_DCF!$N$4+(7-Scenario_Control!$B$10)*(Financing_DCF!$K$15/(1+Scenario_Control!$B$9)^(Financing_DCF!$K$3-2025)))</f>
        <v>0.787751222335989</v>
      </c>
      <c r="D26" s="53"/>
      <c r="E26" s="53"/>
    </row>
    <row r="27" customFormat="false" ht="12.75" hidden="false" customHeight="true" outlineLevel="0" collapsed="false">
      <c r="A27" s="98" t="n">
        <v>8</v>
      </c>
      <c r="B27" s="63" t="n">
        <f aca="false">Financing_DCF!$N$4+(8-Scenario_Control!$B$10)*(Financing_DCF!$K$15/(1+Scenario_Control!$B$9)^(Financing_DCF!$K$3-2025))</f>
        <v>45538.6301429597</v>
      </c>
      <c r="C27" s="91" t="n">
        <f aca="false">(8*(Financing_DCF!$K$15/(1+Scenario_Control!$B$9)^(Financing_DCF!$K$3-2025)))/(Financing_DCF!$N$4+(8-Scenario_Control!$B$10)*(Financing_DCF!$K$15/(1+Scenario_Control!$B$9)^(Financing_DCF!$K$3-2025)))</f>
        <v>0.809220736354953</v>
      </c>
      <c r="D27" s="53" t="s">
        <v>568</v>
      </c>
      <c r="E27" s="53"/>
    </row>
    <row r="28" customFormat="false" ht="12.75" hidden="false" customHeight="true" outlineLevel="0" collapsed="false">
      <c r="A28" s="98" t="n">
        <v>9</v>
      </c>
      <c r="B28" s="63" t="n">
        <f aca="false">Financing_DCF!$N$4+(9-Scenario_Control!$B$10)*(Financing_DCF!$K$15/(1+Scenario_Control!$B$9)^(Financing_DCF!$K$3-2025))</f>
        <v>50144.9806200699</v>
      </c>
      <c r="C28" s="91" t="n">
        <f aca="false">(9*(Financing_DCF!$K$15/(1+Scenario_Control!$B$9)^(Financing_DCF!$K$3-2025)))/(Financing_DCF!$N$4+(9-Scenario_Control!$B$10)*(Financing_DCF!$K$15/(1+Scenario_Control!$B$9)^(Financing_DCF!$K$3-2025)))</f>
        <v>0.82674584337957</v>
      </c>
      <c r="D28" s="53"/>
      <c r="E28" s="53"/>
    </row>
    <row r="29" customFormat="false" ht="12.75" hidden="false" customHeight="true" outlineLevel="0" collapsed="false">
      <c r="A29" s="98" t="n">
        <v>10</v>
      </c>
      <c r="B29" s="63" t="n">
        <f aca="false">Financing_DCF!$N$4+(10-Scenario_Control!$B$10)*(Financing_DCF!$K$15/(1+Scenario_Control!$B$9)^(Financing_DCF!$K$3-2025))</f>
        <v>54751.3310971801</v>
      </c>
      <c r="C29" s="91" t="n">
        <f aca="false">(10*(Financing_DCF!$K$15/(1+Scenario_Control!$B$9)^(Financing_DCF!$K$3-2025)))/(Financing_DCF!$N$4+(10-Scenario_Control!$B$10)*(Financing_DCF!$K$15/(1+Scenario_Control!$B$9)^(Financing_DCF!$K$3-2025)))</f>
        <v>0.841322098440718</v>
      </c>
      <c r="D29" s="53"/>
      <c r="E29" s="53"/>
    </row>
    <row r="30" customFormat="false" ht="12.75" hidden="false" customHeight="true" outlineLevel="0" collapsed="false">
      <c r="A30" s="53"/>
      <c r="B30" s="53"/>
      <c r="C30" s="53"/>
      <c r="D30" s="53"/>
      <c r="E30" s="53"/>
    </row>
    <row r="31" customFormat="false" ht="12.75" hidden="false" customHeight="true" outlineLevel="0" collapsed="false">
      <c r="A31" s="80" t="s">
        <v>569</v>
      </c>
      <c r="B31" s="96"/>
      <c r="C31" s="96"/>
      <c r="D31" s="96"/>
      <c r="E31" s="96"/>
    </row>
    <row r="32" customFormat="false" ht="12.75" hidden="false" customHeight="true" outlineLevel="0" collapsed="false">
      <c r="A32" s="53" t="s">
        <v>570</v>
      </c>
      <c r="B32" s="63" t="n">
        <f aca="false">Financing_DCF!$N$4-(Scenario_Control!$B$10*(Financing_DCF!$K$15/(1+Scenario_Control!$B$9)^(Financing_DCF!$K$3-2025)))</f>
        <v>8687.82632607799</v>
      </c>
      <c r="C32" s="53"/>
      <c r="D32" s="53"/>
      <c r="E32" s="53"/>
    </row>
    <row r="33" customFormat="false" ht="12.75" hidden="false" customHeight="true" outlineLevel="0" collapsed="false">
      <c r="A33" s="53" t="s">
        <v>571</v>
      </c>
      <c r="B33" s="63" t="n">
        <f aca="false">Scenario_Control!$B$10*(Financing_DCF!$K$15/(1+Scenario_Control!$B$9)^(Financing_DCF!$K$3-2025))</f>
        <v>36850.8038168817</v>
      </c>
      <c r="C33" s="53"/>
      <c r="D33" s="53"/>
      <c r="E33" s="53"/>
    </row>
    <row r="34" customFormat="false" ht="12.75" hidden="false" customHeight="true" outlineLevel="0" collapsed="false">
      <c r="A34" s="53" t="s">
        <v>572</v>
      </c>
      <c r="B34" s="63" t="n">
        <f aca="false">Financing_DCF!$N$4</f>
        <v>45538.6301429597</v>
      </c>
      <c r="C34" s="53"/>
      <c r="D34" s="53"/>
      <c r="E34" s="53"/>
    </row>
    <row r="35" customFormat="false" ht="12.75" hidden="false" customHeight="true" outlineLevel="0" collapsed="false">
      <c r="A35" s="53" t="s">
        <v>573</v>
      </c>
      <c r="B35" s="91" t="n">
        <f aca="false">B33/B34</f>
        <v>0.809220736354953</v>
      </c>
      <c r="C35" s="53"/>
      <c r="D35" s="53"/>
      <c r="E35" s="53"/>
    </row>
    <row r="36" customFormat="false" ht="12.75" hidden="false" customHeight="true" outlineLevel="0" collapsed="false">
      <c r="A36" s="53" t="s">
        <v>574</v>
      </c>
      <c r="B36" s="53"/>
      <c r="C36" s="53"/>
      <c r="D36" s="53"/>
      <c r="E36" s="53"/>
    </row>
  </sheetData>
  <mergeCells count="4">
    <mergeCell ref="A1:E1"/>
    <mergeCell ref="A2:E2"/>
    <mergeCell ref="A4:E4"/>
    <mergeCell ref="A12:E1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A"/>
    <pageSetUpPr fitToPage="tru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54"/>
  </cols>
  <sheetData>
    <row r="1" customFormat="false" ht="42" hidden="false" customHeight="true" outlineLevel="0" collapsed="false">
      <c r="A1" s="40" t="s">
        <v>575</v>
      </c>
      <c r="B1" s="40"/>
      <c r="C1" s="40"/>
      <c r="D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576</v>
      </c>
      <c r="B3" s="9" t="s">
        <v>577</v>
      </c>
      <c r="C3" s="9" t="s">
        <v>482</v>
      </c>
      <c r="D3" s="9" t="s">
        <v>578</v>
      </c>
      <c r="E3" s="9"/>
      <c r="F3" s="9"/>
      <c r="G3" s="9"/>
      <c r="H3" s="9"/>
      <c r="I3" s="9"/>
      <c r="J3" s="9"/>
      <c r="K3" s="9"/>
    </row>
    <row r="4" customFormat="false" ht="27.75" hidden="false" customHeight="true" outlineLevel="0" collapsed="false">
      <c r="A4" s="42" t="s">
        <v>579</v>
      </c>
      <c r="B4" s="99" t="b">
        <f aca="false">AND(Case_Ramp_Annual!B5=20,Case_Ramp_Annual!B6=20)</f>
        <v>1</v>
      </c>
      <c r="C4" s="42" t="str">
        <f aca="false">IF(B4,"PASS","CHECK")</f>
        <v>PASS</v>
      </c>
      <c r="D4" s="42" t="s">
        <v>580</v>
      </c>
    </row>
    <row r="5" customFormat="false" ht="27.75" hidden="false" customHeight="true" outlineLevel="0" collapsed="false">
      <c r="A5" s="42" t="s">
        <v>581</v>
      </c>
      <c r="B5" s="99" t="b">
        <f aca="false">MAX(Load_Tariff!B12:K12)&lt;=30%</f>
        <v>1</v>
      </c>
      <c r="C5" s="42" t="str">
        <f aca="false">IF(B5,"PASS","CHECK")</f>
        <v>PASS</v>
      </c>
      <c r="D5" s="42" t="s">
        <v>582</v>
      </c>
    </row>
    <row r="6" customFormat="false" ht="15" hidden="false" customHeight="true" outlineLevel="0" collapsed="false">
      <c r="A6" s="42" t="s">
        <v>583</v>
      </c>
      <c r="B6" s="99" t="b">
        <f aca="false">Scenario_Control!B18=19</f>
        <v>1</v>
      </c>
      <c r="C6" s="42" t="str">
        <f aca="false">IF(B6,"PASS","CHECK")</f>
        <v>PASS</v>
      </c>
      <c r="D6" s="42" t="s">
        <v>584</v>
      </c>
    </row>
    <row r="7" customFormat="false" ht="15" hidden="false" customHeight="true" outlineLevel="0" collapsed="false">
      <c r="A7" s="42" t="s">
        <v>585</v>
      </c>
      <c r="B7" s="99" t="b">
        <f aca="false">Scenario_Control!B19=24</f>
        <v>1</v>
      </c>
      <c r="C7" s="42" t="str">
        <f aca="false">IF(B7,"PASS","CHECK")</f>
        <v>PASS</v>
      </c>
      <c r="D7" s="42" t="s">
        <v>586</v>
      </c>
    </row>
    <row r="8" customFormat="false" ht="15" hidden="false" customHeight="true" outlineLevel="0" collapsed="false">
      <c r="A8" s="42" t="s">
        <v>587</v>
      </c>
      <c r="B8" s="99" t="b">
        <f aca="false">Scenario_Control!B51&lt;25%</f>
        <v>1</v>
      </c>
      <c r="C8" s="42" t="str">
        <f aca="false">IF(B8,"PASS","CHECK")</f>
        <v>PASS</v>
      </c>
      <c r="D8" s="42" t="s">
        <v>588</v>
      </c>
    </row>
    <row r="9" customFormat="false" ht="15" hidden="false" customHeight="true" outlineLevel="0" collapsed="false">
      <c r="A9" s="42" t="s">
        <v>589</v>
      </c>
      <c r="B9" s="99" t="b">
        <f aca="false">BTC_Model!D6=BTC_Model!C6/2</f>
        <v>1</v>
      </c>
      <c r="C9" s="42" t="str">
        <f aca="false">IF(B9,"PASS","CHECK")</f>
        <v>PASS</v>
      </c>
      <c r="D9" s="42" t="s">
        <v>590</v>
      </c>
    </row>
    <row r="10" customFormat="false" ht="15" hidden="false" customHeight="true" outlineLevel="0" collapsed="false">
      <c r="A10" s="42" t="s">
        <v>591</v>
      </c>
      <c r="B10" s="99" t="b">
        <f aca="false">BTC_Model!H6=BTC_Model!G6/2</f>
        <v>1</v>
      </c>
      <c r="C10" s="42" t="str">
        <f aca="false">IF(B10,"PASS","CHECK")</f>
        <v>PASS</v>
      </c>
      <c r="D10" s="42" t="s">
        <v>592</v>
      </c>
    </row>
    <row r="11" customFormat="false" ht="15" hidden="false" customHeight="true" outlineLevel="0" collapsed="false">
      <c r="A11" s="42" t="s">
        <v>593</v>
      </c>
      <c r="B11" s="99" t="b">
        <f aca="false">MIN(Load_Tariff!B18:K18-Load_Tariff!B17:K17)&gt;0</f>
        <v>1</v>
      </c>
      <c r="C11" s="42" t="str">
        <f aca="false">IF(B11,"PASS","CHECK")</f>
        <v>PASS</v>
      </c>
      <c r="D11" s="42" t="s">
        <v>594</v>
      </c>
    </row>
    <row r="12" customFormat="false" ht="15" hidden="false" customHeight="true" outlineLevel="0" collapsed="false">
      <c r="A12" s="100" t="s">
        <v>595</v>
      </c>
      <c r="B12" s="101" t="b">
        <f aca="false">SUM(Capex_Model!B13:K13)=0</f>
        <v>1</v>
      </c>
      <c r="C12" s="100" t="str">
        <f aca="false">IF(B12,"PASS","CHECK")</f>
        <v>PASS</v>
      </c>
      <c r="D12" s="100" t="s">
        <v>596</v>
      </c>
    </row>
    <row r="13" customFormat="false" ht="15" hidden="false" customHeight="true" outlineLevel="0" collapsed="false">
      <c r="A13" s="100" t="s">
        <v>597</v>
      </c>
      <c r="B13" s="101" t="b">
        <f aca="false">ROUND(Capex_Model!K23-Capex_Model!K22,0)=0</f>
        <v>1</v>
      </c>
      <c r="C13" s="100" t="str">
        <f aca="false">IF(B13,"PASS","CHECK")</f>
        <v>PASS</v>
      </c>
      <c r="D13" s="100" t="s">
        <v>598</v>
      </c>
    </row>
    <row r="14" customFormat="false" ht="15" hidden="false" customHeight="true" outlineLevel="0" collapsed="false">
      <c r="A14" s="53" t="s">
        <v>599</v>
      </c>
      <c r="B14" s="102" t="b">
        <f aca="false">Scenario_Control!B54=0</f>
        <v>1</v>
      </c>
      <c r="C14" s="53" t="str">
        <f aca="false">IF(B14,"PASS","CHECK")</f>
        <v>PASS</v>
      </c>
      <c r="D14" s="53" t="s">
        <v>600</v>
      </c>
    </row>
    <row r="15" customFormat="false" ht="15" hidden="false" customHeight="true" outlineLevel="0" collapsed="false">
      <c r="A15" s="53" t="s">
        <v>601</v>
      </c>
      <c r="B15" s="102" t="b">
        <f aca="false">MAX(Load_Tariff!B8:K8)&gt;0</f>
        <v>1</v>
      </c>
      <c r="C15" s="53" t="str">
        <f aca="false">IF(B15,"PASS","CHECK")</f>
        <v>PASS</v>
      </c>
      <c r="D15" s="53" t="s">
        <v>602</v>
      </c>
    </row>
    <row r="16" customFormat="false" ht="15" hidden="false" customHeight="true" outlineLevel="0" collapsed="false">
      <c r="A16" s="53" t="s">
        <v>603</v>
      </c>
      <c r="B16" s="102" t="b">
        <f aca="false">SUM(AI_DC_Model!B14:K14)=0</f>
        <v>1</v>
      </c>
      <c r="C16" s="53" t="str">
        <f aca="false">IF(B16,"PASS","CHECK")</f>
        <v>PASS</v>
      </c>
      <c r="D16" s="53" t="s">
        <v>604</v>
      </c>
    </row>
    <row r="17" customFormat="false" ht="15" hidden="false" customHeight="true" outlineLevel="0" collapsed="false">
      <c r="A17" s="53" t="s">
        <v>605</v>
      </c>
      <c r="B17" s="102" t="b">
        <f aca="false">Financing_DCF!K31&gt;0</f>
        <v>1</v>
      </c>
      <c r="C17" s="53" t="str">
        <f aca="false">IF(B17,"PASS","CHECK")</f>
        <v>PASS</v>
      </c>
      <c r="D17" s="53" t="s">
        <v>606</v>
      </c>
    </row>
    <row r="18" customFormat="false" ht="15" hidden="false" customHeight="true" outlineLevel="0" collapsed="false">
      <c r="A18" s="53" t="s">
        <v>607</v>
      </c>
      <c r="B18" s="102" t="b">
        <f aca="false">Financing_DCF!N4&gt;0</f>
        <v>1</v>
      </c>
      <c r="C18" s="53" t="str">
        <f aca="false">IF(B18,"PASS","CHECK")</f>
        <v>PASS</v>
      </c>
      <c r="D18" s="53" t="s">
        <v>608</v>
      </c>
    </row>
    <row r="19" customFormat="false" ht="15" hidden="false" customHeight="true" outlineLevel="0" collapsed="false">
      <c r="A19" s="53" t="s">
        <v>609</v>
      </c>
      <c r="B19" s="103" t="n">
        <f aca="false">ROUND(Financing_DCF!K5-Financing_DCF!K4,0)=0</f>
        <v>1</v>
      </c>
      <c r="C19" s="53" t="str">
        <f aca="false">IF(B19,"PASS","CHECK")</f>
        <v>PASS</v>
      </c>
      <c r="D19" s="53" t="s">
        <v>610</v>
      </c>
    </row>
  </sheetData>
  <mergeCells count="1">
    <mergeCell ref="A1:D1"/>
  </mergeCells>
  <conditionalFormatting sqref="C4:C13">
    <cfRule type="expression" priority="2" aboveAverage="0" equalAverage="0" bottom="0" percent="0" rank="0" text="" dxfId="0">
      <formula>C4="CHECK"</formula>
    </cfRule>
    <cfRule type="expression" priority="3" aboveAverage="0" equalAverage="0" bottom="0" percent="0" rank="0" text="" dxfId="1">
      <formula>C4="PASS"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5" min="3" style="1" width="38"/>
  </cols>
  <sheetData>
    <row r="1" customFormat="false" ht="42" hidden="false" customHeight="true" outlineLevel="0" collapsed="false">
      <c r="A1" s="40" t="s">
        <v>611</v>
      </c>
      <c r="B1" s="40"/>
      <c r="C1" s="40"/>
      <c r="D1" s="40"/>
      <c r="E1" s="40"/>
    </row>
    <row r="2" customFormat="false" ht="15.75" hidden="false" customHeight="true" outlineLevel="0" collapsed="false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5" hidden="false" customHeight="true" outlineLevel="0" collapsed="false">
      <c r="A3" s="9" t="s">
        <v>612</v>
      </c>
      <c r="B3" s="9" t="s">
        <v>613</v>
      </c>
      <c r="C3" s="9" t="s">
        <v>614</v>
      </c>
      <c r="D3" s="9" t="s">
        <v>482</v>
      </c>
      <c r="E3" s="9" t="s">
        <v>615</v>
      </c>
      <c r="F3" s="9"/>
      <c r="G3" s="9"/>
      <c r="H3" s="9"/>
      <c r="I3" s="9"/>
      <c r="J3" s="9"/>
      <c r="K3" s="9"/>
    </row>
    <row r="4" customFormat="false" ht="41.25" hidden="false" customHeight="true" outlineLevel="0" collapsed="false">
      <c r="A4" s="42" t="s">
        <v>616</v>
      </c>
      <c r="B4" s="42" t="s">
        <v>617</v>
      </c>
      <c r="C4" s="42" t="s">
        <v>618</v>
      </c>
      <c r="D4" s="42" t="s">
        <v>619</v>
      </c>
      <c r="E4" s="42" t="s">
        <v>620</v>
      </c>
    </row>
    <row r="5" customFormat="false" ht="41.25" hidden="false" customHeight="true" outlineLevel="0" collapsed="false">
      <c r="A5" s="42" t="s">
        <v>621</v>
      </c>
      <c r="B5" s="42" t="s">
        <v>622</v>
      </c>
      <c r="C5" s="42" t="s">
        <v>623</v>
      </c>
      <c r="D5" s="42" t="s">
        <v>624</v>
      </c>
      <c r="E5" s="42" t="s">
        <v>625</v>
      </c>
    </row>
    <row r="6" customFormat="false" ht="41.25" hidden="false" customHeight="true" outlineLevel="0" collapsed="false">
      <c r="A6" s="42" t="s">
        <v>626</v>
      </c>
      <c r="B6" s="42" t="s">
        <v>627</v>
      </c>
      <c r="C6" s="42" t="s">
        <v>628</v>
      </c>
      <c r="D6" s="42" t="s">
        <v>629</v>
      </c>
      <c r="E6" s="42" t="s">
        <v>630</v>
      </c>
    </row>
    <row r="7" customFormat="false" ht="41.25" hidden="false" customHeight="true" outlineLevel="0" collapsed="false">
      <c r="A7" s="42" t="s">
        <v>631</v>
      </c>
      <c r="B7" s="42" t="s">
        <v>632</v>
      </c>
      <c r="C7" s="42" t="s">
        <v>633</v>
      </c>
      <c r="D7" s="42" t="s">
        <v>634</v>
      </c>
      <c r="E7" s="42" t="s">
        <v>635</v>
      </c>
    </row>
    <row r="8" customFormat="false" ht="27.75" hidden="false" customHeight="true" outlineLevel="0" collapsed="false">
      <c r="A8" s="42" t="s">
        <v>636</v>
      </c>
      <c r="B8" s="42" t="s">
        <v>637</v>
      </c>
      <c r="C8" s="42" t="s">
        <v>638</v>
      </c>
      <c r="D8" s="42" t="s">
        <v>639</v>
      </c>
      <c r="E8" s="42" t="s">
        <v>640</v>
      </c>
    </row>
    <row r="9" customFormat="false" ht="27.75" hidden="false" customHeight="true" outlineLevel="0" collapsed="false">
      <c r="A9" s="42" t="s">
        <v>641</v>
      </c>
      <c r="B9" s="42" t="s">
        <v>642</v>
      </c>
      <c r="C9" s="42" t="s">
        <v>643</v>
      </c>
      <c r="D9" s="42" t="s">
        <v>644</v>
      </c>
      <c r="E9" s="42" t="s">
        <v>645</v>
      </c>
    </row>
  </sheetData>
  <mergeCells count="1">
    <mergeCell ref="A1:E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737"/>
    <pageSetUpPr fitToPage="tru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6"/>
  </cols>
  <sheetData>
    <row r="1" customFormat="false" ht="42" hidden="false" customHeight="true" outlineLevel="0" collapsed="false">
      <c r="A1" s="40" t="s">
        <v>646</v>
      </c>
      <c r="B1" s="40"/>
      <c r="C1" s="40"/>
      <c r="D1" s="40"/>
    </row>
    <row r="2" customFormat="false" ht="25.5" hidden="false" customHeight="true" outlineLevel="0" collapsed="false">
      <c r="A2" s="10" t="s">
        <v>647</v>
      </c>
      <c r="B2" s="10"/>
      <c r="C2" s="10"/>
      <c r="D2" s="10"/>
      <c r="E2" s="9"/>
      <c r="F2" s="9"/>
      <c r="G2" s="9"/>
      <c r="H2" s="9"/>
      <c r="I2" s="9"/>
      <c r="J2" s="9"/>
      <c r="K2" s="9"/>
    </row>
    <row r="3" customFormat="false" ht="12.75" hidden="false" customHeight="true" outlineLevel="0" collapsed="false">
      <c r="A3" s="53"/>
      <c r="B3" s="53"/>
      <c r="C3" s="53"/>
      <c r="D3" s="53"/>
    </row>
    <row r="4" customFormat="false" ht="15" hidden="false" customHeight="true" outlineLevel="0" collapsed="false">
      <c r="A4" s="104" t="s">
        <v>648</v>
      </c>
      <c r="B4" s="104"/>
      <c r="C4" s="104"/>
      <c r="D4" s="104"/>
    </row>
    <row r="5" customFormat="false" ht="45.75" hidden="false" customHeight="true" outlineLevel="0" collapsed="false">
      <c r="A5" s="105" t="s">
        <v>649</v>
      </c>
      <c r="B5" s="105"/>
      <c r="C5" s="105"/>
      <c r="D5" s="105"/>
    </row>
    <row r="6" customFormat="false" ht="12.75" hidden="false" customHeight="true" outlineLevel="0" collapsed="false">
      <c r="A6" s="53"/>
      <c r="B6" s="53"/>
      <c r="C6" s="53"/>
      <c r="D6" s="53"/>
    </row>
    <row r="7" customFormat="false" ht="15" hidden="false" customHeight="true" outlineLevel="0" collapsed="false">
      <c r="A7" s="104" t="s">
        <v>650</v>
      </c>
      <c r="B7" s="104"/>
      <c r="C7" s="104"/>
      <c r="D7" s="104"/>
    </row>
    <row r="8" customFormat="false" ht="45.75" hidden="false" customHeight="true" outlineLevel="0" collapsed="false">
      <c r="A8" s="105" t="s">
        <v>651</v>
      </c>
      <c r="B8" s="105"/>
      <c r="C8" s="105"/>
      <c r="D8" s="105"/>
    </row>
    <row r="9" customFormat="false" ht="12.75" hidden="false" customHeight="true" outlineLevel="0" collapsed="false">
      <c r="A9" s="53"/>
      <c r="B9" s="53"/>
      <c r="C9" s="53"/>
      <c r="D9" s="53"/>
    </row>
    <row r="10" customFormat="false" ht="15" hidden="false" customHeight="true" outlineLevel="0" collapsed="false">
      <c r="A10" s="104" t="s">
        <v>652</v>
      </c>
      <c r="B10" s="104"/>
      <c r="C10" s="104"/>
      <c r="D10" s="104"/>
    </row>
    <row r="11" customFormat="false" ht="45.75" hidden="false" customHeight="true" outlineLevel="0" collapsed="false">
      <c r="A11" s="105" t="s">
        <v>653</v>
      </c>
      <c r="B11" s="105"/>
      <c r="C11" s="105"/>
      <c r="D11" s="105"/>
    </row>
    <row r="12" customFormat="false" ht="12.75" hidden="false" customHeight="true" outlineLevel="0" collapsed="false">
      <c r="A12" s="53"/>
      <c r="B12" s="53"/>
      <c r="C12" s="53"/>
      <c r="D12" s="53"/>
    </row>
    <row r="13" customFormat="false" ht="15" hidden="false" customHeight="true" outlineLevel="0" collapsed="false">
      <c r="A13" s="104" t="s">
        <v>654</v>
      </c>
      <c r="B13" s="104"/>
      <c r="C13" s="104"/>
      <c r="D13" s="104"/>
    </row>
    <row r="14" customFormat="false" ht="45.75" hidden="false" customHeight="true" outlineLevel="0" collapsed="false">
      <c r="A14" s="105" t="s">
        <v>655</v>
      </c>
      <c r="B14" s="105"/>
      <c r="C14" s="105"/>
      <c r="D14" s="105"/>
    </row>
    <row r="15" customFormat="false" ht="12.75" hidden="false" customHeight="true" outlineLevel="0" collapsed="false">
      <c r="A15" s="53"/>
      <c r="B15" s="53"/>
      <c r="C15" s="53"/>
      <c r="D15" s="53"/>
    </row>
    <row r="16" customFormat="false" ht="15" hidden="false" customHeight="true" outlineLevel="0" collapsed="false">
      <c r="A16" s="104" t="s">
        <v>656</v>
      </c>
      <c r="B16" s="104"/>
      <c r="C16" s="104"/>
      <c r="D16" s="104"/>
    </row>
    <row r="17" customFormat="false" ht="45.75" hidden="false" customHeight="true" outlineLevel="0" collapsed="false">
      <c r="A17" s="105" t="s">
        <v>657</v>
      </c>
      <c r="B17" s="105"/>
      <c r="C17" s="105"/>
      <c r="D17" s="105"/>
    </row>
    <row r="18" customFormat="false" ht="12.75" hidden="false" customHeight="true" outlineLevel="0" collapsed="false">
      <c r="A18" s="53"/>
      <c r="B18" s="53"/>
      <c r="C18" s="53"/>
      <c r="D18" s="53"/>
    </row>
    <row r="19" customFormat="false" ht="15" hidden="false" customHeight="true" outlineLevel="0" collapsed="false">
      <c r="A19" s="104" t="s">
        <v>658</v>
      </c>
      <c r="B19" s="104"/>
      <c r="C19" s="104"/>
      <c r="D19" s="104"/>
    </row>
    <row r="20" customFormat="false" ht="45.75" hidden="false" customHeight="true" outlineLevel="0" collapsed="false">
      <c r="A20" s="105" t="s">
        <v>659</v>
      </c>
      <c r="B20" s="105"/>
      <c r="C20" s="105"/>
      <c r="D20" s="105"/>
    </row>
    <row r="21" customFormat="false" ht="12.75" hidden="false" customHeight="true" outlineLevel="0" collapsed="false">
      <c r="A21" s="53"/>
      <c r="B21" s="53"/>
      <c r="C21" s="53"/>
      <c r="D21" s="53"/>
    </row>
    <row r="22" customFormat="false" ht="15" hidden="false" customHeight="true" outlineLevel="0" collapsed="false">
      <c r="A22" s="104" t="s">
        <v>660</v>
      </c>
      <c r="B22" s="104"/>
      <c r="C22" s="104"/>
      <c r="D22" s="104"/>
    </row>
    <row r="23" customFormat="false" ht="15" hidden="false" customHeight="true" outlineLevel="0" collapsed="false">
      <c r="A23" s="106" t="s">
        <v>661</v>
      </c>
      <c r="B23" s="106" t="s">
        <v>662</v>
      </c>
      <c r="C23" s="106" t="s">
        <v>5</v>
      </c>
      <c r="D23" s="106" t="s">
        <v>32</v>
      </c>
    </row>
    <row r="24" customFormat="false" ht="15" hidden="false" customHeight="true" outlineLevel="0" collapsed="false">
      <c r="A24" s="90" t="s">
        <v>663</v>
      </c>
      <c r="B24" s="84" t="n">
        <f aca="false">Scenario_Control!B39</f>
        <v>550</v>
      </c>
      <c r="C24" s="107" t="s">
        <v>664</v>
      </c>
      <c r="D24" s="88" t="s">
        <v>665</v>
      </c>
    </row>
    <row r="25" customFormat="false" ht="15" hidden="false" customHeight="true" outlineLevel="0" collapsed="false">
      <c r="A25" s="90" t="s">
        <v>666</v>
      </c>
      <c r="B25" s="84" t="n">
        <f aca="false">Scenario_Control!B40</f>
        <v>180</v>
      </c>
      <c r="C25" s="107" t="s">
        <v>667</v>
      </c>
      <c r="D25" s="88" t="s">
        <v>668</v>
      </c>
    </row>
    <row r="26" customFormat="false" ht="15" hidden="false" customHeight="true" outlineLevel="0" collapsed="false">
      <c r="A26" s="90" t="s">
        <v>669</v>
      </c>
      <c r="B26" s="84" t="n">
        <f aca="false">Scenario_Control!B41</f>
        <v>0.1</v>
      </c>
      <c r="C26" s="107" t="s">
        <v>670</v>
      </c>
      <c r="D26" s="88" t="s">
        <v>671</v>
      </c>
    </row>
    <row r="27" customFormat="false" ht="15" hidden="false" customHeight="true" outlineLevel="0" collapsed="false">
      <c r="A27" s="90" t="s">
        <v>672</v>
      </c>
      <c r="B27" s="84" t="n">
        <f aca="false">MAX(Load_Tariff!B8:K8)</f>
        <v>250</v>
      </c>
      <c r="C27" s="107" t="s">
        <v>20</v>
      </c>
      <c r="D27" s="88" t="s">
        <v>673</v>
      </c>
    </row>
    <row r="28" customFormat="false" ht="15" hidden="false" customHeight="true" outlineLevel="0" collapsed="false">
      <c r="A28" s="90" t="s">
        <v>674</v>
      </c>
      <c r="B28" s="84" t="n">
        <f aca="false">MAX(Load_Tariff!B8:K8)*Scenario_Control!B39</f>
        <v>137500</v>
      </c>
      <c r="C28" s="107" t="s">
        <v>8</v>
      </c>
      <c r="D28" s="88" t="s">
        <v>675</v>
      </c>
    </row>
    <row r="29" customFormat="false" ht="30" hidden="false" customHeight="true" outlineLevel="0" collapsed="false">
      <c r="A29" s="108" t="s">
        <v>676</v>
      </c>
      <c r="B29" s="108"/>
      <c r="C29" s="108"/>
      <c r="D29" s="108"/>
    </row>
  </sheetData>
  <mergeCells count="16">
    <mergeCell ref="A1:D1"/>
    <mergeCell ref="A2:D2"/>
    <mergeCell ref="A4:D4"/>
    <mergeCell ref="A5:D5"/>
    <mergeCell ref="A7:D7"/>
    <mergeCell ref="A8:D8"/>
    <mergeCell ref="A10:D10"/>
    <mergeCell ref="A11:D11"/>
    <mergeCell ref="A13:D13"/>
    <mergeCell ref="A14:D14"/>
    <mergeCell ref="A16:D16"/>
    <mergeCell ref="A17:D17"/>
    <mergeCell ref="A19:D19"/>
    <mergeCell ref="A20:D20"/>
    <mergeCell ref="A22:D22"/>
    <mergeCell ref="A29:D2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2026-05-31T06:47:21Z</dcterms:created>
  <dc:creator>openpyxl</dc:creator>
  <dc:description/>
  <dc:language>en-US</dc:language>
  <cp:lastModifiedBy/>
  <dcterms:modified xsi:type="dcterms:W3CDTF">2026-05-31T18:00:04Z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