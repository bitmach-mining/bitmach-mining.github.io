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elPersonal\My Drive\Carel_Work_Shared_CT\CareldeJager_BlockchainEntity\Bitmach_CarelFolder\Bitmach_Shared\Modelling\New models April 2026\"/>
    </mc:Choice>
  </mc:AlternateContent>
  <xr:revisionPtr revIDLastSave="0" documentId="13_ncr:1_{905847A8-C04C-499D-A6F7-E7489B6E51EC}" xr6:coauthVersionLast="47" xr6:coauthVersionMax="47" xr10:uidLastSave="{00000000-0000-0000-0000-000000000000}"/>
  <bookViews>
    <workbookView xWindow="28692" yWindow="-108" windowWidth="29016" windowHeight="15696" tabRatio="774" activeTab="8" xr2:uid="{00000000-000D-0000-FFFF-FFFF00000000}"/>
  </bookViews>
  <sheets>
    <sheet name="Dashboard" sheetId="1" r:id="rId1"/>
    <sheet name="Inputs" sheetId="2" r:id="rId2"/>
    <sheet name="Deployment_36M" sheetId="3" r:id="rId3"/>
    <sheet name="Revenue_36M" sheetId="4" r:id="rId4"/>
    <sheet name="Opex_36M" sheetId="5" r:id="rId5"/>
    <sheet name="Capex_36M" sheetId="6" r:id="rId6"/>
    <sheet name="Funding_36M" sheetId="7" r:id="rId7"/>
    <sheet name="Debt_Schedule" sheetId="8" r:id="rId8"/>
    <sheet name="Annual_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" l="1"/>
  <c r="D10" i="9"/>
  <c r="C10" i="9"/>
  <c r="E9" i="9"/>
  <c r="D9" i="9"/>
  <c r="C9" i="9"/>
  <c r="E8" i="9"/>
  <c r="D8" i="9"/>
  <c r="C8" i="9"/>
  <c r="E7" i="9"/>
  <c r="D7" i="9"/>
  <c r="C7" i="9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O11" i="8"/>
  <c r="N11" i="8"/>
  <c r="M11" i="8"/>
  <c r="L11" i="8"/>
  <c r="K11" i="8"/>
  <c r="J11" i="8"/>
  <c r="I11" i="8"/>
  <c r="H11" i="8"/>
  <c r="G11" i="8"/>
  <c r="F11" i="8"/>
  <c r="E11" i="8"/>
  <c r="D11" i="8"/>
  <c r="D9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X8" i="8"/>
  <c r="E5" i="8"/>
  <c r="F5" i="8" s="1"/>
  <c r="D5" i="8"/>
  <c r="D6" i="8" s="1"/>
  <c r="F13" i="7"/>
  <c r="AM12" i="7"/>
  <c r="AM8" i="8" s="1"/>
  <c r="AL12" i="7"/>
  <c r="AL8" i="8" s="1"/>
  <c r="AK12" i="7"/>
  <c r="AK13" i="7" s="1"/>
  <c r="AJ12" i="7"/>
  <c r="AJ13" i="7" s="1"/>
  <c r="AI12" i="7"/>
  <c r="AI8" i="8" s="1"/>
  <c r="AH12" i="7"/>
  <c r="AG12" i="7"/>
  <c r="AG8" i="8" s="1"/>
  <c r="AF12" i="7"/>
  <c r="AF8" i="8" s="1"/>
  <c r="AE12" i="7"/>
  <c r="AE8" i="8" s="1"/>
  <c r="AD12" i="7"/>
  <c r="AC12" i="7"/>
  <c r="AC13" i="7" s="1"/>
  <c r="AB12" i="7"/>
  <c r="AB8" i="8" s="1"/>
  <c r="AA12" i="7"/>
  <c r="AA8" i="8" s="1"/>
  <c r="Z12" i="7"/>
  <c r="Z8" i="8" s="1"/>
  <c r="Y12" i="7"/>
  <c r="Y8" i="8" s="1"/>
  <c r="X12" i="7"/>
  <c r="X13" i="7" s="1"/>
  <c r="W12" i="7"/>
  <c r="W8" i="8" s="1"/>
  <c r="V12" i="7"/>
  <c r="V8" i="8" s="1"/>
  <c r="U12" i="7"/>
  <c r="U8" i="8" s="1"/>
  <c r="T12" i="7"/>
  <c r="T8" i="8" s="1"/>
  <c r="S12" i="7"/>
  <c r="S8" i="8" s="1"/>
  <c r="R12" i="7"/>
  <c r="Q12" i="7"/>
  <c r="P12" i="7"/>
  <c r="P8" i="8" s="1"/>
  <c r="O12" i="7"/>
  <c r="O8" i="8" s="1"/>
  <c r="N12" i="7"/>
  <c r="N8" i="8" s="1"/>
  <c r="M12" i="7"/>
  <c r="M8" i="8" s="1"/>
  <c r="L12" i="7"/>
  <c r="L8" i="8" s="1"/>
  <c r="K12" i="7"/>
  <c r="K8" i="8" s="1"/>
  <c r="J12" i="7"/>
  <c r="I12" i="7"/>
  <c r="I8" i="8" s="1"/>
  <c r="H12" i="7"/>
  <c r="H8" i="8" s="1"/>
  <c r="G12" i="7"/>
  <c r="G8" i="8" s="1"/>
  <c r="F12" i="7"/>
  <c r="F8" i="8" s="1"/>
  <c r="E12" i="7"/>
  <c r="D12" i="7"/>
  <c r="D8" i="7"/>
  <c r="V51" i="6"/>
  <c r="AM50" i="6"/>
  <c r="AM49" i="6"/>
  <c r="AM47" i="6"/>
  <c r="AM46" i="6"/>
  <c r="AM45" i="6"/>
  <c r="AM40" i="6"/>
  <c r="AM39" i="6"/>
  <c r="AL39" i="6"/>
  <c r="D38" i="6"/>
  <c r="AM36" i="6"/>
  <c r="AM35" i="6"/>
  <c r="AL35" i="6"/>
  <c r="AM33" i="6"/>
  <c r="AM32" i="6"/>
  <c r="AL32" i="6"/>
  <c r="AM30" i="6"/>
  <c r="AL30" i="6"/>
  <c r="AM27" i="6"/>
  <c r="AM51" i="6" s="1"/>
  <c r="AL27" i="6"/>
  <c r="AL51" i="6" s="1"/>
  <c r="AK27" i="6"/>
  <c r="AK51" i="6" s="1"/>
  <c r="AJ27" i="6"/>
  <c r="AJ51" i="6" s="1"/>
  <c r="AI27" i="6"/>
  <c r="AI51" i="6" s="1"/>
  <c r="AH27" i="6"/>
  <c r="AH51" i="6" s="1"/>
  <c r="AG27" i="6"/>
  <c r="AG51" i="6" s="1"/>
  <c r="AF27" i="6"/>
  <c r="AF51" i="6" s="1"/>
  <c r="AE27" i="6"/>
  <c r="AE51" i="6" s="1"/>
  <c r="AD27" i="6"/>
  <c r="AD51" i="6" s="1"/>
  <c r="AC27" i="6"/>
  <c r="AC51" i="6" s="1"/>
  <c r="AB27" i="6"/>
  <c r="AB51" i="6" s="1"/>
  <c r="AA27" i="6"/>
  <c r="AA51" i="6" s="1"/>
  <c r="Z27" i="6"/>
  <c r="Z51" i="6" s="1"/>
  <c r="Y27" i="6"/>
  <c r="Y51" i="6" s="1"/>
  <c r="X27" i="6"/>
  <c r="X51" i="6" s="1"/>
  <c r="W27" i="6"/>
  <c r="W51" i="6" s="1"/>
  <c r="V27" i="6"/>
  <c r="U27" i="6"/>
  <c r="U51" i="6" s="1"/>
  <c r="T27" i="6"/>
  <c r="T51" i="6" s="1"/>
  <c r="S27" i="6"/>
  <c r="S51" i="6" s="1"/>
  <c r="R27" i="6"/>
  <c r="R51" i="6" s="1"/>
  <c r="Q27" i="6"/>
  <c r="Q51" i="6" s="1"/>
  <c r="P27" i="6"/>
  <c r="P51" i="6" s="1"/>
  <c r="O27" i="6"/>
  <c r="O51" i="6" s="1"/>
  <c r="N27" i="6"/>
  <c r="N51" i="6" s="1"/>
  <c r="M27" i="6"/>
  <c r="M51" i="6" s="1"/>
  <c r="L27" i="6"/>
  <c r="L51" i="6" s="1"/>
  <c r="K27" i="6"/>
  <c r="K51" i="6" s="1"/>
  <c r="J27" i="6"/>
  <c r="J51" i="6" s="1"/>
  <c r="I27" i="6"/>
  <c r="I51" i="6" s="1"/>
  <c r="H27" i="6"/>
  <c r="H51" i="6" s="1"/>
  <c r="G27" i="6"/>
  <c r="G51" i="6" s="1"/>
  <c r="F27" i="6"/>
  <c r="F51" i="6" s="1"/>
  <c r="E27" i="6"/>
  <c r="E51" i="6" s="1"/>
  <c r="D27" i="6"/>
  <c r="D51" i="6" s="1"/>
  <c r="AL10" i="6"/>
  <c r="AL17" i="6" s="1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D10" i="4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D9" i="4"/>
  <c r="D8" i="4"/>
  <c r="E8" i="4" s="1"/>
  <c r="D47" i="3"/>
  <c r="D46" i="3"/>
  <c r="D45" i="3"/>
  <c r="AC36" i="3"/>
  <c r="AB36" i="3"/>
  <c r="AA36" i="3"/>
  <c r="Q36" i="3"/>
  <c r="E36" i="3"/>
  <c r="D36" i="3"/>
  <c r="AM35" i="3"/>
  <c r="AM37" i="3" s="1"/>
  <c r="AC35" i="3"/>
  <c r="AC37" i="3" s="1"/>
  <c r="Q35" i="3"/>
  <c r="Q37" i="3" s="1"/>
  <c r="P35" i="3"/>
  <c r="P37" i="3" s="1"/>
  <c r="O35" i="3"/>
  <c r="O37" i="3" s="1"/>
  <c r="E35" i="3"/>
  <c r="E37" i="3" s="1"/>
  <c r="AH32" i="3"/>
  <c r="J32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AM30" i="3"/>
  <c r="AM32" i="3" s="1"/>
  <c r="AL30" i="3"/>
  <c r="AL32" i="3" s="1"/>
  <c r="AK30" i="3"/>
  <c r="AK32" i="3" s="1"/>
  <c r="AJ30" i="3"/>
  <c r="AJ32" i="3" s="1"/>
  <c r="AI30" i="3"/>
  <c r="AI32" i="3" s="1"/>
  <c r="AH30" i="3"/>
  <c r="AG30" i="3"/>
  <c r="AG32" i="3" s="1"/>
  <c r="AF30" i="3"/>
  <c r="AF32" i="3" s="1"/>
  <c r="AE30" i="3"/>
  <c r="AE32" i="3" s="1"/>
  <c r="AD30" i="3"/>
  <c r="AD32" i="3" s="1"/>
  <c r="AC30" i="3"/>
  <c r="AC32" i="3" s="1"/>
  <c r="AB30" i="3"/>
  <c r="AB32" i="3" s="1"/>
  <c r="AA30" i="3"/>
  <c r="AA32" i="3" s="1"/>
  <c r="Z30" i="3"/>
  <c r="Z32" i="3" s="1"/>
  <c r="Y30" i="3"/>
  <c r="Y32" i="3" s="1"/>
  <c r="X30" i="3"/>
  <c r="X32" i="3" s="1"/>
  <c r="W30" i="3"/>
  <c r="W32" i="3" s="1"/>
  <c r="V30" i="3"/>
  <c r="V32" i="3" s="1"/>
  <c r="U30" i="3"/>
  <c r="U32" i="3" s="1"/>
  <c r="T30" i="3"/>
  <c r="T32" i="3" s="1"/>
  <c r="S30" i="3"/>
  <c r="S32" i="3" s="1"/>
  <c r="R30" i="3"/>
  <c r="R32" i="3" s="1"/>
  <c r="Q30" i="3"/>
  <c r="Q32" i="3" s="1"/>
  <c r="P30" i="3"/>
  <c r="P32" i="3" s="1"/>
  <c r="O30" i="3"/>
  <c r="O32" i="3" s="1"/>
  <c r="N30" i="3"/>
  <c r="N32" i="3" s="1"/>
  <c r="M30" i="3"/>
  <c r="M32" i="3" s="1"/>
  <c r="L30" i="3"/>
  <c r="L32" i="3" s="1"/>
  <c r="K30" i="3"/>
  <c r="K32" i="3" s="1"/>
  <c r="J30" i="3"/>
  <c r="I30" i="3"/>
  <c r="I32" i="3" s="1"/>
  <c r="I26" i="5" s="1"/>
  <c r="H30" i="3"/>
  <c r="H32" i="3" s="1"/>
  <c r="H26" i="5" s="1"/>
  <c r="G30" i="3"/>
  <c r="G32" i="3" s="1"/>
  <c r="F30" i="3"/>
  <c r="F32" i="3" s="1"/>
  <c r="E30" i="3"/>
  <c r="E32" i="3" s="1"/>
  <c r="D30" i="3"/>
  <c r="D32" i="3" s="1"/>
  <c r="AC26" i="3"/>
  <c r="AC10" i="6" s="1"/>
  <c r="AC17" i="6" s="1"/>
  <c r="AB26" i="3"/>
  <c r="AB10" i="6" s="1"/>
  <c r="AB17" i="6" s="1"/>
  <c r="AA26" i="3"/>
  <c r="AA10" i="6" s="1"/>
  <c r="AA17" i="6" s="1"/>
  <c r="Q26" i="3"/>
  <c r="Q10" i="6" s="1"/>
  <c r="Q17" i="6" s="1"/>
  <c r="O39" i="6" s="1"/>
  <c r="P26" i="3"/>
  <c r="P10" i="6" s="1"/>
  <c r="P17" i="6" s="1"/>
  <c r="E26" i="3"/>
  <c r="E10" i="6" s="1"/>
  <c r="E17" i="6" s="1"/>
  <c r="D26" i="3"/>
  <c r="D10" i="6" s="1"/>
  <c r="D17" i="6" s="1"/>
  <c r="D41" i="6" s="1"/>
  <c r="AM25" i="3"/>
  <c r="AC25" i="3"/>
  <c r="AB25" i="3"/>
  <c r="Q25" i="3"/>
  <c r="Q27" i="3" s="1"/>
  <c r="Q8" i="6" s="1"/>
  <c r="P25" i="3"/>
  <c r="P27" i="3" s="1"/>
  <c r="P8" i="6" s="1"/>
  <c r="O25" i="3"/>
  <c r="E25" i="3"/>
  <c r="D25" i="3"/>
  <c r="AC24" i="3"/>
  <c r="AC27" i="3" s="1"/>
  <c r="AC8" i="6" s="1"/>
  <c r="AB24" i="3"/>
  <c r="AB27" i="3" s="1"/>
  <c r="AB8" i="6" s="1"/>
  <c r="AA24" i="3"/>
  <c r="AA27" i="3" s="1"/>
  <c r="AA8" i="6" s="1"/>
  <c r="Q24" i="3"/>
  <c r="P24" i="3"/>
  <c r="E24" i="3"/>
  <c r="E27" i="3" s="1"/>
  <c r="E8" i="6" s="1"/>
  <c r="D24" i="3"/>
  <c r="D27" i="3" s="1"/>
  <c r="D8" i="6" s="1"/>
  <c r="AM20" i="3"/>
  <c r="AM10" i="5" s="1"/>
  <c r="AC20" i="3"/>
  <c r="AC10" i="5" s="1"/>
  <c r="AB20" i="3"/>
  <c r="AB10" i="5" s="1"/>
  <c r="AA20" i="3"/>
  <c r="AA10" i="5" s="1"/>
  <c r="Q20" i="3"/>
  <c r="Q10" i="5" s="1"/>
  <c r="P20" i="3"/>
  <c r="P10" i="5" s="1"/>
  <c r="O20" i="3"/>
  <c r="O10" i="5" s="1"/>
  <c r="E20" i="3"/>
  <c r="E10" i="5" s="1"/>
  <c r="D20" i="3"/>
  <c r="D10" i="5" s="1"/>
  <c r="AM19" i="3"/>
  <c r="AM21" i="3" s="1"/>
  <c r="AC19" i="3"/>
  <c r="AB19" i="3"/>
  <c r="AA19" i="3"/>
  <c r="Q19" i="3"/>
  <c r="Q21" i="3" s="1"/>
  <c r="P19" i="3"/>
  <c r="O19" i="3"/>
  <c r="O21" i="3" s="1"/>
  <c r="E19" i="3"/>
  <c r="D19" i="3"/>
  <c r="AM18" i="3"/>
  <c r="AC18" i="3"/>
  <c r="AB18" i="3"/>
  <c r="Q18" i="3"/>
  <c r="P18" i="3"/>
  <c r="O18" i="3"/>
  <c r="AM15" i="3"/>
  <c r="AM26" i="3" s="1"/>
  <c r="AM10" i="6" s="1"/>
  <c r="AM17" i="6" s="1"/>
  <c r="AL15" i="3"/>
  <c r="AL26" i="3" s="1"/>
  <c r="AK15" i="3"/>
  <c r="AK26" i="3" s="1"/>
  <c r="AK10" i="6" s="1"/>
  <c r="AK17" i="6" s="1"/>
  <c r="AJ15" i="3"/>
  <c r="AJ26" i="3" s="1"/>
  <c r="AJ10" i="6" s="1"/>
  <c r="AJ17" i="6" s="1"/>
  <c r="AI15" i="3"/>
  <c r="AI26" i="3" s="1"/>
  <c r="AI10" i="6" s="1"/>
  <c r="AI17" i="6" s="1"/>
  <c r="AH15" i="3"/>
  <c r="AH26" i="3" s="1"/>
  <c r="AH10" i="6" s="1"/>
  <c r="AH17" i="6" s="1"/>
  <c r="AG15" i="3"/>
  <c r="AF15" i="3"/>
  <c r="AE15" i="3"/>
  <c r="AE26" i="3" s="1"/>
  <c r="AE10" i="6" s="1"/>
  <c r="AE17" i="6" s="1"/>
  <c r="AD15" i="3"/>
  <c r="AD26" i="3" s="1"/>
  <c r="AD10" i="6" s="1"/>
  <c r="AD17" i="6" s="1"/>
  <c r="AC15" i="3"/>
  <c r="AB15" i="3"/>
  <c r="AA15" i="3"/>
  <c r="Z15" i="3"/>
  <c r="Z26" i="3" s="1"/>
  <c r="Z10" i="6" s="1"/>
  <c r="Z17" i="6" s="1"/>
  <c r="Y15" i="3"/>
  <c r="Y26" i="3" s="1"/>
  <c r="Y10" i="6" s="1"/>
  <c r="Y17" i="6" s="1"/>
  <c r="X15" i="3"/>
  <c r="X26" i="3" s="1"/>
  <c r="X10" i="6" s="1"/>
  <c r="X17" i="6" s="1"/>
  <c r="W15" i="3"/>
  <c r="W26" i="3" s="1"/>
  <c r="W10" i="6" s="1"/>
  <c r="W17" i="6" s="1"/>
  <c r="V15" i="3"/>
  <c r="V26" i="3" s="1"/>
  <c r="V10" i="6" s="1"/>
  <c r="V17" i="6" s="1"/>
  <c r="U15" i="3"/>
  <c r="T15" i="3"/>
  <c r="S15" i="3"/>
  <c r="S26" i="3" s="1"/>
  <c r="S10" i="6" s="1"/>
  <c r="S17" i="6" s="1"/>
  <c r="R15" i="3"/>
  <c r="R20" i="3" s="1"/>
  <c r="R10" i="5" s="1"/>
  <c r="Q15" i="3"/>
  <c r="P15" i="3"/>
  <c r="O15" i="3"/>
  <c r="O26" i="3" s="1"/>
  <c r="O10" i="6" s="1"/>
  <c r="O17" i="6" s="1"/>
  <c r="N15" i="3"/>
  <c r="N26" i="3" s="1"/>
  <c r="N10" i="6" s="1"/>
  <c r="N17" i="6" s="1"/>
  <c r="M15" i="3"/>
  <c r="M26" i="3" s="1"/>
  <c r="M10" i="6" s="1"/>
  <c r="M17" i="6" s="1"/>
  <c r="L15" i="3"/>
  <c r="L26" i="3" s="1"/>
  <c r="L10" i="6" s="1"/>
  <c r="L17" i="6" s="1"/>
  <c r="K15" i="3"/>
  <c r="K26" i="3" s="1"/>
  <c r="K10" i="6" s="1"/>
  <c r="K17" i="6" s="1"/>
  <c r="J15" i="3"/>
  <c r="J26" i="3" s="1"/>
  <c r="J10" i="6" s="1"/>
  <c r="J17" i="6" s="1"/>
  <c r="I15" i="3"/>
  <c r="H15" i="3"/>
  <c r="G15" i="3"/>
  <c r="G26" i="3" s="1"/>
  <c r="G10" i="6" s="1"/>
  <c r="G17" i="6" s="1"/>
  <c r="F15" i="3"/>
  <c r="F26" i="3" s="1"/>
  <c r="F10" i="6" s="1"/>
  <c r="F17" i="6" s="1"/>
  <c r="E15" i="3"/>
  <c r="D15" i="3"/>
  <c r="AM14" i="3"/>
  <c r="AM36" i="3" s="1"/>
  <c r="AL14" i="3"/>
  <c r="AL36" i="3" s="1"/>
  <c r="AK14" i="3"/>
  <c r="AK36" i="3" s="1"/>
  <c r="AJ14" i="3"/>
  <c r="AJ36" i="3" s="1"/>
  <c r="AI14" i="3"/>
  <c r="AI36" i="3" s="1"/>
  <c r="AH14" i="3"/>
  <c r="AH25" i="3" s="1"/>
  <c r="AG14" i="3"/>
  <c r="AF14" i="3"/>
  <c r="AE14" i="3"/>
  <c r="AE19" i="3" s="1"/>
  <c r="AD14" i="3"/>
  <c r="AD19" i="3" s="1"/>
  <c r="AC14" i="3"/>
  <c r="AB14" i="3"/>
  <c r="AA14" i="3"/>
  <c r="AA25" i="3" s="1"/>
  <c r="Z14" i="3"/>
  <c r="Z36" i="3" s="1"/>
  <c r="Y14" i="3"/>
  <c r="Y36" i="3" s="1"/>
  <c r="X14" i="3"/>
  <c r="X36" i="3" s="1"/>
  <c r="W14" i="3"/>
  <c r="W36" i="3" s="1"/>
  <c r="V14" i="3"/>
  <c r="V36" i="3" s="1"/>
  <c r="U14" i="3"/>
  <c r="T14" i="3"/>
  <c r="S14" i="3"/>
  <c r="S36" i="3" s="1"/>
  <c r="R14" i="3"/>
  <c r="R36" i="3" s="1"/>
  <c r="Q14" i="3"/>
  <c r="P14" i="3"/>
  <c r="P36" i="3" s="1"/>
  <c r="O14" i="3"/>
  <c r="O36" i="3" s="1"/>
  <c r="N14" i="3"/>
  <c r="N36" i="3" s="1"/>
  <c r="M14" i="3"/>
  <c r="M36" i="3" s="1"/>
  <c r="L14" i="3"/>
  <c r="L36" i="3" s="1"/>
  <c r="K14" i="3"/>
  <c r="K36" i="3" s="1"/>
  <c r="J14" i="3"/>
  <c r="J25" i="3" s="1"/>
  <c r="I14" i="3"/>
  <c r="H14" i="3"/>
  <c r="G14" i="3"/>
  <c r="G25" i="3" s="1"/>
  <c r="F14" i="3"/>
  <c r="F25" i="3" s="1"/>
  <c r="E14" i="3"/>
  <c r="D14" i="3"/>
  <c r="AM13" i="3"/>
  <c r="AM24" i="3" s="1"/>
  <c r="AM27" i="3" s="1"/>
  <c r="AM8" i="6" s="1"/>
  <c r="AL13" i="3"/>
  <c r="AL35" i="3" s="1"/>
  <c r="AL37" i="3" s="1"/>
  <c r="AK13" i="3"/>
  <c r="AK35" i="3" s="1"/>
  <c r="AJ13" i="3"/>
  <c r="AJ35" i="3" s="1"/>
  <c r="AJ37" i="3" s="1"/>
  <c r="AI13" i="3"/>
  <c r="AI35" i="3" s="1"/>
  <c r="AI37" i="3" s="1"/>
  <c r="AH13" i="3"/>
  <c r="AH35" i="3" s="1"/>
  <c r="AG13" i="3"/>
  <c r="AF13" i="3"/>
  <c r="AF18" i="3" s="1"/>
  <c r="AE13" i="3"/>
  <c r="AE35" i="3" s="1"/>
  <c r="AD13" i="3"/>
  <c r="AD35" i="3" s="1"/>
  <c r="AC13" i="3"/>
  <c r="AB13" i="3"/>
  <c r="AB35" i="3" s="1"/>
  <c r="AB37" i="3" s="1"/>
  <c r="AA13" i="3"/>
  <c r="AA18" i="3" s="1"/>
  <c r="Z13" i="3"/>
  <c r="Z35" i="3" s="1"/>
  <c r="Z37" i="3" s="1"/>
  <c r="Y13" i="3"/>
  <c r="Y35" i="3" s="1"/>
  <c r="Y37" i="3" s="1"/>
  <c r="X13" i="3"/>
  <c r="X35" i="3" s="1"/>
  <c r="X37" i="3" s="1"/>
  <c r="W13" i="3"/>
  <c r="W35" i="3" s="1"/>
  <c r="W37" i="3" s="1"/>
  <c r="V13" i="3"/>
  <c r="V24" i="3" s="1"/>
  <c r="U13" i="3"/>
  <c r="T13" i="3"/>
  <c r="S13" i="3"/>
  <c r="S24" i="3" s="1"/>
  <c r="R13" i="3"/>
  <c r="R24" i="3" s="1"/>
  <c r="Q13" i="3"/>
  <c r="P13" i="3"/>
  <c r="O13" i="3"/>
  <c r="O24" i="3" s="1"/>
  <c r="O27" i="3" s="1"/>
  <c r="O8" i="6" s="1"/>
  <c r="N13" i="3"/>
  <c r="N35" i="3" s="1"/>
  <c r="N37" i="3" s="1"/>
  <c r="M13" i="3"/>
  <c r="M35" i="3" s="1"/>
  <c r="M37" i="3" s="1"/>
  <c r="L13" i="3"/>
  <c r="L35" i="3" s="1"/>
  <c r="L37" i="3" s="1"/>
  <c r="K13" i="3"/>
  <c r="K35" i="3" s="1"/>
  <c r="K37" i="3" s="1"/>
  <c r="J13" i="3"/>
  <c r="J35" i="3" s="1"/>
  <c r="I13" i="3"/>
  <c r="H13" i="3"/>
  <c r="H18" i="3" s="1"/>
  <c r="G13" i="3"/>
  <c r="G18" i="3" s="1"/>
  <c r="F13" i="3"/>
  <c r="F35" i="3" s="1"/>
  <c r="E13" i="3"/>
  <c r="E18" i="3" s="1"/>
  <c r="D13" i="3"/>
  <c r="D18" i="3" s="1"/>
  <c r="D5" i="3"/>
  <c r="D5" i="4" s="1"/>
  <c r="C45" i="2"/>
  <c r="P41" i="3" s="1"/>
  <c r="C40" i="2"/>
  <c r="B35" i="1"/>
  <c r="B34" i="1"/>
  <c r="B33" i="1"/>
  <c r="B32" i="1"/>
  <c r="B31" i="1"/>
  <c r="B30" i="1"/>
  <c r="B29" i="1"/>
  <c r="L21" i="1"/>
  <c r="L20" i="1"/>
  <c r="L19" i="1"/>
  <c r="L18" i="1"/>
  <c r="D18" i="1"/>
  <c r="E18" i="1" s="1"/>
  <c r="C18" i="1"/>
  <c r="B18" i="1"/>
  <c r="J12" i="1"/>
  <c r="D6" i="1"/>
  <c r="A6" i="1"/>
  <c r="G13" i="7" l="1"/>
  <c r="S13" i="7"/>
  <c r="AB40" i="3"/>
  <c r="AC45" i="3" s="1"/>
  <c r="AE40" i="3"/>
  <c r="AM41" i="3"/>
  <c r="AJ8" i="8"/>
  <c r="AK8" i="8"/>
  <c r="V13" i="7"/>
  <c r="AI13" i="7"/>
  <c r="W13" i="7"/>
  <c r="Y13" i="7"/>
  <c r="D40" i="3"/>
  <c r="E45" i="3" s="1"/>
  <c r="Q19" i="6"/>
  <c r="Q43" i="6" s="1"/>
  <c r="Q55" i="3"/>
  <c r="Q11" i="6" s="1"/>
  <c r="Q20" i="6" s="1"/>
  <c r="Q44" i="6" s="1"/>
  <c r="Q39" i="6"/>
  <c r="R40" i="6"/>
  <c r="S41" i="6"/>
  <c r="AM19" i="6"/>
  <c r="AM43" i="6" s="1"/>
  <c r="AM55" i="3"/>
  <c r="AM11" i="6" s="1"/>
  <c r="AM20" i="6" s="1"/>
  <c r="AM44" i="6" s="1"/>
  <c r="AD37" i="3"/>
  <c r="F40" i="6"/>
  <c r="E39" i="6"/>
  <c r="G41" i="6"/>
  <c r="O19" i="6"/>
  <c r="O43" i="6" s="1"/>
  <c r="O55" i="3"/>
  <c r="O11" i="6" s="1"/>
  <c r="O20" i="6" s="1"/>
  <c r="O44" i="6" s="1"/>
  <c r="P19" i="6"/>
  <c r="P43" i="6" s="1"/>
  <c r="P55" i="3"/>
  <c r="P11" i="6" s="1"/>
  <c r="P20" i="6" s="1"/>
  <c r="P44" i="6" s="1"/>
  <c r="AB16" i="6"/>
  <c r="AB14" i="6"/>
  <c r="AC16" i="6"/>
  <c r="AC14" i="6"/>
  <c r="E16" i="6"/>
  <c r="E14" i="6"/>
  <c r="AD41" i="6"/>
  <c r="AB39" i="6"/>
  <c r="AC40" i="6"/>
  <c r="AC39" i="6"/>
  <c r="AE41" i="6"/>
  <c r="AD40" i="6"/>
  <c r="AC55" i="3"/>
  <c r="AC11" i="6" s="1"/>
  <c r="AC20" i="6" s="1"/>
  <c r="AC44" i="6" s="1"/>
  <c r="AC19" i="6"/>
  <c r="AC43" i="6" s="1"/>
  <c r="AF39" i="6"/>
  <c r="AG40" i="6"/>
  <c r="AH41" i="6"/>
  <c r="O25" i="5"/>
  <c r="O16" i="5"/>
  <c r="O17" i="5"/>
  <c r="O27" i="5"/>
  <c r="AE15" i="5"/>
  <c r="AE26" i="5"/>
  <c r="E40" i="6"/>
  <c r="D39" i="6"/>
  <c r="F41" i="6"/>
  <c r="V26" i="5"/>
  <c r="V15" i="5"/>
  <c r="AA26" i="5"/>
  <c r="AA15" i="5"/>
  <c r="P14" i="6"/>
  <c r="P16" i="6"/>
  <c r="D15" i="5"/>
  <c r="D26" i="5"/>
  <c r="P15" i="5"/>
  <c r="P26" i="5"/>
  <c r="AB15" i="5"/>
  <c r="AB26" i="5"/>
  <c r="E14" i="4"/>
  <c r="E21" i="3"/>
  <c r="S15" i="5"/>
  <c r="S26" i="5"/>
  <c r="AM27" i="5"/>
  <c r="AM17" i="5"/>
  <c r="AM18" i="5" s="1"/>
  <c r="AM25" i="5"/>
  <c r="AM16" i="5"/>
  <c r="AA14" i="6"/>
  <c r="H39" i="6"/>
  <c r="I40" i="6"/>
  <c r="J41" i="6"/>
  <c r="Q46" i="3"/>
  <c r="O14" i="6"/>
  <c r="O16" i="6"/>
  <c r="AA21" i="3"/>
  <c r="Q14" i="6"/>
  <c r="Q16" i="6"/>
  <c r="E15" i="5"/>
  <c r="E26" i="5"/>
  <c r="Q15" i="5"/>
  <c r="Q18" i="5" s="1"/>
  <c r="Q26" i="5"/>
  <c r="AC15" i="5"/>
  <c r="AC26" i="5"/>
  <c r="G15" i="5"/>
  <c r="G26" i="5"/>
  <c r="T39" i="6"/>
  <c r="U40" i="6"/>
  <c r="V41" i="6"/>
  <c r="AI39" i="6"/>
  <c r="AJ40" i="6"/>
  <c r="AK41" i="6"/>
  <c r="O26" i="5"/>
  <c r="O15" i="5"/>
  <c r="AM26" i="5"/>
  <c r="AM15" i="5"/>
  <c r="Q17" i="5"/>
  <c r="Q16" i="5"/>
  <c r="Q25" i="5"/>
  <c r="Q27" i="5"/>
  <c r="AM14" i="6"/>
  <c r="AM16" i="6"/>
  <c r="O41" i="6"/>
  <c r="N40" i="6"/>
  <c r="M39" i="6"/>
  <c r="AL40" i="6"/>
  <c r="AK39" i="6"/>
  <c r="AM41" i="6"/>
  <c r="D14" i="4"/>
  <c r="D21" i="3"/>
  <c r="AB19" i="6"/>
  <c r="AB43" i="6" s="1"/>
  <c r="AB55" i="3"/>
  <c r="AB11" i="6" s="1"/>
  <c r="AB20" i="6" s="1"/>
  <c r="AB44" i="6" s="1"/>
  <c r="D14" i="6"/>
  <c r="F15" i="5"/>
  <c r="F26" i="5"/>
  <c r="R15" i="5"/>
  <c r="R26" i="5"/>
  <c r="AD15" i="5"/>
  <c r="AD26" i="5"/>
  <c r="E19" i="6"/>
  <c r="E43" i="6" s="1"/>
  <c r="E55" i="3"/>
  <c r="E11" i="6" s="1"/>
  <c r="E20" i="6" s="1"/>
  <c r="E44" i="6" s="1"/>
  <c r="F18" i="3"/>
  <c r="E41" i="6"/>
  <c r="D40" i="6"/>
  <c r="AC41" i="6"/>
  <c r="AA39" i="6"/>
  <c r="AB40" i="6"/>
  <c r="E40" i="3"/>
  <c r="AH40" i="3"/>
  <c r="AB41" i="6"/>
  <c r="AA40" i="6"/>
  <c r="Z39" i="6"/>
  <c r="T35" i="3"/>
  <c r="T24" i="3"/>
  <c r="T36" i="3"/>
  <c r="T25" i="3"/>
  <c r="T19" i="3"/>
  <c r="AF36" i="3"/>
  <c r="AF25" i="3"/>
  <c r="AF19" i="3"/>
  <c r="I35" i="3"/>
  <c r="I37" i="3" s="1"/>
  <c r="I24" i="3"/>
  <c r="I27" i="3" s="1"/>
  <c r="I8" i="6" s="1"/>
  <c r="I18" i="3"/>
  <c r="U35" i="3"/>
  <c r="U24" i="3"/>
  <c r="U18" i="3"/>
  <c r="AG35" i="3"/>
  <c r="AG37" i="3" s="1"/>
  <c r="AG24" i="3"/>
  <c r="AG27" i="3" s="1"/>
  <c r="AG8" i="6" s="1"/>
  <c r="AG18" i="3"/>
  <c r="I36" i="3"/>
  <c r="I25" i="3"/>
  <c r="I19" i="3"/>
  <c r="U36" i="3"/>
  <c r="U25" i="3"/>
  <c r="U19" i="3"/>
  <c r="AG36" i="3"/>
  <c r="AG25" i="3"/>
  <c r="AG19" i="3"/>
  <c r="I26" i="3"/>
  <c r="I10" i="6" s="1"/>
  <c r="I17" i="6" s="1"/>
  <c r="I20" i="3"/>
  <c r="I10" i="5" s="1"/>
  <c r="U26" i="3"/>
  <c r="U10" i="6" s="1"/>
  <c r="U17" i="6" s="1"/>
  <c r="U20" i="3"/>
  <c r="U10" i="5" s="1"/>
  <c r="AG26" i="3"/>
  <c r="AG10" i="6" s="1"/>
  <c r="AG17" i="6" s="1"/>
  <c r="AG20" i="3"/>
  <c r="AG10" i="5" s="1"/>
  <c r="J18" i="3"/>
  <c r="AE18" i="3"/>
  <c r="R19" i="3"/>
  <c r="F20" i="3"/>
  <c r="F10" i="5" s="1"/>
  <c r="AD20" i="3"/>
  <c r="AD10" i="5" s="1"/>
  <c r="F24" i="3"/>
  <c r="F27" i="3" s="1"/>
  <c r="F8" i="6" s="1"/>
  <c r="AD24" i="3"/>
  <c r="AD27" i="3" s="1"/>
  <c r="AD8" i="6" s="1"/>
  <c r="R25" i="3"/>
  <c r="R27" i="3" s="1"/>
  <c r="R8" i="6" s="1"/>
  <c r="R35" i="3"/>
  <c r="R37" i="3" s="1"/>
  <c r="F36" i="3"/>
  <c r="F37" i="3" s="1"/>
  <c r="AD36" i="3"/>
  <c r="F40" i="3"/>
  <c r="AM40" i="3"/>
  <c r="AA41" i="6"/>
  <c r="Z40" i="6"/>
  <c r="Y39" i="6"/>
  <c r="S19" i="3"/>
  <c r="G20" i="3"/>
  <c r="G10" i="5" s="1"/>
  <c r="AE20" i="3"/>
  <c r="AE10" i="5" s="1"/>
  <c r="G24" i="3"/>
  <c r="G27" i="3" s="1"/>
  <c r="G8" i="6" s="1"/>
  <c r="AE24" i="3"/>
  <c r="S25" i="3"/>
  <c r="S27" i="3" s="1"/>
  <c r="S8" i="6" s="1"/>
  <c r="S35" i="3"/>
  <c r="S37" i="3" s="1"/>
  <c r="G36" i="3"/>
  <c r="AE36" i="3"/>
  <c r="AE37" i="3" s="1"/>
  <c r="G40" i="3"/>
  <c r="D41" i="3"/>
  <c r="F8" i="4"/>
  <c r="E9" i="4"/>
  <c r="AF35" i="3"/>
  <c r="AF37" i="3" s="1"/>
  <c r="AF24" i="3"/>
  <c r="AF26" i="3"/>
  <c r="AF10" i="6" s="1"/>
  <c r="AF17" i="6" s="1"/>
  <c r="AF20" i="3"/>
  <c r="AF10" i="5" s="1"/>
  <c r="K19" i="6"/>
  <c r="K43" i="6" s="1"/>
  <c r="W19" i="6"/>
  <c r="W43" i="6" s="1"/>
  <c r="AI19" i="6"/>
  <c r="AI43" i="6" s="1"/>
  <c r="I39" i="6"/>
  <c r="J40" i="6"/>
  <c r="K41" i="6"/>
  <c r="U39" i="6"/>
  <c r="V40" i="6"/>
  <c r="W41" i="6"/>
  <c r="AG39" i="6"/>
  <c r="AI41" i="6"/>
  <c r="AH40" i="6"/>
  <c r="AH18" i="3"/>
  <c r="V19" i="3"/>
  <c r="J20" i="3"/>
  <c r="J10" i="5" s="1"/>
  <c r="AH20" i="3"/>
  <c r="AH10" i="5" s="1"/>
  <c r="J24" i="3"/>
  <c r="J27" i="3" s="1"/>
  <c r="J8" i="6" s="1"/>
  <c r="AH24" i="3"/>
  <c r="AH27" i="3" s="1"/>
  <c r="AH8" i="6" s="1"/>
  <c r="V25" i="3"/>
  <c r="V27" i="3" s="1"/>
  <c r="V8" i="6" s="1"/>
  <c r="T26" i="5"/>
  <c r="T15" i="5"/>
  <c r="AF26" i="5"/>
  <c r="AF15" i="5"/>
  <c r="J26" i="5"/>
  <c r="J15" i="5"/>
  <c r="AH26" i="5"/>
  <c r="AH15" i="5"/>
  <c r="V35" i="3"/>
  <c r="V37" i="3" s="1"/>
  <c r="J36" i="3"/>
  <c r="J37" i="3" s="1"/>
  <c r="AH36" i="3"/>
  <c r="AH37" i="3" s="1"/>
  <c r="J40" i="3"/>
  <c r="J41" i="3"/>
  <c r="H15" i="5"/>
  <c r="H35" i="3"/>
  <c r="H37" i="3" s="1"/>
  <c r="H24" i="3"/>
  <c r="L19" i="6"/>
  <c r="L43" i="6" s="1"/>
  <c r="X19" i="6"/>
  <c r="X43" i="6" s="1"/>
  <c r="AJ19" i="6"/>
  <c r="AJ43" i="6" s="1"/>
  <c r="J39" i="6"/>
  <c r="K40" i="6"/>
  <c r="L41" i="6"/>
  <c r="V39" i="6"/>
  <c r="W40" i="6"/>
  <c r="X41" i="6"/>
  <c r="AH39" i="6"/>
  <c r="AI40" i="6"/>
  <c r="AJ41" i="6"/>
  <c r="U26" i="5"/>
  <c r="U15" i="5"/>
  <c r="AG26" i="5"/>
  <c r="AG15" i="5"/>
  <c r="AA35" i="3"/>
  <c r="AA37" i="3" s="1"/>
  <c r="O40" i="3"/>
  <c r="O41" i="3"/>
  <c r="I15" i="5"/>
  <c r="AF45" i="3"/>
  <c r="AD18" i="3"/>
  <c r="Y19" i="6"/>
  <c r="Y43" i="6" s="1"/>
  <c r="L40" i="6"/>
  <c r="M41" i="6"/>
  <c r="K39" i="6"/>
  <c r="X40" i="6"/>
  <c r="Y41" i="6"/>
  <c r="W39" i="6"/>
  <c r="R18" i="3"/>
  <c r="D15" i="4"/>
  <c r="AB21" i="3"/>
  <c r="P41" i="6"/>
  <c r="O40" i="6"/>
  <c r="N39" i="6"/>
  <c r="D35" i="3"/>
  <c r="D37" i="3" s="1"/>
  <c r="P40" i="3"/>
  <c r="H36" i="3"/>
  <c r="H25" i="3"/>
  <c r="H19" i="3"/>
  <c r="H26" i="3"/>
  <c r="H10" i="6" s="1"/>
  <c r="H17" i="6" s="1"/>
  <c r="H20" i="3"/>
  <c r="H10" i="5" s="1"/>
  <c r="M19" i="6"/>
  <c r="M43" i="6" s="1"/>
  <c r="AK37" i="3"/>
  <c r="AL41" i="3"/>
  <c r="Z41" i="3"/>
  <c r="N41" i="3"/>
  <c r="AL40" i="3"/>
  <c r="Z40" i="3"/>
  <c r="N40" i="3"/>
  <c r="AK41" i="3"/>
  <c r="Y41" i="3"/>
  <c r="M41" i="3"/>
  <c r="AK40" i="3"/>
  <c r="Y40" i="3"/>
  <c r="M40" i="3"/>
  <c r="AJ41" i="3"/>
  <c r="X41" i="3"/>
  <c r="L41" i="3"/>
  <c r="AJ40" i="3"/>
  <c r="X40" i="3"/>
  <c r="L40" i="3"/>
  <c r="AI41" i="3"/>
  <c r="W41" i="3"/>
  <c r="K41" i="3"/>
  <c r="AI40" i="3"/>
  <c r="W40" i="3"/>
  <c r="K40" i="3"/>
  <c r="AG41" i="3"/>
  <c r="U41" i="3"/>
  <c r="I41" i="3"/>
  <c r="AG40" i="3"/>
  <c r="U40" i="3"/>
  <c r="I40" i="3"/>
  <c r="AF41" i="3"/>
  <c r="T41" i="3"/>
  <c r="H41" i="3"/>
  <c r="AF40" i="3"/>
  <c r="T40" i="3"/>
  <c r="H40" i="3"/>
  <c r="AE41" i="3"/>
  <c r="AE42" i="3" s="1"/>
  <c r="AF47" i="3" s="1"/>
  <c r="S41" i="3"/>
  <c r="G41" i="3"/>
  <c r="AD41" i="3"/>
  <c r="R41" i="3"/>
  <c r="F41" i="3"/>
  <c r="AD40" i="3"/>
  <c r="R40" i="3"/>
  <c r="AC41" i="3"/>
  <c r="Q41" i="3"/>
  <c r="E41" i="3"/>
  <c r="AC40" i="3"/>
  <c r="Z19" i="6"/>
  <c r="Z43" i="6" s="1"/>
  <c r="AC21" i="3"/>
  <c r="Q41" i="6"/>
  <c r="P40" i="6"/>
  <c r="K26" i="5"/>
  <c r="K15" i="5"/>
  <c r="W26" i="5"/>
  <c r="W15" i="5"/>
  <c r="AI26" i="5"/>
  <c r="AI15" i="5"/>
  <c r="Q40" i="3"/>
  <c r="V41" i="3"/>
  <c r="AK40" i="6"/>
  <c r="AL41" i="6"/>
  <c r="AJ39" i="6"/>
  <c r="N19" i="6"/>
  <c r="N43" i="6" s="1"/>
  <c r="F19" i="3"/>
  <c r="AD25" i="3"/>
  <c r="AJ26" i="5"/>
  <c r="AJ15" i="5"/>
  <c r="AA41" i="3"/>
  <c r="AL19" i="6"/>
  <c r="AL43" i="6" s="1"/>
  <c r="Y40" i="6"/>
  <c r="Z41" i="6"/>
  <c r="X39" i="6"/>
  <c r="S18" i="3"/>
  <c r="T18" i="3"/>
  <c r="R26" i="3"/>
  <c r="R10" i="6" s="1"/>
  <c r="R17" i="6" s="1"/>
  <c r="X26" i="5"/>
  <c r="X15" i="5"/>
  <c r="D6" i="3"/>
  <c r="G19" i="3"/>
  <c r="S20" i="3"/>
  <c r="S10" i="5" s="1"/>
  <c r="AE25" i="3"/>
  <c r="M15" i="5"/>
  <c r="M26" i="5"/>
  <c r="AK26" i="5"/>
  <c r="AK15" i="5"/>
  <c r="G35" i="3"/>
  <c r="V40" i="3"/>
  <c r="AB41" i="3"/>
  <c r="P21" i="3"/>
  <c r="T26" i="3"/>
  <c r="T10" i="6" s="1"/>
  <c r="T17" i="6" s="1"/>
  <c r="T20" i="3"/>
  <c r="T10" i="5" s="1"/>
  <c r="N41" i="6"/>
  <c r="L39" i="6"/>
  <c r="M40" i="6"/>
  <c r="E15" i="4"/>
  <c r="D5" i="7"/>
  <c r="D5" i="6"/>
  <c r="D5" i="5"/>
  <c r="L26" i="5"/>
  <c r="L15" i="5"/>
  <c r="S40" i="3"/>
  <c r="E5" i="3"/>
  <c r="V18" i="3"/>
  <c r="Y15" i="5"/>
  <c r="Y26" i="5"/>
  <c r="J19" i="3"/>
  <c r="AH19" i="3"/>
  <c r="V20" i="3"/>
  <c r="V10" i="5" s="1"/>
  <c r="N15" i="5"/>
  <c r="N26" i="5"/>
  <c r="Z15" i="5"/>
  <c r="Z26" i="5"/>
  <c r="AL15" i="5"/>
  <c r="AL26" i="5"/>
  <c r="AA40" i="3"/>
  <c r="AH41" i="3"/>
  <c r="K18" i="3"/>
  <c r="W18" i="3"/>
  <c r="AI18" i="3"/>
  <c r="K19" i="3"/>
  <c r="W19" i="3"/>
  <c r="AI19" i="3"/>
  <c r="K20" i="3"/>
  <c r="K10" i="5" s="1"/>
  <c r="W20" i="3"/>
  <c r="W10" i="5" s="1"/>
  <c r="AI20" i="3"/>
  <c r="AI10" i="5" s="1"/>
  <c r="K24" i="3"/>
  <c r="W24" i="3"/>
  <c r="AI24" i="3"/>
  <c r="K25" i="3"/>
  <c r="W25" i="3"/>
  <c r="AI25" i="3"/>
  <c r="L18" i="3"/>
  <c r="X18" i="3"/>
  <c r="AJ18" i="3"/>
  <c r="L19" i="3"/>
  <c r="X19" i="3"/>
  <c r="AJ19" i="3"/>
  <c r="L20" i="3"/>
  <c r="L10" i="5" s="1"/>
  <c r="X20" i="3"/>
  <c r="X10" i="5" s="1"/>
  <c r="AJ20" i="3"/>
  <c r="AJ10" i="5" s="1"/>
  <c r="L24" i="3"/>
  <c r="X24" i="3"/>
  <c r="AJ24" i="3"/>
  <c r="L25" i="3"/>
  <c r="X25" i="3"/>
  <c r="AJ25" i="3"/>
  <c r="M18" i="3"/>
  <c r="Y18" i="3"/>
  <c r="AK18" i="3"/>
  <c r="M19" i="3"/>
  <c r="Y19" i="3"/>
  <c r="AK19" i="3"/>
  <c r="M20" i="3"/>
  <c r="M10" i="5" s="1"/>
  <c r="Y20" i="3"/>
  <c r="Y10" i="5" s="1"/>
  <c r="AK20" i="3"/>
  <c r="AK10" i="5" s="1"/>
  <c r="M24" i="3"/>
  <c r="Y24" i="3"/>
  <c r="AK24" i="3"/>
  <c r="M25" i="3"/>
  <c r="Y25" i="3"/>
  <c r="AK25" i="3"/>
  <c r="N18" i="3"/>
  <c r="Z18" i="3"/>
  <c r="AL18" i="3"/>
  <c r="N19" i="3"/>
  <c r="Z19" i="3"/>
  <c r="AL19" i="3"/>
  <c r="N20" i="3"/>
  <c r="N10" i="5" s="1"/>
  <c r="Z20" i="3"/>
  <c r="Z10" i="5" s="1"/>
  <c r="AL20" i="3"/>
  <c r="AL10" i="5" s="1"/>
  <c r="N24" i="3"/>
  <c r="Z24" i="3"/>
  <c r="AL24" i="3"/>
  <c r="N25" i="3"/>
  <c r="Z25" i="3"/>
  <c r="AL25" i="3"/>
  <c r="O18" i="5"/>
  <c r="F6" i="8"/>
  <c r="G5" i="8"/>
  <c r="J13" i="7"/>
  <c r="J8" i="8"/>
  <c r="AH8" i="8"/>
  <c r="AH13" i="7"/>
  <c r="E8" i="8"/>
  <c r="E13" i="7"/>
  <c r="C20" i="9"/>
  <c r="Q8" i="8"/>
  <c r="Q13" i="7"/>
  <c r="E20" i="9"/>
  <c r="AC8" i="8"/>
  <c r="R8" i="8"/>
  <c r="R13" i="7"/>
  <c r="AD8" i="8"/>
  <c r="AD13" i="7"/>
  <c r="M13" i="7"/>
  <c r="L13" i="7"/>
  <c r="E6" i="8"/>
  <c r="C27" i="9"/>
  <c r="K13" i="7"/>
  <c r="AE13" i="7"/>
  <c r="I13" i="7"/>
  <c r="U13" i="7"/>
  <c r="AG13" i="7"/>
  <c r="D20" i="9"/>
  <c r="N13" i="7"/>
  <c r="Z13" i="7"/>
  <c r="AL13" i="7"/>
  <c r="O13" i="7"/>
  <c r="AA13" i="7"/>
  <c r="AM13" i="7"/>
  <c r="D13" i="7"/>
  <c r="P13" i="7"/>
  <c r="AB13" i="7"/>
  <c r="D19" i="7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D8" i="8"/>
  <c r="D14" i="8" s="1"/>
  <c r="D10" i="8"/>
  <c r="H13" i="7"/>
  <c r="T13" i="7"/>
  <c r="AF13" i="7"/>
  <c r="D42" i="3" l="1"/>
  <c r="E47" i="3" s="1"/>
  <c r="E14" i="8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BD14" i="8" s="1"/>
  <c r="BE14" i="8" s="1"/>
  <c r="BF14" i="8" s="1"/>
  <c r="BG14" i="8" s="1"/>
  <c r="BH14" i="8" s="1"/>
  <c r="BI14" i="8" s="1"/>
  <c r="BJ14" i="8" s="1"/>
  <c r="BK14" i="8" s="1"/>
  <c r="D50" i="3"/>
  <c r="F19" i="6"/>
  <c r="F43" i="6" s="1"/>
  <c r="F55" i="3"/>
  <c r="F11" i="6" s="1"/>
  <c r="F20" i="6" s="1"/>
  <c r="F44" i="6" s="1"/>
  <c r="AH19" i="6"/>
  <c r="AH43" i="6" s="1"/>
  <c r="AH55" i="3"/>
  <c r="AH11" i="6" s="1"/>
  <c r="AH20" i="6" s="1"/>
  <c r="AH44" i="6" s="1"/>
  <c r="J19" i="6"/>
  <c r="J43" i="6" s="1"/>
  <c r="J55" i="3"/>
  <c r="J11" i="6" s="1"/>
  <c r="J20" i="6" s="1"/>
  <c r="J44" i="6" s="1"/>
  <c r="AM21" i="5"/>
  <c r="AM19" i="5"/>
  <c r="AM20" i="5" s="1"/>
  <c r="S16" i="6"/>
  <c r="S14" i="6"/>
  <c r="Q21" i="5"/>
  <c r="Q19" i="5"/>
  <c r="Q20" i="5" s="1"/>
  <c r="R14" i="6"/>
  <c r="R16" i="6"/>
  <c r="V16" i="6"/>
  <c r="V14" i="6"/>
  <c r="AE19" i="6"/>
  <c r="AE43" i="6" s="1"/>
  <c r="Z21" i="3"/>
  <c r="T45" i="3"/>
  <c r="T50" i="3" s="1"/>
  <c r="S42" i="3"/>
  <c r="T47" i="3" s="1"/>
  <c r="N46" i="3"/>
  <c r="N51" i="3" s="1"/>
  <c r="AM42" i="3"/>
  <c r="S45" i="3"/>
  <c r="S50" i="3" s="1"/>
  <c r="R42" i="3"/>
  <c r="S47" i="3" s="1"/>
  <c r="H41" i="6"/>
  <c r="F39" i="6"/>
  <c r="G40" i="6"/>
  <c r="O42" i="3"/>
  <c r="P47" i="3" s="1"/>
  <c r="P45" i="3"/>
  <c r="P50" i="3" s="1"/>
  <c r="P52" i="3" s="1"/>
  <c r="P9" i="6" s="1"/>
  <c r="K45" i="3"/>
  <c r="K50" i="3" s="1"/>
  <c r="J42" i="3"/>
  <c r="K47" i="3" s="1"/>
  <c r="S19" i="6"/>
  <c r="S43" i="6" s="1"/>
  <c r="S55" i="3"/>
  <c r="S11" i="6" s="1"/>
  <c r="S20" i="6" s="1"/>
  <c r="S44" i="6" s="1"/>
  <c r="G45" i="3"/>
  <c r="F42" i="3"/>
  <c r="G47" i="3" s="1"/>
  <c r="D16" i="4"/>
  <c r="Q38" i="6"/>
  <c r="P37" i="6"/>
  <c r="N35" i="6"/>
  <c r="O36" i="6"/>
  <c r="AJ21" i="3"/>
  <c r="I16" i="6"/>
  <c r="I14" i="6"/>
  <c r="AC38" i="6"/>
  <c r="AB37" i="6"/>
  <c r="AA36" i="6"/>
  <c r="Z35" i="6"/>
  <c r="AD46" i="3"/>
  <c r="AD51" i="3" s="1"/>
  <c r="P17" i="5"/>
  <c r="P16" i="5"/>
  <c r="P18" i="5" s="1"/>
  <c r="P25" i="5"/>
  <c r="P27" i="5"/>
  <c r="AE45" i="3"/>
  <c r="AE50" i="3" s="1"/>
  <c r="AD42" i="3"/>
  <c r="AE47" i="3" s="1"/>
  <c r="AG46" i="3"/>
  <c r="AG51" i="3" s="1"/>
  <c r="AJ46" i="3"/>
  <c r="AJ51" i="3" s="1"/>
  <c r="AL46" i="3"/>
  <c r="H15" i="4"/>
  <c r="AD21" i="3"/>
  <c r="AA19" i="6"/>
  <c r="AA43" i="6" s="1"/>
  <c r="AA55" i="3"/>
  <c r="AA11" i="6" s="1"/>
  <c r="AA20" i="6" s="1"/>
  <c r="AA44" i="6" s="1"/>
  <c r="AH16" i="6"/>
  <c r="AH14" i="6"/>
  <c r="AF41" i="6"/>
  <c r="AE40" i="6"/>
  <c r="AD39" i="6"/>
  <c r="AF40" i="6"/>
  <c r="AE39" i="6"/>
  <c r="AG41" i="6"/>
  <c r="AI45" i="3"/>
  <c r="AH42" i="3"/>
  <c r="AI47" i="3" s="1"/>
  <c r="P31" i="6"/>
  <c r="N30" i="6"/>
  <c r="AF21" i="3"/>
  <c r="J16" i="6"/>
  <c r="J14" i="6"/>
  <c r="AF27" i="3"/>
  <c r="AF8" i="6" s="1"/>
  <c r="AE27" i="3"/>
  <c r="AE8" i="6" s="1"/>
  <c r="F45" i="3"/>
  <c r="F50" i="3" s="1"/>
  <c r="E50" i="3"/>
  <c r="E42" i="3"/>
  <c r="F47" i="3" s="1"/>
  <c r="Q37" i="6"/>
  <c r="P36" i="6"/>
  <c r="O35" i="6"/>
  <c r="R38" i="6"/>
  <c r="AA31" i="6"/>
  <c r="Y30" i="6"/>
  <c r="H21" i="3"/>
  <c r="E5" i="7"/>
  <c r="E5" i="6"/>
  <c r="E5" i="5"/>
  <c r="E5" i="4"/>
  <c r="E6" i="3"/>
  <c r="F5" i="3"/>
  <c r="F21" i="3"/>
  <c r="AD55" i="3"/>
  <c r="AD11" i="6" s="1"/>
  <c r="AD20" i="6" s="1"/>
  <c r="AD44" i="6" s="1"/>
  <c r="AD19" i="6"/>
  <c r="AD43" i="6" s="1"/>
  <c r="L21" i="3"/>
  <c r="AJ27" i="3"/>
  <c r="Z27" i="3"/>
  <c r="D6" i="7"/>
  <c r="D6" i="6"/>
  <c r="D6" i="5"/>
  <c r="D6" i="4"/>
  <c r="D11" i="4" s="1"/>
  <c r="AC17" i="5"/>
  <c r="AC16" i="5"/>
  <c r="AC25" i="5"/>
  <c r="AC27" i="5"/>
  <c r="S46" i="3"/>
  <c r="U42" i="3"/>
  <c r="V47" i="3" s="1"/>
  <c r="V45" i="3"/>
  <c r="Y45" i="3"/>
  <c r="Y50" i="3" s="1"/>
  <c r="X42" i="3"/>
  <c r="Y47" i="3" s="1"/>
  <c r="Z42" i="3"/>
  <c r="AA47" i="3" s="1"/>
  <c r="AA45" i="3"/>
  <c r="AA50" i="3" s="1"/>
  <c r="V19" i="6"/>
  <c r="V43" i="6" s="1"/>
  <c r="V55" i="3"/>
  <c r="V11" i="6" s="1"/>
  <c r="V20" i="6" s="1"/>
  <c r="V44" i="6" s="1"/>
  <c r="AF19" i="6"/>
  <c r="AF43" i="6" s="1"/>
  <c r="G14" i="6"/>
  <c r="R19" i="6"/>
  <c r="R43" i="6" s="1"/>
  <c r="R55" i="3"/>
  <c r="R11" i="6" s="1"/>
  <c r="R20" i="6" s="1"/>
  <c r="R44" i="6" s="1"/>
  <c r="T40" i="6"/>
  <c r="S39" i="6"/>
  <c r="U41" i="6"/>
  <c r="AG21" i="3"/>
  <c r="Q31" i="6"/>
  <c r="O30" i="6"/>
  <c r="AA16" i="6"/>
  <c r="E25" i="5"/>
  <c r="E17" i="5"/>
  <c r="E16" i="5"/>
  <c r="E27" i="5"/>
  <c r="P46" i="3"/>
  <c r="P51" i="3" s="1"/>
  <c r="Z46" i="3"/>
  <c r="G46" i="3"/>
  <c r="G51" i="3" s="1"/>
  <c r="AK21" i="3"/>
  <c r="AI21" i="3"/>
  <c r="AE46" i="3"/>
  <c r="AE51" i="3" s="1"/>
  <c r="AG42" i="3"/>
  <c r="AH47" i="3" s="1"/>
  <c r="AH45" i="3"/>
  <c r="AH50" i="3" s="1"/>
  <c r="AK45" i="3"/>
  <c r="AK50" i="3" s="1"/>
  <c r="AJ42" i="3"/>
  <c r="AK47" i="3" s="1"/>
  <c r="AL42" i="3"/>
  <c r="AM47" i="3" s="1"/>
  <c r="AM45" i="3"/>
  <c r="AM50" i="3" s="1"/>
  <c r="R21" i="3"/>
  <c r="H27" i="3"/>
  <c r="H8" i="6" s="1"/>
  <c r="AG16" i="6"/>
  <c r="AG14" i="6"/>
  <c r="AA27" i="5"/>
  <c r="AA17" i="5"/>
  <c r="AA25" i="5"/>
  <c r="AA16" i="5"/>
  <c r="AA18" i="5" s="1"/>
  <c r="E16" i="4"/>
  <c r="E17" i="4" s="1"/>
  <c r="AG45" i="3"/>
  <c r="AG50" i="3" s="1"/>
  <c r="AF50" i="3"/>
  <c r="AF42" i="3"/>
  <c r="AG47" i="3" s="1"/>
  <c r="AL45" i="3"/>
  <c r="AL50" i="3" s="1"/>
  <c r="AK42" i="3"/>
  <c r="AL47" i="3" s="1"/>
  <c r="AB17" i="5"/>
  <c r="AB16" i="5"/>
  <c r="AB18" i="5" s="1"/>
  <c r="AB25" i="5"/>
  <c r="AB27" i="5"/>
  <c r="K46" i="3"/>
  <c r="K51" i="3" s="1"/>
  <c r="D25" i="5"/>
  <c r="D17" i="5"/>
  <c r="D16" i="5"/>
  <c r="D27" i="5"/>
  <c r="U46" i="3"/>
  <c r="U51" i="3" s="1"/>
  <c r="AL27" i="3"/>
  <c r="I42" i="3"/>
  <c r="J47" i="3" s="1"/>
  <c r="J45" i="3"/>
  <c r="J50" i="3" s="1"/>
  <c r="Y21" i="3"/>
  <c r="W21" i="3"/>
  <c r="AC46" i="3"/>
  <c r="AC51" i="3" s="1"/>
  <c r="W46" i="3"/>
  <c r="W51" i="3" s="1"/>
  <c r="H46" i="3"/>
  <c r="H51" i="3" s="1"/>
  <c r="O46" i="3"/>
  <c r="O51" i="3" s="1"/>
  <c r="AB42" i="3"/>
  <c r="AC47" i="3" s="1"/>
  <c r="H19" i="6"/>
  <c r="H43" i="6" s="1"/>
  <c r="H55" i="3"/>
  <c r="H11" i="6" s="1"/>
  <c r="H20" i="6" s="1"/>
  <c r="H44" i="6" s="1"/>
  <c r="AD16" i="6"/>
  <c r="AD14" i="6"/>
  <c r="H40" i="6"/>
  <c r="G39" i="6"/>
  <c r="I41" i="6"/>
  <c r="AG19" i="6"/>
  <c r="AG43" i="6" s="1"/>
  <c r="AG55" i="3"/>
  <c r="AG11" i="6" s="1"/>
  <c r="AG20" i="6" s="1"/>
  <c r="AG44" i="6" s="1"/>
  <c r="E31" i="6"/>
  <c r="AJ45" i="3"/>
  <c r="AJ50" i="3" s="1"/>
  <c r="AI50" i="3"/>
  <c r="AI42" i="3"/>
  <c r="AJ47" i="3" s="1"/>
  <c r="AE21" i="3"/>
  <c r="T41" i="6"/>
  <c r="S40" i="6"/>
  <c r="R39" i="6"/>
  <c r="L46" i="3"/>
  <c r="L51" i="3" s="1"/>
  <c r="J21" i="3"/>
  <c r="N21" i="3"/>
  <c r="G15" i="4"/>
  <c r="K21" i="3"/>
  <c r="P39" i="6"/>
  <c r="R41" i="6"/>
  <c r="Q40" i="6"/>
  <c r="R45" i="3"/>
  <c r="R50" i="3" s="1"/>
  <c r="Q42" i="3"/>
  <c r="R47" i="3" s="1"/>
  <c r="T46" i="3"/>
  <c r="T51" i="3" s="1"/>
  <c r="S51" i="3"/>
  <c r="V46" i="3"/>
  <c r="V51" i="3" s="1"/>
  <c r="Y46" i="3"/>
  <c r="Y51" i="3" s="1"/>
  <c r="Z51" i="3"/>
  <c r="AA46" i="3"/>
  <c r="AA51" i="3" s="1"/>
  <c r="Q45" i="3"/>
  <c r="Q50" i="3" s="1"/>
  <c r="Q52" i="3" s="1"/>
  <c r="Q9" i="6" s="1"/>
  <c r="P42" i="3"/>
  <c r="Q47" i="3" s="1"/>
  <c r="AH21" i="3"/>
  <c r="F16" i="6"/>
  <c r="F14" i="6"/>
  <c r="U21" i="3"/>
  <c r="T27" i="3"/>
  <c r="T8" i="6" s="1"/>
  <c r="G21" i="3"/>
  <c r="E37" i="6"/>
  <c r="F38" i="6"/>
  <c r="D36" i="6"/>
  <c r="I46" i="3"/>
  <c r="I51" i="3" s="1"/>
  <c r="I19" i="6"/>
  <c r="I43" i="6" s="1"/>
  <c r="I55" i="3"/>
  <c r="I11" i="6" s="1"/>
  <c r="I20" i="6" s="1"/>
  <c r="I44" i="6" s="1"/>
  <c r="M45" i="3"/>
  <c r="M50" i="3" s="1"/>
  <c r="L42" i="3"/>
  <c r="M47" i="3" s="1"/>
  <c r="N27" i="3"/>
  <c r="D13" i="8"/>
  <c r="E9" i="8" s="1"/>
  <c r="AB46" i="3"/>
  <c r="AB51" i="3" s="1"/>
  <c r="M46" i="3"/>
  <c r="M51" i="3" s="1"/>
  <c r="AI27" i="3"/>
  <c r="G37" i="3"/>
  <c r="G16" i="6" s="1"/>
  <c r="T21" i="3"/>
  <c r="AF46" i="3"/>
  <c r="AF51" i="3" s="1"/>
  <c r="AH46" i="3"/>
  <c r="AH51" i="3" s="1"/>
  <c r="AK46" i="3"/>
  <c r="AK51" i="3" s="1"/>
  <c r="AL51" i="3"/>
  <c r="AM46" i="3"/>
  <c r="AM51" i="3" s="1"/>
  <c r="D19" i="6"/>
  <c r="D43" i="6" s="1"/>
  <c r="D55" i="3"/>
  <c r="G8" i="4"/>
  <c r="F9" i="4"/>
  <c r="U27" i="3"/>
  <c r="U8" i="6" s="1"/>
  <c r="T37" i="3"/>
  <c r="D31" i="6"/>
  <c r="P38" i="6"/>
  <c r="M35" i="6"/>
  <c r="N36" i="6"/>
  <c r="O37" i="6"/>
  <c r="AC31" i="6"/>
  <c r="AA30" i="6"/>
  <c r="D15" i="8"/>
  <c r="D12" i="8"/>
  <c r="AL21" i="3"/>
  <c r="X21" i="3"/>
  <c r="X27" i="3"/>
  <c r="N42" i="3"/>
  <c r="O47" i="3" s="1"/>
  <c r="O45" i="3"/>
  <c r="O50" i="3" s="1"/>
  <c r="M21" i="3"/>
  <c r="W45" i="3"/>
  <c r="W50" i="3" s="1"/>
  <c r="V50" i="3"/>
  <c r="V42" i="3"/>
  <c r="W47" i="3" s="1"/>
  <c r="Y27" i="3"/>
  <c r="W27" i="3"/>
  <c r="AI46" i="3"/>
  <c r="AI51" i="3" s="1"/>
  <c r="S21" i="3"/>
  <c r="AD45" i="3"/>
  <c r="AD50" i="3" s="1"/>
  <c r="AD52" i="3" s="1"/>
  <c r="AD9" i="6" s="1"/>
  <c r="AC50" i="3"/>
  <c r="AC42" i="3"/>
  <c r="AD47" i="3" s="1"/>
  <c r="I45" i="3"/>
  <c r="I50" i="3" s="1"/>
  <c r="H42" i="3"/>
  <c r="I47" i="3" s="1"/>
  <c r="L45" i="3"/>
  <c r="L50" i="3" s="1"/>
  <c r="K42" i="3"/>
  <c r="L47" i="3" s="1"/>
  <c r="N45" i="3"/>
  <c r="N50" i="3" s="1"/>
  <c r="M42" i="3"/>
  <c r="N47" i="3" s="1"/>
  <c r="AK19" i="6"/>
  <c r="AK43" i="6" s="1"/>
  <c r="E46" i="3"/>
  <c r="E51" i="3" s="1"/>
  <c r="D51" i="3"/>
  <c r="D52" i="3" s="1"/>
  <c r="D9" i="6" s="1"/>
  <c r="U37" i="3"/>
  <c r="D16" i="6"/>
  <c r="AK35" i="6"/>
  <c r="AL36" i="6"/>
  <c r="AM37" i="6"/>
  <c r="O31" i="6"/>
  <c r="M30" i="6"/>
  <c r="AC37" i="6"/>
  <c r="AB36" i="6"/>
  <c r="AA35" i="6"/>
  <c r="AD38" i="6"/>
  <c r="R46" i="3"/>
  <c r="R51" i="3" s="1"/>
  <c r="Q51" i="3"/>
  <c r="X46" i="3"/>
  <c r="X51" i="3" s="1"/>
  <c r="H5" i="8"/>
  <c r="G6" i="8"/>
  <c r="L27" i="3"/>
  <c r="J46" i="3"/>
  <c r="J51" i="3" s="1"/>
  <c r="AK27" i="3"/>
  <c r="AK8" i="6" s="1"/>
  <c r="O21" i="5"/>
  <c r="O19" i="5"/>
  <c r="O20" i="5" s="1"/>
  <c r="M27" i="3"/>
  <c r="K27" i="3"/>
  <c r="AA42" i="3"/>
  <c r="AB47" i="3" s="1"/>
  <c r="AB45" i="3"/>
  <c r="AB50" i="3" s="1"/>
  <c r="V21" i="3"/>
  <c r="F15" i="4"/>
  <c r="F46" i="3"/>
  <c r="F51" i="3" s="1"/>
  <c r="U45" i="3"/>
  <c r="U50" i="3" s="1"/>
  <c r="T42" i="3"/>
  <c r="U47" i="3" s="1"/>
  <c r="X45" i="3"/>
  <c r="X50" i="3" s="1"/>
  <c r="W42" i="3"/>
  <c r="X47" i="3" s="1"/>
  <c r="Z45" i="3"/>
  <c r="Z50" i="3" s="1"/>
  <c r="Y42" i="3"/>
  <c r="Z47" i="3" s="1"/>
  <c r="H45" i="3"/>
  <c r="H50" i="3" s="1"/>
  <c r="G50" i="3"/>
  <c r="G42" i="3"/>
  <c r="H47" i="3" s="1"/>
  <c r="I21" i="3"/>
  <c r="AK30" i="6"/>
  <c r="AM31" i="6"/>
  <c r="AB31" i="6"/>
  <c r="Z30" i="6"/>
  <c r="F52" i="3" l="1"/>
  <c r="F9" i="6" s="1"/>
  <c r="L52" i="3"/>
  <c r="L9" i="6" s="1"/>
  <c r="L21" i="6" s="1"/>
  <c r="K45" i="6" s="1"/>
  <c r="K52" i="3"/>
  <c r="K9" i="6" s="1"/>
  <c r="T52" i="3"/>
  <c r="T9" i="6" s="1"/>
  <c r="T22" i="6" s="1"/>
  <c r="S46" i="6" s="1"/>
  <c r="M52" i="3"/>
  <c r="M9" i="6" s="1"/>
  <c r="M21" i="6" s="1"/>
  <c r="L45" i="6" s="1"/>
  <c r="AL52" i="3"/>
  <c r="AL9" i="6" s="1"/>
  <c r="AL23" i="6" s="1"/>
  <c r="AK47" i="6" s="1"/>
  <c r="J52" i="3"/>
  <c r="J9" i="6" s="1"/>
  <c r="J24" i="6" s="1"/>
  <c r="J48" i="6" s="1"/>
  <c r="Z52" i="3"/>
  <c r="Z9" i="6" s="1"/>
  <c r="Z15" i="6" s="1"/>
  <c r="AJ52" i="3"/>
  <c r="AJ9" i="6" s="1"/>
  <c r="AJ15" i="6" s="1"/>
  <c r="S52" i="3"/>
  <c r="S9" i="6" s="1"/>
  <c r="S22" i="6" s="1"/>
  <c r="R46" i="6" s="1"/>
  <c r="I52" i="3"/>
  <c r="I9" i="6" s="1"/>
  <c r="I23" i="6" s="1"/>
  <c r="H47" i="6" s="1"/>
  <c r="O52" i="3"/>
  <c r="O9" i="6" s="1"/>
  <c r="O24" i="6" s="1"/>
  <c r="O48" i="6" s="1"/>
  <c r="AA52" i="3"/>
  <c r="AA9" i="6" s="1"/>
  <c r="AA24" i="6" s="1"/>
  <c r="AA48" i="6" s="1"/>
  <c r="F22" i="6"/>
  <c r="E46" i="6" s="1"/>
  <c r="F15" i="6"/>
  <c r="F21" i="6"/>
  <c r="E45" i="6" s="1"/>
  <c r="F23" i="6"/>
  <c r="E47" i="6" s="1"/>
  <c r="F24" i="6"/>
  <c r="F48" i="6" s="1"/>
  <c r="J22" i="6"/>
  <c r="I46" i="6" s="1"/>
  <c r="J15" i="6"/>
  <c r="J26" i="6" s="1"/>
  <c r="I50" i="6" s="1"/>
  <c r="AA22" i="6"/>
  <c r="Z46" i="6" s="1"/>
  <c r="AA15" i="6"/>
  <c r="AA23" i="6"/>
  <c r="Z47" i="6" s="1"/>
  <c r="D21" i="6"/>
  <c r="D22" i="6"/>
  <c r="D23" i="6"/>
  <c r="D24" i="6"/>
  <c r="D48" i="6" s="1"/>
  <c r="D15" i="6"/>
  <c r="X52" i="3"/>
  <c r="X9" i="6" s="1"/>
  <c r="AD21" i="6"/>
  <c r="AC45" i="6" s="1"/>
  <c r="AD22" i="6"/>
  <c r="AC46" i="6" s="1"/>
  <c r="AD23" i="6"/>
  <c r="AC47" i="6" s="1"/>
  <c r="AD24" i="6"/>
  <c r="AD48" i="6" s="1"/>
  <c r="AD15" i="6"/>
  <c r="AD25" i="6" s="1"/>
  <c r="AC49" i="6" s="1"/>
  <c r="L15" i="6"/>
  <c r="L24" i="6"/>
  <c r="L48" i="6" s="1"/>
  <c r="L23" i="6"/>
  <c r="K47" i="6" s="1"/>
  <c r="L22" i="6"/>
  <c r="K46" i="6" s="1"/>
  <c r="M23" i="6"/>
  <c r="L47" i="6" s="1"/>
  <c r="H38" i="6"/>
  <c r="G37" i="6"/>
  <c r="E35" i="6"/>
  <c r="F36" i="6"/>
  <c r="R52" i="3"/>
  <c r="R9" i="6" s="1"/>
  <c r="U52" i="3"/>
  <c r="U9" i="6" s="1"/>
  <c r="AK52" i="3"/>
  <c r="AK9" i="6" s="1"/>
  <c r="AH52" i="3"/>
  <c r="AH9" i="6" s="1"/>
  <c r="AL21" i="6"/>
  <c r="AK45" i="6" s="1"/>
  <c r="AL24" i="6"/>
  <c r="AL48" i="6" s="1"/>
  <c r="AL15" i="6"/>
  <c r="AC18" i="5"/>
  <c r="AE55" i="3"/>
  <c r="AE11" i="6" s="1"/>
  <c r="AE20" i="6" s="1"/>
  <c r="AE44" i="6" s="1"/>
  <c r="AM52" i="3"/>
  <c r="AM9" i="6" s="1"/>
  <c r="W52" i="3"/>
  <c r="W9" i="6" s="1"/>
  <c r="T19" i="6"/>
  <c r="T43" i="6" s="1"/>
  <c r="T55" i="3"/>
  <c r="T11" i="6" s="1"/>
  <c r="T20" i="6" s="1"/>
  <c r="T44" i="6" s="1"/>
  <c r="AD31" i="6"/>
  <c r="AB30" i="6"/>
  <c r="AK27" i="5"/>
  <c r="AK17" i="5"/>
  <c r="AK16" i="5"/>
  <c r="AK25" i="5"/>
  <c r="AB38" i="6"/>
  <c r="AA37" i="6"/>
  <c r="Z36" i="6"/>
  <c r="Y35" i="6"/>
  <c r="T24" i="6"/>
  <c r="T48" i="6" s="1"/>
  <c r="T23" i="6"/>
  <c r="S47" i="6" s="1"/>
  <c r="T15" i="6"/>
  <c r="T21" i="6"/>
  <c r="S45" i="6" s="1"/>
  <c r="K8" i="6"/>
  <c r="K55" i="3"/>
  <c r="K11" i="6" s="1"/>
  <c r="K20" i="6" s="1"/>
  <c r="K44" i="6" s="1"/>
  <c r="L8" i="6"/>
  <c r="L55" i="3"/>
  <c r="L11" i="6" s="1"/>
  <c r="L20" i="6" s="1"/>
  <c r="L44" i="6" s="1"/>
  <c r="U16" i="6"/>
  <c r="U14" i="6"/>
  <c r="J27" i="5"/>
  <c r="J25" i="5"/>
  <c r="J17" i="5"/>
  <c r="J16" i="5"/>
  <c r="J18" i="5" s="1"/>
  <c r="AI52" i="3"/>
  <c r="AI9" i="6" s="1"/>
  <c r="AE38" i="6"/>
  <c r="AC36" i="6"/>
  <c r="AD37" i="6"/>
  <c r="AB35" i="6"/>
  <c r="H27" i="5"/>
  <c r="H17" i="5"/>
  <c r="H16" i="5"/>
  <c r="H18" i="5" s="1"/>
  <c r="H25" i="5"/>
  <c r="AD17" i="5"/>
  <c r="AD16" i="5"/>
  <c r="AD18" i="5" s="1"/>
  <c r="AD25" i="5"/>
  <c r="AD27" i="5"/>
  <c r="D17" i="4"/>
  <c r="Q21" i="6"/>
  <c r="P45" i="6" s="1"/>
  <c r="Q22" i="6"/>
  <c r="P46" i="6" s="1"/>
  <c r="Q23" i="6"/>
  <c r="P47" i="6" s="1"/>
  <c r="Q15" i="6"/>
  <c r="Q24" i="6"/>
  <c r="Q48" i="6" s="1"/>
  <c r="AG25" i="5"/>
  <c r="AG27" i="5"/>
  <c r="AG16" i="5"/>
  <c r="AG17" i="5"/>
  <c r="AJ8" i="6"/>
  <c r="AJ55" i="3"/>
  <c r="AJ11" i="6" s="1"/>
  <c r="AJ20" i="6" s="1"/>
  <c r="AJ44" i="6" s="1"/>
  <c r="P21" i="6"/>
  <c r="O45" i="6" s="1"/>
  <c r="P22" i="6"/>
  <c r="O46" i="6" s="1"/>
  <c r="P15" i="6"/>
  <c r="P24" i="6"/>
  <c r="P48" i="6" s="1"/>
  <c r="P23" i="6"/>
  <c r="O47" i="6" s="1"/>
  <c r="AB21" i="5"/>
  <c r="AB19" i="5"/>
  <c r="AB20" i="5" s="1"/>
  <c r="E6" i="9"/>
  <c r="AG31" i="6"/>
  <c r="AE30" i="6"/>
  <c r="D9" i="5"/>
  <c r="D8" i="5"/>
  <c r="D11" i="5" s="1"/>
  <c r="AE16" i="6"/>
  <c r="AE14" i="6"/>
  <c r="AE52" i="3"/>
  <c r="AE9" i="6" s="1"/>
  <c r="V31" i="6"/>
  <c r="T30" i="6"/>
  <c r="U19" i="6"/>
  <c r="U43" i="6" s="1"/>
  <c r="U55" i="3"/>
  <c r="U11" i="6" s="1"/>
  <c r="U20" i="6" s="1"/>
  <c r="U44" i="6" s="1"/>
  <c r="G9" i="4"/>
  <c r="H8" i="4"/>
  <c r="F25" i="6"/>
  <c r="E49" i="6" s="1"/>
  <c r="F18" i="6"/>
  <c r="F42" i="6" s="1"/>
  <c r="F31" i="6"/>
  <c r="D30" i="6"/>
  <c r="AH38" i="6"/>
  <c r="AG37" i="6"/>
  <c r="AF36" i="6"/>
  <c r="AE35" i="6"/>
  <c r="AF16" i="6"/>
  <c r="AF14" i="6"/>
  <c r="V37" i="6"/>
  <c r="U36" i="6"/>
  <c r="T35" i="6"/>
  <c r="W38" i="6"/>
  <c r="AB52" i="3"/>
  <c r="AB9" i="6" s="1"/>
  <c r="AH37" i="6"/>
  <c r="AG36" i="6"/>
  <c r="AF35" i="6"/>
  <c r="AI38" i="6"/>
  <c r="X8" i="6"/>
  <c r="X55" i="3"/>
  <c r="X11" i="6" s="1"/>
  <c r="X20" i="6" s="1"/>
  <c r="X44" i="6" s="1"/>
  <c r="L27" i="5"/>
  <c r="L25" i="5"/>
  <c r="L17" i="5"/>
  <c r="L16" i="5"/>
  <c r="G52" i="3"/>
  <c r="G9" i="6" s="1"/>
  <c r="M8" i="6"/>
  <c r="M55" i="3"/>
  <c r="M11" i="6" s="1"/>
  <c r="M20" i="6" s="1"/>
  <c r="M44" i="6" s="1"/>
  <c r="V52" i="3"/>
  <c r="V9" i="6" s="1"/>
  <c r="T25" i="5"/>
  <c r="T27" i="5"/>
  <c r="T16" i="5"/>
  <c r="T17" i="5"/>
  <c r="G38" i="6"/>
  <c r="E36" i="6"/>
  <c r="F37" i="6"/>
  <c r="D35" i="6"/>
  <c r="K27" i="5"/>
  <c r="K25" i="5"/>
  <c r="K17" i="5"/>
  <c r="K16" i="5"/>
  <c r="K18" i="5" s="1"/>
  <c r="W27" i="5"/>
  <c r="W17" i="5"/>
  <c r="W25" i="5"/>
  <c r="W16" i="5"/>
  <c r="W18" i="5" s="1"/>
  <c r="D18" i="5"/>
  <c r="G31" i="6"/>
  <c r="E30" i="6"/>
  <c r="F25" i="5"/>
  <c r="F17" i="5"/>
  <c r="F16" i="5"/>
  <c r="F27" i="5"/>
  <c r="J31" i="6"/>
  <c r="H30" i="6"/>
  <c r="I31" i="6"/>
  <c r="G30" i="6"/>
  <c r="S38" i="6"/>
  <c r="Q36" i="6"/>
  <c r="P35" i="6"/>
  <c r="R37" i="6"/>
  <c r="AK14" i="6"/>
  <c r="AK16" i="6"/>
  <c r="AA21" i="5"/>
  <c r="AA19" i="5"/>
  <c r="AA20" i="5" s="1"/>
  <c r="E52" i="3"/>
  <c r="E9" i="6" s="1"/>
  <c r="D11" i="6"/>
  <c r="D20" i="6" s="1"/>
  <c r="D44" i="6" s="1"/>
  <c r="D56" i="3"/>
  <c r="H16" i="6"/>
  <c r="H14" i="6"/>
  <c r="AG52" i="3"/>
  <c r="AG9" i="6" s="1"/>
  <c r="J37" i="6"/>
  <c r="I36" i="6"/>
  <c r="H35" i="6"/>
  <c r="K38" i="6"/>
  <c r="P21" i="5"/>
  <c r="P19" i="5"/>
  <c r="P20" i="5" s="1"/>
  <c r="J38" i="6"/>
  <c r="I37" i="6"/>
  <c r="H36" i="6"/>
  <c r="G35" i="6"/>
  <c r="P30" i="6"/>
  <c r="R31" i="6"/>
  <c r="Y8" i="6"/>
  <c r="Y55" i="3"/>
  <c r="Y11" i="6" s="1"/>
  <c r="Y20" i="6" s="1"/>
  <c r="Y44" i="6" s="1"/>
  <c r="N52" i="3"/>
  <c r="N9" i="6" s="1"/>
  <c r="AK55" i="3"/>
  <c r="AK11" i="6" s="1"/>
  <c r="AK20" i="6" s="1"/>
  <c r="AK44" i="6" s="1"/>
  <c r="X27" i="5"/>
  <c r="X25" i="5"/>
  <c r="X17" i="5"/>
  <c r="X16" i="5"/>
  <c r="X18" i="5" s="1"/>
  <c r="G19" i="6"/>
  <c r="G43" i="6" s="1"/>
  <c r="G55" i="3"/>
  <c r="G11" i="6" s="1"/>
  <c r="G20" i="6" s="1"/>
  <c r="G44" i="6" s="1"/>
  <c r="E10" i="8"/>
  <c r="E12" i="8" s="1"/>
  <c r="R17" i="5"/>
  <c r="R16" i="5"/>
  <c r="R18" i="5" s="1"/>
  <c r="R25" i="5"/>
  <c r="R27" i="5"/>
  <c r="AF55" i="3"/>
  <c r="AF11" i="6" s="1"/>
  <c r="AF20" i="6" s="1"/>
  <c r="AF44" i="6" s="1"/>
  <c r="AF25" i="5"/>
  <c r="AF27" i="5"/>
  <c r="AF16" i="5"/>
  <c r="AF17" i="5"/>
  <c r="Z27" i="5"/>
  <c r="Z17" i="5"/>
  <c r="Z16" i="5"/>
  <c r="Z18" i="5" s="1"/>
  <c r="Z25" i="5"/>
  <c r="U27" i="5"/>
  <c r="U16" i="5"/>
  <c r="U17" i="5"/>
  <c r="U25" i="5"/>
  <c r="AC52" i="3"/>
  <c r="AC9" i="6" s="1"/>
  <c r="AL8" i="6"/>
  <c r="AL55" i="3"/>
  <c r="AL11" i="6" s="1"/>
  <c r="AL20" i="6" s="1"/>
  <c r="AL44" i="6" s="1"/>
  <c r="S17" i="5"/>
  <c r="S16" i="5"/>
  <c r="S25" i="5"/>
  <c r="S27" i="5"/>
  <c r="W8" i="6"/>
  <c r="W55" i="3"/>
  <c r="W11" i="6" s="1"/>
  <c r="W20" i="6" s="1"/>
  <c r="W44" i="6" s="1"/>
  <c r="M27" i="5"/>
  <c r="M17" i="5"/>
  <c r="M16" i="5"/>
  <c r="M25" i="5"/>
  <c r="AI8" i="6"/>
  <c r="AI55" i="3"/>
  <c r="AI11" i="6" s="1"/>
  <c r="AI20" i="6" s="1"/>
  <c r="AI44" i="6" s="1"/>
  <c r="N8" i="6"/>
  <c r="N55" i="3"/>
  <c r="N11" i="6" s="1"/>
  <c r="N20" i="6" s="1"/>
  <c r="N44" i="6" s="1"/>
  <c r="AH27" i="5"/>
  <c r="AH17" i="5"/>
  <c r="AH16" i="5"/>
  <c r="AH18" i="5" s="1"/>
  <c r="AH25" i="5"/>
  <c r="Y27" i="5"/>
  <c r="Y17" i="5"/>
  <c r="Y16" i="5"/>
  <c r="Y25" i="5"/>
  <c r="C6" i="9"/>
  <c r="AF52" i="3"/>
  <c r="AF9" i="6" s="1"/>
  <c r="F5" i="7"/>
  <c r="F5" i="6"/>
  <c r="F5" i="5"/>
  <c r="F5" i="4"/>
  <c r="G5" i="3"/>
  <c r="F6" i="3"/>
  <c r="D6" i="9"/>
  <c r="N27" i="5"/>
  <c r="N17" i="5"/>
  <c r="N16" i="5"/>
  <c r="N18" i="5" s="1"/>
  <c r="N25" i="5"/>
  <c r="AI27" i="5"/>
  <c r="AI17" i="5"/>
  <c r="AI16" i="5"/>
  <c r="AI25" i="5"/>
  <c r="T38" i="6"/>
  <c r="S37" i="6"/>
  <c r="Q35" i="6"/>
  <c r="R36" i="6"/>
  <c r="Z24" i="6"/>
  <c r="Z48" i="6" s="1"/>
  <c r="Z21" i="6"/>
  <c r="Y45" i="6" s="1"/>
  <c r="Z23" i="6"/>
  <c r="Y47" i="6" s="1"/>
  <c r="Z22" i="6"/>
  <c r="Y46" i="6" s="1"/>
  <c r="H6" i="8"/>
  <c r="I5" i="8"/>
  <c r="K23" i="6"/>
  <c r="J47" i="6" s="1"/>
  <c r="K15" i="6"/>
  <c r="K21" i="6"/>
  <c r="J45" i="6" s="1"/>
  <c r="K22" i="6"/>
  <c r="J46" i="6" s="1"/>
  <c r="K24" i="6"/>
  <c r="K48" i="6" s="1"/>
  <c r="AL27" i="5"/>
  <c r="AL17" i="5"/>
  <c r="AL16" i="5"/>
  <c r="AL18" i="5" s="1"/>
  <c r="AL25" i="5"/>
  <c r="Y52" i="3"/>
  <c r="Y9" i="6" s="1"/>
  <c r="V27" i="5"/>
  <c r="V17" i="5"/>
  <c r="V16" i="5"/>
  <c r="V18" i="5" s="1"/>
  <c r="V25" i="5"/>
  <c r="E38" i="6"/>
  <c r="D37" i="6"/>
  <c r="G25" i="5"/>
  <c r="G17" i="5"/>
  <c r="G16" i="5"/>
  <c r="G18" i="5" s="1"/>
  <c r="G27" i="5"/>
  <c r="E6" i="6"/>
  <c r="E6" i="5"/>
  <c r="E6" i="7"/>
  <c r="E6" i="4"/>
  <c r="E11" i="4" s="1"/>
  <c r="AJ27" i="5"/>
  <c r="AJ25" i="5"/>
  <c r="AJ17" i="5"/>
  <c r="AJ16" i="5"/>
  <c r="I27" i="5"/>
  <c r="I17" i="5"/>
  <c r="I16" i="5"/>
  <c r="I18" i="5" s="1"/>
  <c r="I25" i="5"/>
  <c r="H52" i="3"/>
  <c r="H9" i="6" s="1"/>
  <c r="D18" i="8"/>
  <c r="D17" i="8"/>
  <c r="D16" i="8"/>
  <c r="T14" i="6"/>
  <c r="T16" i="6"/>
  <c r="AE17" i="5"/>
  <c r="AE16" i="5"/>
  <c r="AE25" i="5"/>
  <c r="AE27" i="5"/>
  <c r="E21" i="4"/>
  <c r="E20" i="4"/>
  <c r="E18" i="5"/>
  <c r="Z8" i="6"/>
  <c r="Z55" i="3"/>
  <c r="Z11" i="6" s="1"/>
  <c r="Z20" i="6" s="1"/>
  <c r="Z44" i="6" s="1"/>
  <c r="AH31" i="6"/>
  <c r="AF30" i="6"/>
  <c r="S31" i="6"/>
  <c r="Q30" i="6"/>
  <c r="M22" i="6" l="1"/>
  <c r="L46" i="6" s="1"/>
  <c r="M24" i="6"/>
  <c r="M48" i="6" s="1"/>
  <c r="AD18" i="6"/>
  <c r="AD42" i="6" s="1"/>
  <c r="AD26" i="6"/>
  <c r="AC50" i="6" s="1"/>
  <c r="I21" i="6"/>
  <c r="H45" i="6" s="1"/>
  <c r="AJ24" i="6"/>
  <c r="AJ48" i="6" s="1"/>
  <c r="I22" i="6"/>
  <c r="H46" i="6" s="1"/>
  <c r="AJ21" i="6"/>
  <c r="AI45" i="6" s="1"/>
  <c r="AJ22" i="6"/>
  <c r="AI46" i="6" s="1"/>
  <c r="AJ23" i="6"/>
  <c r="AI47" i="6" s="1"/>
  <c r="S23" i="6"/>
  <c r="R47" i="6" s="1"/>
  <c r="AL22" i="6"/>
  <c r="AK46" i="6" s="1"/>
  <c r="S21" i="6"/>
  <c r="R45" i="6" s="1"/>
  <c r="S24" i="6"/>
  <c r="S48" i="6" s="1"/>
  <c r="I24" i="6"/>
  <c r="I48" i="6" s="1"/>
  <c r="J21" i="6"/>
  <c r="I45" i="6" s="1"/>
  <c r="S15" i="6"/>
  <c r="S18" i="6" s="1"/>
  <c r="S42" i="6" s="1"/>
  <c r="I15" i="6"/>
  <c r="I18" i="6" s="1"/>
  <c r="I42" i="6" s="1"/>
  <c r="E16" i="8"/>
  <c r="J23" i="6"/>
  <c r="I47" i="6" s="1"/>
  <c r="O23" i="6"/>
  <c r="N47" i="6" s="1"/>
  <c r="O15" i="6"/>
  <c r="O34" i="6" s="1"/>
  <c r="O22" i="6"/>
  <c r="N46" i="6" s="1"/>
  <c r="O21" i="6"/>
  <c r="N45" i="6" s="1"/>
  <c r="M15" i="6"/>
  <c r="K32" i="6" s="1"/>
  <c r="E13" i="8"/>
  <c r="F9" i="8" s="1"/>
  <c r="F10" i="8" s="1"/>
  <c r="F12" i="8" s="1"/>
  <c r="J18" i="6"/>
  <c r="J42" i="6" s="1"/>
  <c r="E15" i="8"/>
  <c r="S26" i="6"/>
  <c r="R50" i="6" s="1"/>
  <c r="AA21" i="6"/>
  <c r="Z45" i="6" s="1"/>
  <c r="N24" i="6"/>
  <c r="N48" i="6" s="1"/>
  <c r="N21" i="6"/>
  <c r="M45" i="6" s="1"/>
  <c r="N22" i="6"/>
  <c r="M46" i="6" s="1"/>
  <c r="N23" i="6"/>
  <c r="M47" i="6" s="1"/>
  <c r="N15" i="6"/>
  <c r="Y18" i="5"/>
  <c r="M18" i="5"/>
  <c r="D22" i="5"/>
  <c r="E56" i="3"/>
  <c r="AK18" i="5"/>
  <c r="AM24" i="6"/>
  <c r="AM48" i="6" s="1"/>
  <c r="AM23" i="6"/>
  <c r="AL47" i="6" s="1"/>
  <c r="AM22" i="6"/>
  <c r="AL46" i="6" s="1"/>
  <c r="AM15" i="6"/>
  <c r="AM21" i="6"/>
  <c r="AL45" i="6" s="1"/>
  <c r="X23" i="6"/>
  <c r="W47" i="6" s="1"/>
  <c r="X15" i="6"/>
  <c r="X24" i="6"/>
  <c r="X48" i="6" s="1"/>
  <c r="X21" i="6"/>
  <c r="W45" i="6" s="1"/>
  <c r="X22" i="6"/>
  <c r="W46" i="6" s="1"/>
  <c r="Z33" i="6"/>
  <c r="AA34" i="6"/>
  <c r="Y32" i="6"/>
  <c r="AA25" i="6"/>
  <c r="Z49" i="6" s="1"/>
  <c r="AA26" i="6"/>
  <c r="Z50" i="6" s="1"/>
  <c r="AA18" i="6"/>
  <c r="AA42" i="6" s="1"/>
  <c r="E33" i="6"/>
  <c r="F34" i="6"/>
  <c r="D32" i="6"/>
  <c r="R21" i="5"/>
  <c r="R20" i="5"/>
  <c r="R19" i="5"/>
  <c r="G22" i="6"/>
  <c r="F46" i="6" s="1"/>
  <c r="G23" i="6"/>
  <c r="F47" i="6" s="1"/>
  <c r="G15" i="6"/>
  <c r="G24" i="6"/>
  <c r="G48" i="6" s="1"/>
  <c r="G21" i="6"/>
  <c r="F45" i="6" s="1"/>
  <c r="AB24" i="6"/>
  <c r="AB48" i="6" s="1"/>
  <c r="AB21" i="6"/>
  <c r="AA45" i="6" s="1"/>
  <c r="AB22" i="6"/>
  <c r="AA46" i="6" s="1"/>
  <c r="AB15" i="6"/>
  <c r="AB23" i="6"/>
  <c r="AA47" i="6" s="1"/>
  <c r="J21" i="5"/>
  <c r="J19" i="5"/>
  <c r="J20" i="5" s="1"/>
  <c r="R22" i="6"/>
  <c r="Q46" i="6" s="1"/>
  <c r="R23" i="6"/>
  <c r="Q47" i="6" s="1"/>
  <c r="R15" i="6"/>
  <c r="R24" i="6"/>
  <c r="R48" i="6" s="1"/>
  <c r="R21" i="6"/>
  <c r="Q45" i="6" s="1"/>
  <c r="H33" i="6"/>
  <c r="G32" i="6"/>
  <c r="J34" i="6"/>
  <c r="I33" i="6"/>
  <c r="H32" i="6"/>
  <c r="U38" i="6"/>
  <c r="T37" i="6"/>
  <c r="S36" i="6"/>
  <c r="R35" i="6"/>
  <c r="T31" i="6"/>
  <c r="T26" i="6"/>
  <c r="S50" i="6" s="1"/>
  <c r="T25" i="6"/>
  <c r="S49" i="6" s="1"/>
  <c r="R30" i="6"/>
  <c r="T18" i="6"/>
  <c r="T42" i="6" s="1"/>
  <c r="U18" i="5"/>
  <c r="AJ16" i="6"/>
  <c r="AJ14" i="6"/>
  <c r="E9" i="5"/>
  <c r="E8" i="5"/>
  <c r="E11" i="5" s="1"/>
  <c r="Y21" i="6"/>
  <c r="X45" i="6" s="1"/>
  <c r="Y24" i="6"/>
  <c r="Y48" i="6" s="1"/>
  <c r="Y15" i="6"/>
  <c r="Y23" i="6"/>
  <c r="X47" i="6" s="1"/>
  <c r="Y22" i="6"/>
  <c r="X46" i="6" s="1"/>
  <c r="I6" i="8"/>
  <c r="J5" i="8"/>
  <c r="Z21" i="5"/>
  <c r="Z20" i="5"/>
  <c r="Z19" i="5"/>
  <c r="L18" i="5"/>
  <c r="AG18" i="5"/>
  <c r="AD21" i="5"/>
  <c r="AD19" i="5"/>
  <c r="AD20" i="5" s="1"/>
  <c r="R33" i="6"/>
  <c r="V24" i="6"/>
  <c r="V48" i="6" s="1"/>
  <c r="V23" i="6"/>
  <c r="U47" i="6" s="1"/>
  <c r="V22" i="6"/>
  <c r="U46" i="6" s="1"/>
  <c r="V21" i="6"/>
  <c r="U45" i="6" s="1"/>
  <c r="V15" i="6"/>
  <c r="D21" i="4"/>
  <c r="D20" i="4"/>
  <c r="J33" i="6"/>
  <c r="I32" i="6"/>
  <c r="K34" i="6"/>
  <c r="Y14" i="6"/>
  <c r="Y16" i="6"/>
  <c r="Z16" i="6"/>
  <c r="Z14" i="6"/>
  <c r="E21" i="5"/>
  <c r="E20" i="5"/>
  <c r="E19" i="5"/>
  <c r="H24" i="6"/>
  <c r="H48" i="6" s="1"/>
  <c r="H23" i="6"/>
  <c r="G47" i="6" s="1"/>
  <c r="H22" i="6"/>
  <c r="G46" i="6" s="1"/>
  <c r="H15" i="6"/>
  <c r="H21" i="6"/>
  <c r="G45" i="6" s="1"/>
  <c r="AI18" i="5"/>
  <c r="E18" i="8"/>
  <c r="E17" i="8"/>
  <c r="AK37" i="6"/>
  <c r="AI35" i="6"/>
  <c r="AL38" i="6"/>
  <c r="AJ36" i="6"/>
  <c r="AE22" i="6"/>
  <c r="AD46" i="6" s="1"/>
  <c r="AE23" i="6"/>
  <c r="AD47" i="6" s="1"/>
  <c r="AE15" i="6"/>
  <c r="AE18" i="6" s="1"/>
  <c r="AE42" i="6" s="1"/>
  <c r="AE24" i="6"/>
  <c r="AE48" i="6" s="1"/>
  <c r="AE21" i="6"/>
  <c r="AD45" i="6" s="1"/>
  <c r="J32" i="6"/>
  <c r="L34" i="6"/>
  <c r="K33" i="6"/>
  <c r="D34" i="6"/>
  <c r="D25" i="6"/>
  <c r="D18" i="6"/>
  <c r="D42" i="6" s="1"/>
  <c r="D26" i="6"/>
  <c r="K21" i="5"/>
  <c r="K20" i="5"/>
  <c r="K19" i="5"/>
  <c r="K16" i="6"/>
  <c r="K14" i="6"/>
  <c r="AC21" i="5"/>
  <c r="AC19" i="5"/>
  <c r="AC20" i="5" s="1"/>
  <c r="AI15" i="6"/>
  <c r="AI23" i="6"/>
  <c r="AH47" i="6" s="1"/>
  <c r="AI24" i="6"/>
  <c r="AI48" i="6" s="1"/>
  <c r="AI22" i="6"/>
  <c r="AH46" i="6" s="1"/>
  <c r="AI21" i="6"/>
  <c r="AH45" i="6" s="1"/>
  <c r="AH32" i="6"/>
  <c r="AJ34" i="6"/>
  <c r="AI33" i="6"/>
  <c r="G5" i="7"/>
  <c r="G5" i="5"/>
  <c r="G5" i="6"/>
  <c r="G5" i="4"/>
  <c r="H5" i="3"/>
  <c r="G6" i="3"/>
  <c r="S18" i="5"/>
  <c r="AK31" i="6"/>
  <c r="AI30" i="6"/>
  <c r="J25" i="6"/>
  <c r="I49" i="6" s="1"/>
  <c r="F26" i="6"/>
  <c r="E50" i="6" s="1"/>
  <c r="AE31" i="6"/>
  <c r="AC30" i="6"/>
  <c r="AC33" i="6"/>
  <c r="AD34" i="6"/>
  <c r="AB32" i="6"/>
  <c r="AL21" i="5"/>
  <c r="AL19" i="5"/>
  <c r="AL20" i="5" s="1"/>
  <c r="D21" i="5"/>
  <c r="D19" i="5"/>
  <c r="D20" i="5" s="1"/>
  <c r="D28" i="5" s="1"/>
  <c r="AF38" i="6"/>
  <c r="AE37" i="6"/>
  <c r="AC35" i="6"/>
  <c r="AD36" i="6"/>
  <c r="H20" i="5"/>
  <c r="H19" i="5"/>
  <c r="H21" i="5"/>
  <c r="U31" i="6"/>
  <c r="S30" i="6"/>
  <c r="AH24" i="6"/>
  <c r="AH48" i="6" s="1"/>
  <c r="AH23" i="6"/>
  <c r="AG47" i="6" s="1"/>
  <c r="AH22" i="6"/>
  <c r="AG46" i="6" s="1"/>
  <c r="AH21" i="6"/>
  <c r="AG45" i="6" s="1"/>
  <c r="AH15" i="6"/>
  <c r="V21" i="5"/>
  <c r="V19" i="5"/>
  <c r="V20" i="5" s="1"/>
  <c r="T34" i="6"/>
  <c r="S33" i="6"/>
  <c r="R32" i="6"/>
  <c r="AJ32" i="6"/>
  <c r="AK33" i="6"/>
  <c r="AL34" i="6"/>
  <c r="AH21" i="5"/>
  <c r="AH20" i="5"/>
  <c r="AH19" i="5"/>
  <c r="G21" i="5"/>
  <c r="G19" i="5"/>
  <c r="G20" i="5" s="1"/>
  <c r="AF18" i="5"/>
  <c r="X21" i="5"/>
  <c r="X20" i="5"/>
  <c r="X19" i="5"/>
  <c r="AG24" i="6"/>
  <c r="AG48" i="6" s="1"/>
  <c r="AG22" i="6"/>
  <c r="AF46" i="6" s="1"/>
  <c r="AG23" i="6"/>
  <c r="AF47" i="6" s="1"/>
  <c r="AG15" i="6"/>
  <c r="AG21" i="6"/>
  <c r="AF45" i="6" s="1"/>
  <c r="W21" i="5"/>
  <c r="W19" i="5"/>
  <c r="W20" i="5" s="1"/>
  <c r="AF31" i="6"/>
  <c r="AD30" i="6"/>
  <c r="I8" i="4"/>
  <c r="H9" i="4"/>
  <c r="Q34" i="6"/>
  <c r="O32" i="6"/>
  <c r="P33" i="6"/>
  <c r="Q26" i="6"/>
  <c r="P50" i="6" s="1"/>
  <c r="Q25" i="6"/>
  <c r="P49" i="6" s="1"/>
  <c r="Q18" i="6"/>
  <c r="Q42" i="6" s="1"/>
  <c r="V38" i="6"/>
  <c r="U37" i="6"/>
  <c r="T36" i="6"/>
  <c r="S35" i="6"/>
  <c r="AK23" i="6"/>
  <c r="AJ47" i="6" s="1"/>
  <c r="AK21" i="6"/>
  <c r="AJ45" i="6" s="1"/>
  <c r="AK22" i="6"/>
  <c r="AJ46" i="6" s="1"/>
  <c r="AK15" i="6"/>
  <c r="AK26" i="6" s="1"/>
  <c r="AJ50" i="6" s="1"/>
  <c r="AK24" i="6"/>
  <c r="AK48" i="6" s="1"/>
  <c r="M34" i="6"/>
  <c r="F6" i="7"/>
  <c r="F6" i="6"/>
  <c r="F6" i="5"/>
  <c r="F6" i="4"/>
  <c r="F11" i="4" s="1"/>
  <c r="F14" i="4" s="1"/>
  <c r="F16" i="4" s="1"/>
  <c r="M16" i="6"/>
  <c r="M14" i="6"/>
  <c r="I21" i="5"/>
  <c r="I19" i="5"/>
  <c r="I20" i="5" s="1"/>
  <c r="N16" i="6"/>
  <c r="N14" i="6"/>
  <c r="AF24" i="6"/>
  <c r="AF48" i="6" s="1"/>
  <c r="AF22" i="6"/>
  <c r="AE46" i="6" s="1"/>
  <c r="AF21" i="6"/>
  <c r="AE45" i="6" s="1"/>
  <c r="AF23" i="6"/>
  <c r="AE47" i="6" s="1"/>
  <c r="AF15" i="6"/>
  <c r="AF26" i="6" s="1"/>
  <c r="AE50" i="6" s="1"/>
  <c r="N21" i="5"/>
  <c r="N20" i="5"/>
  <c r="N19" i="5"/>
  <c r="AI16" i="6"/>
  <c r="AI14" i="6"/>
  <c r="AL14" i="6"/>
  <c r="AL16" i="6"/>
  <c r="H31" i="6"/>
  <c r="F30" i="6"/>
  <c r="T18" i="5"/>
  <c r="X16" i="6"/>
  <c r="X14" i="6"/>
  <c r="AG38" i="6"/>
  <c r="AF37" i="6"/>
  <c r="AE36" i="6"/>
  <c r="AD35" i="6"/>
  <c r="U23" i="6"/>
  <c r="T47" i="6" s="1"/>
  <c r="U15" i="6"/>
  <c r="U26" i="6" s="1"/>
  <c r="T50" i="6" s="1"/>
  <c r="U22" i="6"/>
  <c r="T46" i="6" s="1"/>
  <c r="U24" i="6"/>
  <c r="U48" i="6" s="1"/>
  <c r="U21" i="6"/>
  <c r="T45" i="6" s="1"/>
  <c r="E22" i="6"/>
  <c r="D46" i="6" s="1"/>
  <c r="E23" i="6"/>
  <c r="D47" i="6" s="1"/>
  <c r="E15" i="6"/>
  <c r="E21" i="6"/>
  <c r="D45" i="6" s="1"/>
  <c r="E24" i="6"/>
  <c r="E48" i="6" s="1"/>
  <c r="W16" i="6"/>
  <c r="W14" i="6"/>
  <c r="AE18" i="5"/>
  <c r="AJ18" i="5"/>
  <c r="X32" i="6"/>
  <c r="Y33" i="6"/>
  <c r="Z34" i="6"/>
  <c r="AC24" i="6"/>
  <c r="AC48" i="6" s="1"/>
  <c r="AC21" i="6"/>
  <c r="AB45" i="6" s="1"/>
  <c r="AC23" i="6"/>
  <c r="AB47" i="6" s="1"/>
  <c r="AC22" i="6"/>
  <c r="AB46" i="6" s="1"/>
  <c r="AC15" i="6"/>
  <c r="I38" i="6"/>
  <c r="H37" i="6"/>
  <c r="G36" i="6"/>
  <c r="F35" i="6"/>
  <c r="F18" i="5"/>
  <c r="N32" i="6"/>
  <c r="O33" i="6"/>
  <c r="P34" i="6"/>
  <c r="P25" i="6"/>
  <c r="O49" i="6" s="1"/>
  <c r="P18" i="6"/>
  <c r="P42" i="6" s="1"/>
  <c r="P26" i="6"/>
  <c r="O50" i="6" s="1"/>
  <c r="L16" i="6"/>
  <c r="L14" i="6"/>
  <c r="W23" i="6"/>
  <c r="V47" i="6" s="1"/>
  <c r="W15" i="6"/>
  <c r="W24" i="6"/>
  <c r="W48" i="6" s="1"/>
  <c r="W22" i="6"/>
  <c r="V46" i="6" s="1"/>
  <c r="W21" i="6"/>
  <c r="V45" i="6" s="1"/>
  <c r="Q32" i="6" l="1"/>
  <c r="S34" i="6"/>
  <c r="S25" i="6"/>
  <c r="R49" i="6" s="1"/>
  <c r="N33" i="6"/>
  <c r="M32" i="6"/>
  <c r="F16" i="8"/>
  <c r="F15" i="8"/>
  <c r="I34" i="6"/>
  <c r="AK18" i="6"/>
  <c r="AK42" i="6" s="1"/>
  <c r="O25" i="6"/>
  <c r="N49" i="6" s="1"/>
  <c r="I25" i="6"/>
  <c r="H49" i="6" s="1"/>
  <c r="U18" i="6"/>
  <c r="U42" i="6" s="1"/>
  <c r="L33" i="6"/>
  <c r="O26" i="6"/>
  <c r="N50" i="6" s="1"/>
  <c r="I26" i="6"/>
  <c r="H50" i="6" s="1"/>
  <c r="O18" i="6"/>
  <c r="O42" i="6" s="1"/>
  <c r="AF25" i="6"/>
  <c r="AE49" i="6" s="1"/>
  <c r="U25" i="6"/>
  <c r="T49" i="6" s="1"/>
  <c r="J30" i="6"/>
  <c r="L18" i="6"/>
  <c r="L42" i="6" s="1"/>
  <c r="L31" i="6"/>
  <c r="L26" i="6"/>
  <c r="K50" i="6" s="1"/>
  <c r="L25" i="6"/>
  <c r="K49" i="6" s="1"/>
  <c r="U30" i="6"/>
  <c r="W26" i="6"/>
  <c r="V50" i="6" s="1"/>
  <c r="W18" i="6"/>
  <c r="W42" i="6" s="1"/>
  <c r="W25" i="6"/>
  <c r="V49" i="6" s="1"/>
  <c r="W31" i="6"/>
  <c r="I30" i="6"/>
  <c r="K25" i="6"/>
  <c r="J49" i="6" s="1"/>
  <c r="K18" i="6"/>
  <c r="K42" i="6" s="1"/>
  <c r="K31" i="6"/>
  <c r="K26" i="6"/>
  <c r="J50" i="6" s="1"/>
  <c r="X36" i="6"/>
  <c r="Y37" i="6"/>
  <c r="W35" i="6"/>
  <c r="Z38" i="6"/>
  <c r="AH35" i="6"/>
  <c r="AJ37" i="6"/>
  <c r="AK38" i="6"/>
  <c r="AI36" i="6"/>
  <c r="AI21" i="5"/>
  <c r="AI19" i="5"/>
  <c r="AI20" i="5" s="1"/>
  <c r="AL31" i="6"/>
  <c r="AL26" i="6"/>
  <c r="AK50" i="6" s="1"/>
  <c r="AJ30" i="6"/>
  <c r="AL25" i="6"/>
  <c r="AK49" i="6" s="1"/>
  <c r="AL18" i="6"/>
  <c r="AL42" i="6" s="1"/>
  <c r="N31" i="6"/>
  <c r="L30" i="6"/>
  <c r="N26" i="6"/>
  <c r="M50" i="6" s="1"/>
  <c r="N25" i="6"/>
  <c r="M49" i="6" s="1"/>
  <c r="N18" i="6"/>
  <c r="N42" i="6" s="1"/>
  <c r="K5" i="8"/>
  <c r="J6" i="8"/>
  <c r="E22" i="5"/>
  <c r="F56" i="3"/>
  <c r="V36" i="6"/>
  <c r="U35" i="6"/>
  <c r="X38" i="6"/>
  <c r="W37" i="6"/>
  <c r="AH34" i="6"/>
  <c r="AG33" i="6"/>
  <c r="AF32" i="6"/>
  <c r="AH18" i="6"/>
  <c r="AH42" i="6" s="1"/>
  <c r="AH26" i="6"/>
  <c r="AG50" i="6" s="1"/>
  <c r="AH25" i="6"/>
  <c r="AG49" i="6" s="1"/>
  <c r="J36" i="6"/>
  <c r="I35" i="6"/>
  <c r="K37" i="6"/>
  <c r="L38" i="6"/>
  <c r="AG30" i="6"/>
  <c r="AI18" i="6"/>
  <c r="AI42" i="6" s="1"/>
  <c r="AI31" i="6"/>
  <c r="AI26" i="6"/>
  <c r="AH50" i="6" s="1"/>
  <c r="AI25" i="6"/>
  <c r="AH49" i="6" s="1"/>
  <c r="AE25" i="6"/>
  <c r="AD49" i="6" s="1"/>
  <c r="S21" i="5"/>
  <c r="S20" i="5"/>
  <c r="S19" i="5"/>
  <c r="V32" i="6"/>
  <c r="W33" i="6"/>
  <c r="X34" i="6"/>
  <c r="M21" i="5"/>
  <c r="M20" i="5"/>
  <c r="M19" i="5"/>
  <c r="AC34" i="6"/>
  <c r="AB33" i="6"/>
  <c r="AA32" i="6"/>
  <c r="AC25" i="6"/>
  <c r="AB49" i="6" s="1"/>
  <c r="AC18" i="6"/>
  <c r="AC42" i="6" s="1"/>
  <c r="AC26" i="6"/>
  <c r="AB50" i="6" s="1"/>
  <c r="E34" i="6"/>
  <c r="D33" i="6"/>
  <c r="E26" i="6"/>
  <c r="D50" i="6" s="1"/>
  <c r="E25" i="6"/>
  <c r="D49" i="6" s="1"/>
  <c r="E18" i="6"/>
  <c r="E42" i="6" s="1"/>
  <c r="V30" i="6"/>
  <c r="X18" i="6"/>
  <c r="X42" i="6" s="1"/>
  <c r="X25" i="6"/>
  <c r="W49" i="6" s="1"/>
  <c r="X26" i="6"/>
  <c r="W50" i="6" s="1"/>
  <c r="X31" i="6"/>
  <c r="AI32" i="6"/>
  <c r="AJ33" i="6"/>
  <c r="AK34" i="6"/>
  <c r="AE26" i="6"/>
  <c r="AD50" i="6" s="1"/>
  <c r="Y21" i="5"/>
  <c r="Y19" i="5"/>
  <c r="Y20" i="5" s="1"/>
  <c r="D29" i="5"/>
  <c r="W32" i="6"/>
  <c r="X33" i="6"/>
  <c r="Y34" i="6"/>
  <c r="J35" i="6"/>
  <c r="L37" i="6"/>
  <c r="M38" i="6"/>
  <c r="K36" i="6"/>
  <c r="AF21" i="5"/>
  <c r="AF19" i="5"/>
  <c r="AF20" i="5" s="1"/>
  <c r="H34" i="6"/>
  <c r="G33" i="6"/>
  <c r="F32" i="6"/>
  <c r="AH36" i="6"/>
  <c r="AG35" i="6"/>
  <c r="AI37" i="6"/>
  <c r="AJ38" i="6"/>
  <c r="AG34" i="6"/>
  <c r="AF33" i="6"/>
  <c r="AE32" i="6"/>
  <c r="AG18" i="6"/>
  <c r="AG42" i="6" s="1"/>
  <c r="AG26" i="6"/>
  <c r="AF50" i="6" s="1"/>
  <c r="AG25" i="6"/>
  <c r="AF49" i="6" s="1"/>
  <c r="S52" i="6"/>
  <c r="G6" i="7"/>
  <c r="G6" i="5"/>
  <c r="G6" i="6"/>
  <c r="G6" i="4"/>
  <c r="G11" i="4" s="1"/>
  <c r="G14" i="4" s="1"/>
  <c r="G16" i="4" s="1"/>
  <c r="G17" i="4" s="1"/>
  <c r="D30" i="5"/>
  <c r="AG21" i="5"/>
  <c r="AG19" i="5"/>
  <c r="AG20" i="5" s="1"/>
  <c r="Q33" i="6"/>
  <c r="P32" i="6"/>
  <c r="P52" i="6" s="1"/>
  <c r="R34" i="6"/>
  <c r="R26" i="6"/>
  <c r="Q50" i="6" s="1"/>
  <c r="R25" i="6"/>
  <c r="Q49" i="6" s="1"/>
  <c r="R18" i="6"/>
  <c r="R42" i="6" s="1"/>
  <c r="AK32" i="6"/>
  <c r="AL33" i="6"/>
  <c r="AM34" i="6"/>
  <c r="AM25" i="6"/>
  <c r="AL49" i="6" s="1"/>
  <c r="AM18" i="6"/>
  <c r="AM42" i="6" s="1"/>
  <c r="AM26" i="6"/>
  <c r="AL50" i="6" s="1"/>
  <c r="N34" i="6"/>
  <c r="L32" i="6"/>
  <c r="M33" i="6"/>
  <c r="H5" i="7"/>
  <c r="H5" i="6"/>
  <c r="H5" i="4"/>
  <c r="H5" i="5"/>
  <c r="H6" i="3"/>
  <c r="I5" i="3"/>
  <c r="AH33" i="6"/>
  <c r="AG32" i="6"/>
  <c r="AI34" i="6"/>
  <c r="V34" i="6"/>
  <c r="U33" i="6"/>
  <c r="T32" i="6"/>
  <c r="V25" i="6"/>
  <c r="U49" i="6" s="1"/>
  <c r="V26" i="6"/>
  <c r="U50" i="6" s="1"/>
  <c r="V18" i="6"/>
  <c r="V42" i="6" s="1"/>
  <c r="L21" i="5"/>
  <c r="L20" i="5"/>
  <c r="L19" i="5"/>
  <c r="AJ35" i="6"/>
  <c r="AM38" i="6"/>
  <c r="AK36" i="6"/>
  <c r="AL37" i="6"/>
  <c r="AA33" i="6"/>
  <c r="AB34" i="6"/>
  <c r="Z32" i="6"/>
  <c r="AB25" i="6"/>
  <c r="AA49" i="6" s="1"/>
  <c r="AB18" i="6"/>
  <c r="AB42" i="6" s="1"/>
  <c r="AB26" i="6"/>
  <c r="AA50" i="6" s="1"/>
  <c r="M31" i="6"/>
  <c r="K30" i="6"/>
  <c r="M26" i="6"/>
  <c r="L50" i="6" s="1"/>
  <c r="M25" i="6"/>
  <c r="L49" i="6" s="1"/>
  <c r="M18" i="6"/>
  <c r="M42" i="6" s="1"/>
  <c r="AF34" i="6"/>
  <c r="AE33" i="6"/>
  <c r="AD32" i="6"/>
  <c r="F17" i="4"/>
  <c r="F18" i="8"/>
  <c r="F17" i="8"/>
  <c r="E28" i="5"/>
  <c r="G34" i="6"/>
  <c r="E32" i="6"/>
  <c r="F33" i="6"/>
  <c r="G18" i="6"/>
  <c r="G42" i="6" s="1"/>
  <c r="G25" i="6"/>
  <c r="F49" i="6" s="1"/>
  <c r="G26" i="6"/>
  <c r="F50" i="6" s="1"/>
  <c r="U20" i="5"/>
  <c r="U21" i="5"/>
  <c r="U19" i="5"/>
  <c r="AE34" i="6"/>
  <c r="AC32" i="6"/>
  <c r="AD33" i="6"/>
  <c r="V35" i="6"/>
  <c r="W36" i="6"/>
  <c r="Y38" i="6"/>
  <c r="X37" i="6"/>
  <c r="T20" i="5"/>
  <c r="T21" i="5"/>
  <c r="T19" i="5"/>
  <c r="F21" i="5"/>
  <c r="F19" i="5"/>
  <c r="F20" i="5" s="1"/>
  <c r="M37" i="6"/>
  <c r="N38" i="6"/>
  <c r="K35" i="6"/>
  <c r="L36" i="6"/>
  <c r="AJ21" i="5"/>
  <c r="AJ19" i="5"/>
  <c r="AJ20" i="5" s="1"/>
  <c r="H18" i="6"/>
  <c r="H42" i="6" s="1"/>
  <c r="I9" i="4"/>
  <c r="J8" i="4"/>
  <c r="V33" i="6"/>
  <c r="U32" i="6"/>
  <c r="W34" i="6"/>
  <c r="AE21" i="5"/>
  <c r="AE19" i="5"/>
  <c r="AE20" i="5" s="1"/>
  <c r="H25" i="6"/>
  <c r="G49" i="6" s="1"/>
  <c r="F8" i="5"/>
  <c r="F9" i="5"/>
  <c r="AF18" i="6"/>
  <c r="AF42" i="6" s="1"/>
  <c r="Z25" i="6"/>
  <c r="Y49" i="6" s="1"/>
  <c r="Z26" i="6"/>
  <c r="Y50" i="6" s="1"/>
  <c r="X30" i="6"/>
  <c r="Z31" i="6"/>
  <c r="Z18" i="6"/>
  <c r="Z42" i="6" s="1"/>
  <c r="F13" i="8"/>
  <c r="G9" i="8" s="1"/>
  <c r="Y25" i="6"/>
  <c r="X49" i="6" s="1"/>
  <c r="Y18" i="6"/>
  <c r="Y42" i="6" s="1"/>
  <c r="Y26" i="6"/>
  <c r="X50" i="6" s="1"/>
  <c r="W30" i="6"/>
  <c r="Y31" i="6"/>
  <c r="O38" i="6"/>
  <c r="O52" i="6" s="1"/>
  <c r="L35" i="6"/>
  <c r="M36" i="6"/>
  <c r="N37" i="6"/>
  <c r="U34" i="6"/>
  <c r="T33" i="6"/>
  <c r="S32" i="6"/>
  <c r="H26" i="6"/>
  <c r="G50" i="6" s="1"/>
  <c r="AK25" i="6"/>
  <c r="AJ49" i="6" s="1"/>
  <c r="Y36" i="6"/>
  <c r="Z37" i="6"/>
  <c r="X35" i="6"/>
  <c r="AA38" i="6"/>
  <c r="AH30" i="6"/>
  <c r="AJ18" i="6"/>
  <c r="AJ42" i="6" s="1"/>
  <c r="AJ31" i="6"/>
  <c r="AJ26" i="6"/>
  <c r="AI50" i="6" s="1"/>
  <c r="AJ25" i="6"/>
  <c r="AI49" i="6" s="1"/>
  <c r="AK21" i="5"/>
  <c r="AK19" i="5"/>
  <c r="AK20" i="5" s="1"/>
  <c r="AB52" i="6" l="1"/>
  <c r="AF52" i="6"/>
  <c r="W52" i="6"/>
  <c r="H52" i="6"/>
  <c r="R52" i="6"/>
  <c r="AK52" i="6"/>
  <c r="AJ52" i="6"/>
  <c r="T52" i="6"/>
  <c r="F52" i="6"/>
  <c r="AE52" i="6"/>
  <c r="AD52" i="6"/>
  <c r="AC52" i="6"/>
  <c r="AI52" i="6"/>
  <c r="U52" i="6"/>
  <c r="E52" i="6"/>
  <c r="E9" i="7" s="1"/>
  <c r="F22" i="5"/>
  <c r="G56" i="3"/>
  <c r="F11" i="5"/>
  <c r="F28" i="5" s="1"/>
  <c r="G8" i="5"/>
  <c r="G11" i="5" s="1"/>
  <c r="G9" i="5"/>
  <c r="AA52" i="6"/>
  <c r="Y52" i="6"/>
  <c r="G52" i="6"/>
  <c r="K6" i="8"/>
  <c r="L5" i="8"/>
  <c r="K52" i="6"/>
  <c r="J52" i="6"/>
  <c r="G10" i="8"/>
  <c r="G13" i="8" s="1"/>
  <c r="H9" i="8" s="1"/>
  <c r="E30" i="5"/>
  <c r="E29" i="5"/>
  <c r="M52" i="6"/>
  <c r="I5" i="7"/>
  <c r="I5" i="6"/>
  <c r="I5" i="4"/>
  <c r="I5" i="5"/>
  <c r="I6" i="3"/>
  <c r="J5" i="3"/>
  <c r="V52" i="6"/>
  <c r="I52" i="6"/>
  <c r="H6" i="7"/>
  <c r="H6" i="6"/>
  <c r="H6" i="5"/>
  <c r="H6" i="4"/>
  <c r="H11" i="4" s="1"/>
  <c r="H14" i="4" s="1"/>
  <c r="H16" i="4" s="1"/>
  <c r="AM52" i="6"/>
  <c r="L52" i="6"/>
  <c r="AL52" i="6"/>
  <c r="Z52" i="6"/>
  <c r="G21" i="4"/>
  <c r="G20" i="4"/>
  <c r="AG52" i="6"/>
  <c r="N52" i="6"/>
  <c r="Q52" i="6"/>
  <c r="X52" i="6"/>
  <c r="AH52" i="6"/>
  <c r="K8" i="4"/>
  <c r="J9" i="4"/>
  <c r="F21" i="4"/>
  <c r="F20" i="4"/>
  <c r="D52" i="6"/>
  <c r="E17" i="9" l="1"/>
  <c r="D23" i="1" s="1"/>
  <c r="D17" i="9"/>
  <c r="C23" i="1" s="1"/>
  <c r="F30" i="5"/>
  <c r="L6" i="8"/>
  <c r="M5" i="8"/>
  <c r="H8" i="5"/>
  <c r="H11" i="5" s="1"/>
  <c r="H9" i="5"/>
  <c r="H17" i="4"/>
  <c r="G28" i="5"/>
  <c r="G29" i="5" s="1"/>
  <c r="L8" i="4"/>
  <c r="K9" i="4"/>
  <c r="G12" i="8"/>
  <c r="G15" i="8"/>
  <c r="G22" i="5"/>
  <c r="H56" i="3"/>
  <c r="J5" i="7"/>
  <c r="J5" i="6"/>
  <c r="J5" i="5"/>
  <c r="J5" i="4"/>
  <c r="J6" i="3"/>
  <c r="K5" i="3"/>
  <c r="H10" i="8"/>
  <c r="H12" i="8" s="1"/>
  <c r="D53" i="6"/>
  <c r="E53" i="6" s="1"/>
  <c r="F53" i="6" s="1"/>
  <c r="G53" i="6" s="1"/>
  <c r="H53" i="6" s="1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AL53" i="6" s="1"/>
  <c r="AM53" i="6" s="1"/>
  <c r="C17" i="9"/>
  <c r="D9" i="7"/>
  <c r="F9" i="7"/>
  <c r="F29" i="5"/>
  <c r="I6" i="7"/>
  <c r="I6" i="6"/>
  <c r="I6" i="5"/>
  <c r="I6" i="4"/>
  <c r="I11" i="4" s="1"/>
  <c r="H15" i="8" l="1"/>
  <c r="I8" i="5"/>
  <c r="I9" i="5"/>
  <c r="D12" i="1"/>
  <c r="B23" i="1"/>
  <c r="E23" i="1" s="1"/>
  <c r="N5" i="8"/>
  <c r="M6" i="8"/>
  <c r="H21" i="4"/>
  <c r="H20" i="4"/>
  <c r="M8" i="4"/>
  <c r="L9" i="4"/>
  <c r="H18" i="8"/>
  <c r="H17" i="8"/>
  <c r="G18" i="8"/>
  <c r="G17" i="8"/>
  <c r="G16" i="8"/>
  <c r="H16" i="8" s="1"/>
  <c r="J6" i="7"/>
  <c r="J6" i="6"/>
  <c r="J6" i="5"/>
  <c r="J6" i="4"/>
  <c r="J11" i="4" s="1"/>
  <c r="G30" i="5"/>
  <c r="H13" i="8"/>
  <c r="I9" i="8" s="1"/>
  <c r="D16" i="7"/>
  <c r="D10" i="7"/>
  <c r="D11" i="7" s="1"/>
  <c r="H22" i="5"/>
  <c r="H28" i="5" s="1"/>
  <c r="I56" i="3"/>
  <c r="I14" i="4"/>
  <c r="I15" i="4"/>
  <c r="K5" i="7"/>
  <c r="K5" i="6"/>
  <c r="L5" i="3"/>
  <c r="K5" i="4"/>
  <c r="K6" i="3"/>
  <c r="K5" i="5"/>
  <c r="G9" i="7"/>
  <c r="O5" i="8" l="1"/>
  <c r="N6" i="8"/>
  <c r="I10" i="8"/>
  <c r="J8" i="5"/>
  <c r="J11" i="5" s="1"/>
  <c r="J9" i="5"/>
  <c r="N8" i="4"/>
  <c r="M9" i="4"/>
  <c r="H9" i="7"/>
  <c r="H29" i="5"/>
  <c r="D18" i="7"/>
  <c r="D14" i="7"/>
  <c r="D15" i="7" s="1"/>
  <c r="D17" i="7"/>
  <c r="E16" i="7"/>
  <c r="I16" i="4"/>
  <c r="I22" i="5"/>
  <c r="J56" i="3"/>
  <c r="K6" i="7"/>
  <c r="K6" i="6"/>
  <c r="K6" i="5"/>
  <c r="K6" i="4"/>
  <c r="K11" i="4" s="1"/>
  <c r="J15" i="4"/>
  <c r="J14" i="4"/>
  <c r="J16" i="4" s="1"/>
  <c r="J17" i="4" s="1"/>
  <c r="H30" i="5"/>
  <c r="I11" i="5"/>
  <c r="L5" i="7"/>
  <c r="L5" i="6"/>
  <c r="M5" i="3"/>
  <c r="L5" i="4"/>
  <c r="L6" i="3"/>
  <c r="L5" i="5"/>
  <c r="I28" i="5" l="1"/>
  <c r="I17" i="4"/>
  <c r="I12" i="8"/>
  <c r="I15" i="8"/>
  <c r="M5" i="7"/>
  <c r="M5" i="5"/>
  <c r="M5" i="6"/>
  <c r="N5" i="3"/>
  <c r="M5" i="4"/>
  <c r="M6" i="3"/>
  <c r="N9" i="4"/>
  <c r="O8" i="4"/>
  <c r="F16" i="7"/>
  <c r="E17" i="7"/>
  <c r="E8" i="7"/>
  <c r="I13" i="8"/>
  <c r="J9" i="8" s="1"/>
  <c r="J21" i="4"/>
  <c r="J20" i="4"/>
  <c r="P5" i="8"/>
  <c r="O6" i="8"/>
  <c r="J22" i="5"/>
  <c r="J28" i="5" s="1"/>
  <c r="K56" i="3"/>
  <c r="K15" i="4"/>
  <c r="K14" i="4"/>
  <c r="L6" i="7"/>
  <c r="L6" i="6"/>
  <c r="L6" i="4"/>
  <c r="L11" i="4" s="1"/>
  <c r="L6" i="5"/>
  <c r="K9" i="5"/>
  <c r="K8" i="5"/>
  <c r="K11" i="5" s="1"/>
  <c r="K16" i="4" l="1"/>
  <c r="K17" i="4" s="1"/>
  <c r="J30" i="5"/>
  <c r="I18" i="8"/>
  <c r="I17" i="8"/>
  <c r="I16" i="8"/>
  <c r="P6" i="8"/>
  <c r="Q5" i="8"/>
  <c r="J9" i="7"/>
  <c r="J29" i="5"/>
  <c r="N5" i="7"/>
  <c r="N5" i="5"/>
  <c r="N5" i="6"/>
  <c r="N5" i="4"/>
  <c r="N6" i="3"/>
  <c r="O5" i="3"/>
  <c r="L15" i="4"/>
  <c r="L14" i="4"/>
  <c r="K21" i="4"/>
  <c r="K20" i="4"/>
  <c r="F17" i="7"/>
  <c r="G16" i="7"/>
  <c r="I21" i="4"/>
  <c r="I20" i="4"/>
  <c r="J10" i="8"/>
  <c r="J12" i="8" s="1"/>
  <c r="E10" i="7"/>
  <c r="E11" i="7" s="1"/>
  <c r="K22" i="5"/>
  <c r="L56" i="3"/>
  <c r="O9" i="4"/>
  <c r="P8" i="4"/>
  <c r="K28" i="5"/>
  <c r="L9" i="5"/>
  <c r="L8" i="5"/>
  <c r="L11" i="5" s="1"/>
  <c r="M6" i="7"/>
  <c r="M6" i="5"/>
  <c r="M6" i="6"/>
  <c r="M6" i="4"/>
  <c r="M11" i="4" s="1"/>
  <c r="J16" i="8" l="1"/>
  <c r="I9" i="7"/>
  <c r="I29" i="5"/>
  <c r="K9" i="7"/>
  <c r="K29" i="5"/>
  <c r="K30" i="5"/>
  <c r="L22" i="5"/>
  <c r="L28" i="5" s="1"/>
  <c r="M56" i="3"/>
  <c r="I30" i="5"/>
  <c r="L16" i="4"/>
  <c r="L17" i="4" s="1"/>
  <c r="O5" i="7"/>
  <c r="O5" i="6"/>
  <c r="O5" i="5"/>
  <c r="P5" i="3"/>
  <c r="O6" i="3"/>
  <c r="O5" i="4"/>
  <c r="M14" i="4"/>
  <c r="M15" i="4"/>
  <c r="H16" i="7"/>
  <c r="G17" i="7"/>
  <c r="Q8" i="4"/>
  <c r="P9" i="4"/>
  <c r="R5" i="8"/>
  <c r="Q6" i="8"/>
  <c r="E14" i="7"/>
  <c r="E15" i="7" s="1"/>
  <c r="E18" i="7"/>
  <c r="N6" i="7"/>
  <c r="N6" i="5"/>
  <c r="N6" i="6"/>
  <c r="N6" i="4"/>
  <c r="N11" i="4" s="1"/>
  <c r="J18" i="8"/>
  <c r="J17" i="8"/>
  <c r="M8" i="5"/>
  <c r="M9" i="5"/>
  <c r="J13" i="8"/>
  <c r="K9" i="8" s="1"/>
  <c r="J15" i="8"/>
  <c r="M16" i="4" l="1"/>
  <c r="M17" i="4" s="1"/>
  <c r="N15" i="4"/>
  <c r="N14" i="4"/>
  <c r="N16" i="4" s="1"/>
  <c r="N17" i="4" s="1"/>
  <c r="H17" i="7"/>
  <c r="I16" i="7"/>
  <c r="O6" i="7"/>
  <c r="O6" i="6"/>
  <c r="O6" i="4"/>
  <c r="O11" i="4" s="1"/>
  <c r="O6" i="5"/>
  <c r="P5" i="7"/>
  <c r="P5" i="5"/>
  <c r="P5" i="6"/>
  <c r="Q5" i="3"/>
  <c r="P6" i="3"/>
  <c r="P5" i="4"/>
  <c r="N9" i="5"/>
  <c r="N8" i="5"/>
  <c r="N11" i="5" s="1"/>
  <c r="M22" i="5"/>
  <c r="N56" i="3"/>
  <c r="M21" i="4"/>
  <c r="M20" i="4"/>
  <c r="K10" i="8"/>
  <c r="K12" i="8" s="1"/>
  <c r="M11" i="5"/>
  <c r="F8" i="7"/>
  <c r="R6" i="8"/>
  <c r="S5" i="8"/>
  <c r="R8" i="4"/>
  <c r="Q9" i="4"/>
  <c r="L20" i="4"/>
  <c r="L21" i="4"/>
  <c r="O8" i="5" l="1"/>
  <c r="O9" i="5"/>
  <c r="L30" i="5"/>
  <c r="N22" i="5"/>
  <c r="O56" i="3"/>
  <c r="L9" i="7"/>
  <c r="L29" i="5"/>
  <c r="N28" i="5"/>
  <c r="I17" i="7"/>
  <c r="J16" i="7"/>
  <c r="K13" i="8"/>
  <c r="L9" i="8" s="1"/>
  <c r="S8" i="4"/>
  <c r="R9" i="4"/>
  <c r="N21" i="4"/>
  <c r="N20" i="4"/>
  <c r="K18" i="8"/>
  <c r="K17" i="8"/>
  <c r="K16" i="8"/>
  <c r="O14" i="4"/>
  <c r="O15" i="4"/>
  <c r="F10" i="7"/>
  <c r="F11" i="7" s="1"/>
  <c r="P6" i="7"/>
  <c r="P6" i="5"/>
  <c r="P6" i="6"/>
  <c r="P6" i="4"/>
  <c r="P11" i="4" s="1"/>
  <c r="K15" i="8"/>
  <c r="T5" i="8"/>
  <c r="S6" i="8"/>
  <c r="M28" i="5"/>
  <c r="M9" i="7" s="1"/>
  <c r="Q5" i="7"/>
  <c r="Q5" i="5"/>
  <c r="Q5" i="6"/>
  <c r="Q5" i="4"/>
  <c r="R5" i="3"/>
  <c r="Q6" i="3"/>
  <c r="O16" i="4" l="1"/>
  <c r="O17" i="4" s="1"/>
  <c r="C11" i="9"/>
  <c r="T6" i="8"/>
  <c r="U5" i="8"/>
  <c r="O22" i="5"/>
  <c r="P56" i="3"/>
  <c r="N30" i="5"/>
  <c r="Q6" i="7"/>
  <c r="Q6" i="5"/>
  <c r="Q6" i="6"/>
  <c r="Q6" i="4"/>
  <c r="Q11" i="4" s="1"/>
  <c r="O11" i="5"/>
  <c r="F14" i="7"/>
  <c r="F15" i="7" s="1"/>
  <c r="F18" i="7"/>
  <c r="K16" i="7"/>
  <c r="J17" i="7"/>
  <c r="M29" i="5"/>
  <c r="M30" i="5"/>
  <c r="N9" i="7"/>
  <c r="N29" i="5"/>
  <c r="P15" i="4"/>
  <c r="P14" i="4"/>
  <c r="R5" i="7"/>
  <c r="R5" i="5"/>
  <c r="R5" i="6"/>
  <c r="R5" i="4"/>
  <c r="S5" i="3"/>
  <c r="R6" i="3"/>
  <c r="P9" i="5"/>
  <c r="P8" i="5"/>
  <c r="P11" i="5" s="1"/>
  <c r="S9" i="4"/>
  <c r="T8" i="4"/>
  <c r="L10" i="8"/>
  <c r="L12" i="8" s="1"/>
  <c r="L16" i="8" s="1"/>
  <c r="P16" i="4" l="1"/>
  <c r="L15" i="8"/>
  <c r="R6" i="7"/>
  <c r="R6" i="5"/>
  <c r="R6" i="6"/>
  <c r="R6" i="4"/>
  <c r="R11" i="4" s="1"/>
  <c r="P22" i="5"/>
  <c r="P28" i="5" s="1"/>
  <c r="Q56" i="3"/>
  <c r="U8" i="4"/>
  <c r="T9" i="4"/>
  <c r="G8" i="7"/>
  <c r="Q8" i="5"/>
  <c r="Q9" i="5"/>
  <c r="L16" i="7"/>
  <c r="K17" i="7"/>
  <c r="O28" i="5"/>
  <c r="C14" i="9" s="1"/>
  <c r="B21" i="1" s="1"/>
  <c r="B19" i="1"/>
  <c r="S5" i="7"/>
  <c r="S5" i="5"/>
  <c r="S5" i="6"/>
  <c r="S5" i="4"/>
  <c r="T5" i="3"/>
  <c r="S6" i="3"/>
  <c r="U6" i="8"/>
  <c r="V5" i="8"/>
  <c r="L18" i="8"/>
  <c r="L17" i="8"/>
  <c r="P17" i="4"/>
  <c r="L13" i="8"/>
  <c r="M9" i="8" s="1"/>
  <c r="Q14" i="4"/>
  <c r="Q15" i="4"/>
  <c r="O20" i="4"/>
  <c r="O21" i="4"/>
  <c r="Q16" i="4" l="1"/>
  <c r="Q17" i="4" s="1"/>
  <c r="U9" i="4"/>
  <c r="V8" i="4"/>
  <c r="R14" i="4"/>
  <c r="R15" i="4"/>
  <c r="G10" i="7"/>
  <c r="G11" i="7" s="1"/>
  <c r="M10" i="8"/>
  <c r="M13" i="8"/>
  <c r="N9" i="8" s="1"/>
  <c r="P21" i="4"/>
  <c r="P20" i="4"/>
  <c r="M16" i="7"/>
  <c r="L17" i="7"/>
  <c r="R8" i="5"/>
  <c r="R9" i="5"/>
  <c r="Q21" i="4"/>
  <c r="Q30" i="5" s="1"/>
  <c r="Q20" i="4"/>
  <c r="S6" i="7"/>
  <c r="S6" i="5"/>
  <c r="S6" i="6"/>
  <c r="S6" i="4"/>
  <c r="S11" i="4" s="1"/>
  <c r="Q22" i="5"/>
  <c r="R56" i="3"/>
  <c r="V6" i="8"/>
  <c r="W5" i="8"/>
  <c r="O30" i="5"/>
  <c r="C16" i="9" s="1"/>
  <c r="C13" i="9"/>
  <c r="O9" i="7"/>
  <c r="C18" i="9" s="1"/>
  <c r="B24" i="1" s="1"/>
  <c r="O29" i="5"/>
  <c r="C15" i="9" s="1"/>
  <c r="B22" i="1" s="1"/>
  <c r="C12" i="9"/>
  <c r="T5" i="7"/>
  <c r="T5" i="6"/>
  <c r="T5" i="5"/>
  <c r="T5" i="4"/>
  <c r="U5" i="3"/>
  <c r="T6" i="3"/>
  <c r="Q11" i="5"/>
  <c r="Q28" i="5" s="1"/>
  <c r="P30" i="5" l="1"/>
  <c r="B20" i="1"/>
  <c r="G14" i="7"/>
  <c r="G15" i="7" s="1"/>
  <c r="G18" i="7"/>
  <c r="P9" i="7"/>
  <c r="P29" i="5"/>
  <c r="M12" i="8"/>
  <c r="M15" i="8"/>
  <c r="R16" i="4"/>
  <c r="S15" i="4"/>
  <c r="S14" i="4"/>
  <c r="S9" i="5"/>
  <c r="S8" i="5"/>
  <c r="S11" i="5" s="1"/>
  <c r="T6" i="7"/>
  <c r="T6" i="6"/>
  <c r="T6" i="4"/>
  <c r="T11" i="4" s="1"/>
  <c r="T6" i="5"/>
  <c r="W8" i="4"/>
  <c r="V9" i="4"/>
  <c r="N10" i="8"/>
  <c r="N12" i="8" s="1"/>
  <c r="X5" i="8"/>
  <c r="W6" i="8"/>
  <c r="R11" i="5"/>
  <c r="R22" i="5"/>
  <c r="S56" i="3"/>
  <c r="Q9" i="7"/>
  <c r="Q29" i="5"/>
  <c r="U5" i="7"/>
  <c r="U5" i="6"/>
  <c r="U5" i="5"/>
  <c r="U5" i="4"/>
  <c r="U6" i="3"/>
  <c r="V5" i="3"/>
  <c r="N16" i="7"/>
  <c r="M17" i="7"/>
  <c r="S16" i="4" l="1"/>
  <c r="S17" i="4" s="1"/>
  <c r="S22" i="5"/>
  <c r="T56" i="3"/>
  <c r="R28" i="5"/>
  <c r="S21" i="4"/>
  <c r="S30" i="5" s="1"/>
  <c r="S20" i="4"/>
  <c r="H8" i="7"/>
  <c r="N18" i="8"/>
  <c r="N17" i="8"/>
  <c r="R17" i="4"/>
  <c r="S28" i="5"/>
  <c r="O16" i="7"/>
  <c r="N17" i="7"/>
  <c r="Y5" i="8"/>
  <c r="X6" i="8"/>
  <c r="N13" i="8"/>
  <c r="O9" i="8" s="1"/>
  <c r="N15" i="8"/>
  <c r="T15" i="4"/>
  <c r="T14" i="4"/>
  <c r="T16" i="4" s="1"/>
  <c r="T17" i="4" s="1"/>
  <c r="V5" i="7"/>
  <c r="V5" i="6"/>
  <c r="V5" i="5"/>
  <c r="W5" i="3"/>
  <c r="V6" i="3"/>
  <c r="V5" i="4"/>
  <c r="M18" i="8"/>
  <c r="M17" i="8"/>
  <c r="M16" i="8"/>
  <c r="N16" i="8" s="1"/>
  <c r="T9" i="5"/>
  <c r="T8" i="5"/>
  <c r="T11" i="5" s="1"/>
  <c r="U6" i="7"/>
  <c r="U6" i="6"/>
  <c r="U6" i="4"/>
  <c r="U11" i="4" s="1"/>
  <c r="U6" i="5"/>
  <c r="X8" i="4"/>
  <c r="W9" i="4"/>
  <c r="R21" i="4" l="1"/>
  <c r="R20" i="4"/>
  <c r="O10" i="8"/>
  <c r="O12" i="8" s="1"/>
  <c r="W5" i="7"/>
  <c r="W5" i="6"/>
  <c r="W5" i="5"/>
  <c r="X5" i="3"/>
  <c r="W5" i="4"/>
  <c r="W6" i="3"/>
  <c r="O16" i="8"/>
  <c r="S9" i="7"/>
  <c r="S29" i="5"/>
  <c r="H10" i="7"/>
  <c r="H11" i="7" s="1"/>
  <c r="Z5" i="8"/>
  <c r="Y6" i="8"/>
  <c r="Y8" i="4"/>
  <c r="X9" i="4"/>
  <c r="U15" i="4"/>
  <c r="U14" i="4"/>
  <c r="U16" i="4" s="1"/>
  <c r="U17" i="4" s="1"/>
  <c r="T22" i="5"/>
  <c r="T28" i="5" s="1"/>
  <c r="U56" i="3"/>
  <c r="T20" i="4"/>
  <c r="T21" i="4"/>
  <c r="V6" i="7"/>
  <c r="V6" i="6"/>
  <c r="V6" i="5"/>
  <c r="V6" i="4"/>
  <c r="V11" i="4" s="1"/>
  <c r="P16" i="7"/>
  <c r="O17" i="7"/>
  <c r="U9" i="5"/>
  <c r="U8" i="5"/>
  <c r="U11" i="5" s="1"/>
  <c r="W6" i="7" l="1"/>
  <c r="W6" i="6"/>
  <c r="W6" i="4"/>
  <c r="W11" i="4" s="1"/>
  <c r="W6" i="5"/>
  <c r="V14" i="4"/>
  <c r="V15" i="4"/>
  <c r="U20" i="4"/>
  <c r="U21" i="4"/>
  <c r="U30" i="5" s="1"/>
  <c r="P17" i="7"/>
  <c r="Q16" i="7"/>
  <c r="Z8" i="4"/>
  <c r="Y9" i="4"/>
  <c r="X5" i="7"/>
  <c r="X5" i="6"/>
  <c r="Y5" i="3"/>
  <c r="X5" i="4"/>
  <c r="X6" i="3"/>
  <c r="X5" i="5"/>
  <c r="V9" i="5"/>
  <c r="V8" i="5"/>
  <c r="T30" i="5"/>
  <c r="H14" i="7"/>
  <c r="H15" i="7" s="1"/>
  <c r="H18" i="7"/>
  <c r="O13" i="8"/>
  <c r="P9" i="8" s="1"/>
  <c r="R9" i="7"/>
  <c r="R29" i="5"/>
  <c r="U28" i="5"/>
  <c r="AA5" i="8"/>
  <c r="Z6" i="8"/>
  <c r="O18" i="8"/>
  <c r="O17" i="8"/>
  <c r="O15" i="8"/>
  <c r="T9" i="7"/>
  <c r="T29" i="5"/>
  <c r="U22" i="5"/>
  <c r="V56" i="3"/>
  <c r="R30" i="5"/>
  <c r="I8" i="7" l="1"/>
  <c r="X6" i="7"/>
  <c r="X6" i="6"/>
  <c r="X6" i="4"/>
  <c r="X11" i="4" s="1"/>
  <c r="X6" i="5"/>
  <c r="V11" i="5"/>
  <c r="W9" i="5"/>
  <c r="W8" i="5"/>
  <c r="W11" i="5" s="1"/>
  <c r="AB5" i="8"/>
  <c r="AA6" i="8"/>
  <c r="W15" i="4"/>
  <c r="W14" i="4"/>
  <c r="W16" i="4" s="1"/>
  <c r="W17" i="4" s="1"/>
  <c r="Z9" i="4"/>
  <c r="AA8" i="4"/>
  <c r="R16" i="7"/>
  <c r="Q17" i="7"/>
  <c r="V22" i="5"/>
  <c r="W56" i="3"/>
  <c r="P10" i="8"/>
  <c r="U9" i="7"/>
  <c r="U29" i="5"/>
  <c r="V16" i="4"/>
  <c r="V17" i="4" s="1"/>
  <c r="Y5" i="7"/>
  <c r="Y5" i="6"/>
  <c r="Y5" i="5"/>
  <c r="Z5" i="3"/>
  <c r="Y5" i="4"/>
  <c r="Y6" i="3"/>
  <c r="W22" i="5" l="1"/>
  <c r="W28" i="5" s="1"/>
  <c r="X56" i="3"/>
  <c r="X9" i="5"/>
  <c r="X8" i="5"/>
  <c r="X11" i="5" s="1"/>
  <c r="X15" i="4"/>
  <c r="X14" i="4"/>
  <c r="Y6" i="7"/>
  <c r="Y6" i="6"/>
  <c r="Y6" i="5"/>
  <c r="Y6" i="4"/>
  <c r="Y11" i="4" s="1"/>
  <c r="W20" i="4"/>
  <c r="W21" i="4"/>
  <c r="V28" i="5"/>
  <c r="V20" i="4"/>
  <c r="V21" i="4"/>
  <c r="Z5" i="7"/>
  <c r="Z5" i="6"/>
  <c r="Z5" i="5"/>
  <c r="Z5" i="4"/>
  <c r="Z6" i="3"/>
  <c r="AA5" i="3"/>
  <c r="R17" i="7"/>
  <c r="S16" i="7"/>
  <c r="I10" i="7"/>
  <c r="I11" i="7" s="1"/>
  <c r="AA9" i="4"/>
  <c r="AB8" i="4"/>
  <c r="P11" i="8"/>
  <c r="P13" i="8" s="1"/>
  <c r="Q9" i="8" s="1"/>
  <c r="AB6" i="8"/>
  <c r="AC5" i="8"/>
  <c r="P15" i="8"/>
  <c r="X16" i="4" l="1"/>
  <c r="X17" i="4" s="1"/>
  <c r="Q10" i="8"/>
  <c r="Q11" i="8"/>
  <c r="AA5" i="7"/>
  <c r="AA5" i="6"/>
  <c r="AA6" i="3"/>
  <c r="AB5" i="3"/>
  <c r="AA5" i="5"/>
  <c r="AA5" i="4"/>
  <c r="Y8" i="5"/>
  <c r="Y9" i="5"/>
  <c r="W9" i="7"/>
  <c r="W29" i="5"/>
  <c r="Q15" i="8"/>
  <c r="P12" i="8"/>
  <c r="Z6" i="7"/>
  <c r="Z6" i="6"/>
  <c r="Z6" i="5"/>
  <c r="Z6" i="4"/>
  <c r="Z11" i="4" s="1"/>
  <c r="X21" i="4"/>
  <c r="X20" i="4"/>
  <c r="Y14" i="4"/>
  <c r="Y15" i="4"/>
  <c r="AB9" i="4"/>
  <c r="AC8" i="4"/>
  <c r="V30" i="5"/>
  <c r="V9" i="7"/>
  <c r="V29" i="5"/>
  <c r="X22" i="5"/>
  <c r="Y56" i="3"/>
  <c r="AD5" i="8"/>
  <c r="AC6" i="8"/>
  <c r="X28" i="5"/>
  <c r="I14" i="7"/>
  <c r="I15" i="7" s="1"/>
  <c r="J8" i="7" s="1"/>
  <c r="I18" i="7"/>
  <c r="T16" i="7"/>
  <c r="S17" i="7"/>
  <c r="W30" i="5"/>
  <c r="Y16" i="4" l="1"/>
  <c r="Y17" i="4" s="1"/>
  <c r="Q13" i="8"/>
  <c r="R9" i="8" s="1"/>
  <c r="R10" i="8" s="1"/>
  <c r="R15" i="8" s="1"/>
  <c r="Y21" i="4"/>
  <c r="Y20" i="4"/>
  <c r="AA6" i="7"/>
  <c r="AA6" i="5"/>
  <c r="AA6" i="6"/>
  <c r="AA6" i="4"/>
  <c r="AA11" i="4" s="1"/>
  <c r="J10" i="7"/>
  <c r="J11" i="7" s="1"/>
  <c r="J14" i="7" s="1"/>
  <c r="J15" i="7" s="1"/>
  <c r="K8" i="7" s="1"/>
  <c r="Y11" i="5"/>
  <c r="Y22" i="5"/>
  <c r="Z56" i="3"/>
  <c r="AD6" i="8"/>
  <c r="AE5" i="8"/>
  <c r="X9" i="7"/>
  <c r="X29" i="5"/>
  <c r="Z14" i="4"/>
  <c r="Z15" i="4"/>
  <c r="P18" i="8"/>
  <c r="P17" i="8"/>
  <c r="P16" i="8"/>
  <c r="X30" i="5"/>
  <c r="Z8" i="5"/>
  <c r="Z9" i="5"/>
  <c r="AB5" i="7"/>
  <c r="AB5" i="5"/>
  <c r="AB5" i="6"/>
  <c r="AB5" i="4"/>
  <c r="AC5" i="3"/>
  <c r="AB6" i="3"/>
  <c r="T17" i="7"/>
  <c r="U16" i="7"/>
  <c r="AD8" i="4"/>
  <c r="AC9" i="4"/>
  <c r="Q12" i="8"/>
  <c r="Z16" i="4" l="1"/>
  <c r="Z17" i="4" s="1"/>
  <c r="K10" i="7"/>
  <c r="K11" i="7" s="1"/>
  <c r="K14" i="7" s="1"/>
  <c r="K15" i="7" s="1"/>
  <c r="L8" i="7" s="1"/>
  <c r="Z21" i="4"/>
  <c r="Z20" i="4"/>
  <c r="Q18" i="8"/>
  <c r="Q17" i="8"/>
  <c r="AA9" i="5"/>
  <c r="AA8" i="5"/>
  <c r="AA11" i="5" s="1"/>
  <c r="AE8" i="4"/>
  <c r="AD9" i="4"/>
  <c r="R12" i="8"/>
  <c r="AF5" i="8"/>
  <c r="AE6" i="8"/>
  <c r="J18" i="7"/>
  <c r="U17" i="7"/>
  <c r="V16" i="7"/>
  <c r="R11" i="8"/>
  <c r="R13" i="8" s="1"/>
  <c r="S9" i="8" s="1"/>
  <c r="AA14" i="4"/>
  <c r="AA15" i="4"/>
  <c r="Y30" i="5"/>
  <c r="AB6" i="7"/>
  <c r="AB6" i="5"/>
  <c r="AB6" i="6"/>
  <c r="AB6" i="4"/>
  <c r="AB11" i="4" s="1"/>
  <c r="Q16" i="8"/>
  <c r="Z11" i="5"/>
  <c r="Z22" i="5"/>
  <c r="AA56" i="3"/>
  <c r="AC5" i="7"/>
  <c r="AC5" i="5"/>
  <c r="AC5" i="6"/>
  <c r="AC5" i="4"/>
  <c r="AD5" i="3"/>
  <c r="AC6" i="3"/>
  <c r="Y28" i="5"/>
  <c r="Y9" i="7" s="1"/>
  <c r="K18" i="7" l="1"/>
  <c r="S10" i="8"/>
  <c r="R18" i="8"/>
  <c r="R17" i="8"/>
  <c r="AA16" i="4"/>
  <c r="V17" i="7"/>
  <c r="W16" i="7"/>
  <c r="AB9" i="5"/>
  <c r="AB8" i="5"/>
  <c r="AB11" i="5" s="1"/>
  <c r="AA22" i="5"/>
  <c r="AA28" i="5" s="1"/>
  <c r="D14" i="9" s="1"/>
  <c r="C21" i="1" s="1"/>
  <c r="AB56" i="3"/>
  <c r="AF6" i="8"/>
  <c r="AG5" i="8"/>
  <c r="AE9" i="4"/>
  <c r="AF8" i="4"/>
  <c r="AC6" i="7"/>
  <c r="AC6" i="5"/>
  <c r="AC6" i="6"/>
  <c r="AC6" i="4"/>
  <c r="AC11" i="4" s="1"/>
  <c r="Y29" i="5"/>
  <c r="AB14" i="4"/>
  <c r="AB15" i="4"/>
  <c r="L10" i="7"/>
  <c r="L11" i="7" s="1"/>
  <c r="L14" i="7" s="1"/>
  <c r="L15" i="7" s="1"/>
  <c r="M8" i="7" s="1"/>
  <c r="Z28" i="5"/>
  <c r="Z30" i="5" s="1"/>
  <c r="R16" i="8"/>
  <c r="AD5" i="7"/>
  <c r="AD5" i="5"/>
  <c r="AD5" i="6"/>
  <c r="AD5" i="4"/>
  <c r="AD6" i="3"/>
  <c r="AE5" i="3"/>
  <c r="L18" i="7" l="1"/>
  <c r="AG8" i="4"/>
  <c r="AF9" i="4"/>
  <c r="AA17" i="4"/>
  <c r="D11" i="9"/>
  <c r="AC9" i="5"/>
  <c r="AC8" i="5"/>
  <c r="M10" i="7"/>
  <c r="M11" i="7" s="1"/>
  <c r="M14" i="7" s="1"/>
  <c r="M15" i="7" s="1"/>
  <c r="N8" i="7" s="1"/>
  <c r="Z29" i="5"/>
  <c r="S15" i="8"/>
  <c r="AC15" i="4"/>
  <c r="AC14" i="4"/>
  <c r="AC16" i="4" s="1"/>
  <c r="AC17" i="4" s="1"/>
  <c r="AG6" i="8"/>
  <c r="AH5" i="8"/>
  <c r="AE5" i="7"/>
  <c r="AE5" i="5"/>
  <c r="AE5" i="6"/>
  <c r="AE5" i="4"/>
  <c r="AF5" i="3"/>
  <c r="AE6" i="3"/>
  <c r="AB16" i="4"/>
  <c r="Z9" i="7"/>
  <c r="S11" i="8"/>
  <c r="S12" i="8" s="1"/>
  <c r="W17" i="7"/>
  <c r="X16" i="7"/>
  <c r="AD6" i="7"/>
  <c r="AD6" i="5"/>
  <c r="AD6" i="6"/>
  <c r="AD6" i="4"/>
  <c r="AD11" i="4" s="1"/>
  <c r="AB22" i="5"/>
  <c r="AB28" i="5" s="1"/>
  <c r="AC56" i="3"/>
  <c r="N10" i="7" l="1"/>
  <c r="N11" i="7" s="1"/>
  <c r="N14" i="7" s="1"/>
  <c r="N15" i="7" s="1"/>
  <c r="O8" i="7" s="1"/>
  <c r="S18" i="8"/>
  <c r="S17" i="8"/>
  <c r="S16" i="8"/>
  <c r="AF5" i="7"/>
  <c r="AF5" i="6"/>
  <c r="AF5" i="4"/>
  <c r="AF5" i="5"/>
  <c r="AG5" i="3"/>
  <c r="AF6" i="3"/>
  <c r="C19" i="1"/>
  <c r="M18" i="7"/>
  <c r="N18" i="7" s="1"/>
  <c r="AE6" i="7"/>
  <c r="AE6" i="5"/>
  <c r="AE6" i="6"/>
  <c r="AE6" i="4"/>
  <c r="AE11" i="4" s="1"/>
  <c r="AD9" i="5"/>
  <c r="AD8" i="5"/>
  <c r="AD11" i="5" s="1"/>
  <c r="AI5" i="8"/>
  <c r="AH6" i="8"/>
  <c r="AG9" i="4"/>
  <c r="AH8" i="4"/>
  <c r="AC22" i="5"/>
  <c r="AD56" i="3"/>
  <c r="AD15" i="4"/>
  <c r="AD14" i="4"/>
  <c r="AD16" i="4" s="1"/>
  <c r="AD17" i="4" s="1"/>
  <c r="AC11" i="5"/>
  <c r="AC28" i="5" s="1"/>
  <c r="Y16" i="7"/>
  <c r="X17" i="7"/>
  <c r="AC21" i="4"/>
  <c r="AC30" i="5" s="1"/>
  <c r="AC20" i="4"/>
  <c r="AA21" i="4"/>
  <c r="AA20" i="4"/>
  <c r="S13" i="8"/>
  <c r="T9" i="8" s="1"/>
  <c r="AB17" i="4"/>
  <c r="O10" i="7" l="1"/>
  <c r="O11" i="7" s="1"/>
  <c r="AA30" i="5"/>
  <c r="D16" i="9" s="1"/>
  <c r="D13" i="9"/>
  <c r="AG5" i="7"/>
  <c r="AG5" i="6"/>
  <c r="AG5" i="4"/>
  <c r="AG5" i="5"/>
  <c r="AH5" i="3"/>
  <c r="AG6" i="3"/>
  <c r="Z16" i="7"/>
  <c r="Y17" i="7"/>
  <c r="AD21" i="4"/>
  <c r="AD20" i="4"/>
  <c r="AJ5" i="8"/>
  <c r="AI6" i="8"/>
  <c r="AD28" i="5"/>
  <c r="AB21" i="4"/>
  <c r="AB20" i="4"/>
  <c r="O18" i="7"/>
  <c r="AF6" i="7"/>
  <c r="AF6" i="6"/>
  <c r="AF6" i="5"/>
  <c r="AF6" i="4"/>
  <c r="AF11" i="4" s="1"/>
  <c r="AC9" i="7"/>
  <c r="AC29" i="5"/>
  <c r="AD22" i="5"/>
  <c r="AE56" i="3"/>
  <c r="AA9" i="7"/>
  <c r="D18" i="9" s="1"/>
  <c r="AA29" i="5"/>
  <c r="D15" i="9" s="1"/>
  <c r="C22" i="1" s="1"/>
  <c r="D12" i="9"/>
  <c r="AE15" i="4"/>
  <c r="AE14" i="4"/>
  <c r="AE16" i="4" s="1"/>
  <c r="AE17" i="4" s="1"/>
  <c r="AE9" i="5"/>
  <c r="AE8" i="5"/>
  <c r="AE11" i="5" s="1"/>
  <c r="T10" i="8"/>
  <c r="AI8" i="4"/>
  <c r="AH9" i="4"/>
  <c r="AA16" i="7" l="1"/>
  <c r="Z17" i="7"/>
  <c r="AH5" i="7"/>
  <c r="AH5" i="6"/>
  <c r="AI5" i="3"/>
  <c r="AH5" i="5"/>
  <c r="AH6" i="3"/>
  <c r="AH5" i="4"/>
  <c r="AB9" i="7"/>
  <c r="AB29" i="5"/>
  <c r="AB30" i="5"/>
  <c r="AG6" i="7"/>
  <c r="AG6" i="6"/>
  <c r="AG6" i="5"/>
  <c r="AG6" i="4"/>
  <c r="AG11" i="4" s="1"/>
  <c r="AE22" i="5"/>
  <c r="AF56" i="3"/>
  <c r="T15" i="8"/>
  <c r="T11" i="8"/>
  <c r="T12" i="8" s="1"/>
  <c r="AE21" i="4"/>
  <c r="AE20" i="4"/>
  <c r="AJ8" i="4"/>
  <c r="AI9" i="4"/>
  <c r="O14" i="7"/>
  <c r="O15" i="7" s="1"/>
  <c r="C19" i="9"/>
  <c r="C20" i="1"/>
  <c r="AD9" i="7"/>
  <c r="AD29" i="5"/>
  <c r="AD30" i="5"/>
  <c r="C24" i="1"/>
  <c r="G12" i="1"/>
  <c r="AJ6" i="8"/>
  <c r="AK5" i="8"/>
  <c r="AF14" i="4"/>
  <c r="AF15" i="4"/>
  <c r="AE28" i="5"/>
  <c r="AF8" i="5"/>
  <c r="AF9" i="5"/>
  <c r="T18" i="8" l="1"/>
  <c r="T17" i="8"/>
  <c r="T16" i="8"/>
  <c r="AH6" i="7"/>
  <c r="AH6" i="6"/>
  <c r="AH6" i="5"/>
  <c r="AH6" i="4"/>
  <c r="AH11" i="4" s="1"/>
  <c r="AF16" i="4"/>
  <c r="P8" i="7"/>
  <c r="C21" i="9"/>
  <c r="T13" i="8"/>
  <c r="U9" i="8" s="1"/>
  <c r="AL5" i="8"/>
  <c r="AK6" i="8"/>
  <c r="AK8" i="4"/>
  <c r="AJ9" i="4"/>
  <c r="AF22" i="5"/>
  <c r="AG56" i="3"/>
  <c r="AI5" i="7"/>
  <c r="AI5" i="6"/>
  <c r="AJ5" i="3"/>
  <c r="AI5" i="4"/>
  <c r="AI6" i="3"/>
  <c r="AI5" i="5"/>
  <c r="AB16" i="7"/>
  <c r="AA17" i="7"/>
  <c r="AF11" i="5"/>
  <c r="AF28" i="5" s="1"/>
  <c r="AG14" i="4"/>
  <c r="AG15" i="4"/>
  <c r="AG8" i="5"/>
  <c r="AG9" i="5"/>
  <c r="AE9" i="7"/>
  <c r="AE29" i="5"/>
  <c r="AE30" i="5"/>
  <c r="P10" i="7" l="1"/>
  <c r="P11" i="7" s="1"/>
  <c r="AJ5" i="7"/>
  <c r="AJ5" i="6"/>
  <c r="AK5" i="3"/>
  <c r="AJ5" i="4"/>
  <c r="AJ6" i="3"/>
  <c r="AJ5" i="5"/>
  <c r="AG16" i="4"/>
  <c r="AG17" i="4" s="1"/>
  <c r="AH14" i="4"/>
  <c r="AH15" i="4"/>
  <c r="AB17" i="7"/>
  <c r="AC16" i="7"/>
  <c r="U10" i="8"/>
  <c r="AG22" i="5"/>
  <c r="AH56" i="3"/>
  <c r="AM5" i="8"/>
  <c r="AL6" i="8"/>
  <c r="AG11" i="5"/>
  <c r="AG28" i="5" s="1"/>
  <c r="AH8" i="5"/>
  <c r="AH11" i="5" s="1"/>
  <c r="AH9" i="5"/>
  <c r="AL8" i="4"/>
  <c r="AK9" i="4"/>
  <c r="AF17" i="4"/>
  <c r="AI6" i="7"/>
  <c r="AI6" i="6"/>
  <c r="AI6" i="5"/>
  <c r="AI6" i="4"/>
  <c r="AI11" i="4" s="1"/>
  <c r="AG21" i="4" l="1"/>
  <c r="AG30" i="5" s="1"/>
  <c r="AG20" i="4"/>
  <c r="AH16" i="4"/>
  <c r="AH17" i="4" s="1"/>
  <c r="AI15" i="4"/>
  <c r="AI14" i="4"/>
  <c r="AI16" i="4" s="1"/>
  <c r="AI17" i="4" s="1"/>
  <c r="AN5" i="8"/>
  <c r="AM6" i="8"/>
  <c r="AF21" i="4"/>
  <c r="AF20" i="4"/>
  <c r="AJ6" i="7"/>
  <c r="AJ6" i="6"/>
  <c r="AJ6" i="4"/>
  <c r="AJ11" i="4" s="1"/>
  <c r="AJ6" i="5"/>
  <c r="P14" i="7"/>
  <c r="P15" i="7" s="1"/>
  <c r="Q8" i="7" s="1"/>
  <c r="P18" i="7"/>
  <c r="AK5" i="7"/>
  <c r="AK5" i="6"/>
  <c r="AK5" i="5"/>
  <c r="AL5" i="3"/>
  <c r="AK5" i="4"/>
  <c r="AK6" i="3"/>
  <c r="U11" i="8"/>
  <c r="U13" i="8" s="1"/>
  <c r="V9" i="8" s="1"/>
  <c r="AL9" i="4"/>
  <c r="AM8" i="4"/>
  <c r="AM9" i="4" s="1"/>
  <c r="AD16" i="7"/>
  <c r="AC17" i="7"/>
  <c r="AI9" i="5"/>
  <c r="AI8" i="5"/>
  <c r="AI11" i="5" s="1"/>
  <c r="AH22" i="5"/>
  <c r="AH28" i="5" s="1"/>
  <c r="AI56" i="3"/>
  <c r="U15" i="8"/>
  <c r="U12" i="8" l="1"/>
  <c r="V10" i="8"/>
  <c r="V11" i="8"/>
  <c r="V13" i="8" s="1"/>
  <c r="W9" i="8" s="1"/>
  <c r="AF30" i="5"/>
  <c r="V15" i="8"/>
  <c r="AI21" i="4"/>
  <c r="AI20" i="4"/>
  <c r="U18" i="8"/>
  <c r="U17" i="8"/>
  <c r="U16" i="8"/>
  <c r="AI22" i="5"/>
  <c r="AI28" i="5" s="1"/>
  <c r="AJ56" i="3"/>
  <c r="Q10" i="7"/>
  <c r="Q11" i="7" s="1"/>
  <c r="AF9" i="7"/>
  <c r="AF29" i="5"/>
  <c r="Q18" i="7"/>
  <c r="AD17" i="7"/>
  <c r="AE16" i="7"/>
  <c r="AH21" i="4"/>
  <c r="AH30" i="5" s="1"/>
  <c r="AH20" i="4"/>
  <c r="AJ9" i="5"/>
  <c r="AJ8" i="5"/>
  <c r="AJ11" i="5" s="1"/>
  <c r="AG9" i="7"/>
  <c r="AG29" i="5"/>
  <c r="AL5" i="7"/>
  <c r="AL5" i="6"/>
  <c r="AL5" i="5"/>
  <c r="AL5" i="4"/>
  <c r="AL6" i="3"/>
  <c r="AM5" i="3"/>
  <c r="AN6" i="8"/>
  <c r="AO5" i="8"/>
  <c r="AJ15" i="4"/>
  <c r="AJ14" i="4"/>
  <c r="AJ16" i="4" s="1"/>
  <c r="AJ17" i="4" s="1"/>
  <c r="AK6" i="7"/>
  <c r="AK6" i="6"/>
  <c r="AK6" i="5"/>
  <c r="AK6" i="4"/>
  <c r="AK11" i="4" s="1"/>
  <c r="AM5" i="7" l="1"/>
  <c r="AM5" i="6"/>
  <c r="AM5" i="5"/>
  <c r="AM6" i="3"/>
  <c r="AM5" i="4"/>
  <c r="AL6" i="7"/>
  <c r="AL6" i="6"/>
  <c r="AL6" i="5"/>
  <c r="AL6" i="4"/>
  <c r="AL11" i="4" s="1"/>
  <c r="AI9" i="7"/>
  <c r="AI29" i="5"/>
  <c r="AK9" i="5"/>
  <c r="AK8" i="5"/>
  <c r="AK11" i="5" s="1"/>
  <c r="AK15" i="4"/>
  <c r="AK14" i="4"/>
  <c r="AK16" i="4" s="1"/>
  <c r="AK17" i="4" s="1"/>
  <c r="AF16" i="7"/>
  <c r="AE17" i="7"/>
  <c r="W10" i="8"/>
  <c r="W15" i="8" s="1"/>
  <c r="Q14" i="7"/>
  <c r="Q15" i="7" s="1"/>
  <c r="R8" i="7" s="1"/>
  <c r="AJ28" i="5"/>
  <c r="AP5" i="8"/>
  <c r="AO6" i="8"/>
  <c r="AH9" i="7"/>
  <c r="AH29" i="5"/>
  <c r="AI30" i="5"/>
  <c r="AJ20" i="4"/>
  <c r="AJ21" i="4"/>
  <c r="AJ22" i="5"/>
  <c r="AK56" i="3"/>
  <c r="V12" i="8"/>
  <c r="W11" i="8" l="1"/>
  <c r="W13" i="8" s="1"/>
  <c r="X9" i="8" s="1"/>
  <c r="X10" i="8" s="1"/>
  <c r="AL14" i="4"/>
  <c r="AL15" i="4"/>
  <c r="AF17" i="7"/>
  <c r="AG16" i="7"/>
  <c r="AM6" i="7"/>
  <c r="AM6" i="6"/>
  <c r="AM6" i="5"/>
  <c r="AM6" i="4"/>
  <c r="AM11" i="4" s="1"/>
  <c r="AP6" i="8"/>
  <c r="AQ5" i="8"/>
  <c r="V18" i="8"/>
  <c r="V17" i="8"/>
  <c r="AK22" i="5"/>
  <c r="AK28" i="5" s="1"/>
  <c r="AL56" i="3"/>
  <c r="V16" i="8"/>
  <c r="AJ30" i="5"/>
  <c r="W12" i="8"/>
  <c r="AL8" i="5"/>
  <c r="AL9" i="5"/>
  <c r="AK21" i="4"/>
  <c r="AK20" i="4"/>
  <c r="R10" i="7"/>
  <c r="R11" i="7" s="1"/>
  <c r="AJ9" i="7"/>
  <c r="AJ29" i="5"/>
  <c r="X11" i="8" l="1"/>
  <c r="X15" i="8"/>
  <c r="X13" i="8"/>
  <c r="Y9" i="8" s="1"/>
  <c r="AL16" i="4"/>
  <c r="AL17" i="4" s="1"/>
  <c r="AG17" i="7"/>
  <c r="AH16" i="7"/>
  <c r="Y10" i="8"/>
  <c r="Y11" i="8"/>
  <c r="Y13" i="8" s="1"/>
  <c r="Z9" i="8" s="1"/>
  <c r="AK9" i="7"/>
  <c r="AK29" i="5"/>
  <c r="AR5" i="8"/>
  <c r="AQ6" i="8"/>
  <c r="X12" i="8"/>
  <c r="AM8" i="5"/>
  <c r="AM11" i="5" s="1"/>
  <c r="AM28" i="5" s="1"/>
  <c r="AM9" i="5"/>
  <c r="AL22" i="5"/>
  <c r="AM56" i="3"/>
  <c r="AM22" i="5" s="1"/>
  <c r="R14" i="7"/>
  <c r="R15" i="7" s="1"/>
  <c r="S8" i="7" s="1"/>
  <c r="R18" i="7"/>
  <c r="W18" i="8"/>
  <c r="W17" i="8"/>
  <c r="W16" i="8"/>
  <c r="Y15" i="8"/>
  <c r="AK30" i="5"/>
  <c r="AL11" i="5"/>
  <c r="AM14" i="4"/>
  <c r="AM15" i="4"/>
  <c r="Z10" i="8" l="1"/>
  <c r="AR6" i="8"/>
  <c r="AS5" i="8"/>
  <c r="Y12" i="8"/>
  <c r="E14" i="9"/>
  <c r="D21" i="1" s="1"/>
  <c r="E21" i="1" s="1"/>
  <c r="AI16" i="7"/>
  <c r="AH17" i="7"/>
  <c r="X18" i="8"/>
  <c r="X17" i="8"/>
  <c r="Z15" i="8"/>
  <c r="X16" i="8"/>
  <c r="S10" i="7"/>
  <c r="S11" i="7" s="1"/>
  <c r="AM16" i="4"/>
  <c r="AL28" i="5"/>
  <c r="AL21" i="4"/>
  <c r="AL30" i="5" s="1"/>
  <c r="AL20" i="4"/>
  <c r="AM17" i="4" l="1"/>
  <c r="E11" i="9"/>
  <c r="AS6" i="8"/>
  <c r="AT5" i="8"/>
  <c r="AL29" i="5"/>
  <c r="AL9" i="7"/>
  <c r="AJ16" i="7"/>
  <c r="AI17" i="7"/>
  <c r="Y18" i="8"/>
  <c r="Y17" i="8"/>
  <c r="S14" i="7"/>
  <c r="S15" i="7" s="1"/>
  <c r="T8" i="7" s="1"/>
  <c r="S18" i="7"/>
  <c r="Z11" i="8"/>
  <c r="Z12" i="8" s="1"/>
  <c r="Y16" i="8"/>
  <c r="Z13" i="8" l="1"/>
  <c r="AA9" i="8" s="1"/>
  <c r="Z18" i="8"/>
  <c r="Z17" i="8"/>
  <c r="AT6" i="8"/>
  <c r="AU5" i="8"/>
  <c r="AA10" i="8"/>
  <c r="AA11" i="8" s="1"/>
  <c r="Z16" i="8"/>
  <c r="D19" i="1"/>
  <c r="E19" i="1" s="1"/>
  <c r="G6" i="1"/>
  <c r="AK16" i="7"/>
  <c r="AJ17" i="7"/>
  <c r="T10" i="7"/>
  <c r="T11" i="7" s="1"/>
  <c r="T18" i="7" s="1"/>
  <c r="AM20" i="4"/>
  <c r="AM21" i="4"/>
  <c r="AV5" i="8" l="1"/>
  <c r="AU6" i="8"/>
  <c r="AL16" i="7"/>
  <c r="AK17" i="7"/>
  <c r="AA12" i="8"/>
  <c r="AA15" i="8"/>
  <c r="AM30" i="5"/>
  <c r="E16" i="9" s="1"/>
  <c r="E13" i="9"/>
  <c r="AA13" i="8"/>
  <c r="AB9" i="8" s="1"/>
  <c r="AM9" i="7"/>
  <c r="E18" i="9" s="1"/>
  <c r="D24" i="1" s="1"/>
  <c r="E24" i="1" s="1"/>
  <c r="AM29" i="5"/>
  <c r="E15" i="9" s="1"/>
  <c r="E12" i="9"/>
  <c r="T14" i="7"/>
  <c r="T15" i="7" s="1"/>
  <c r="U8" i="7" s="1"/>
  <c r="AA18" i="8" l="1"/>
  <c r="AA17" i="8"/>
  <c r="U10" i="7"/>
  <c r="U11" i="7" s="1"/>
  <c r="AM16" i="7"/>
  <c r="AL17" i="7"/>
  <c r="AW5" i="8"/>
  <c r="AV6" i="8"/>
  <c r="D20" i="1"/>
  <c r="E20" i="1" s="1"/>
  <c r="J6" i="1"/>
  <c r="AB10" i="8"/>
  <c r="AB15" i="8" s="1"/>
  <c r="L25" i="1"/>
  <c r="D22" i="1"/>
  <c r="E22" i="1" s="1"/>
  <c r="L24" i="1"/>
  <c r="G9" i="1"/>
  <c r="A12" i="1"/>
  <c r="AA16" i="8"/>
  <c r="AM17" i="7" l="1"/>
  <c r="C25" i="9" s="1"/>
  <c r="U14" i="7"/>
  <c r="U15" i="7" s="1"/>
  <c r="V8" i="7" s="1"/>
  <c r="U18" i="7"/>
  <c r="C28" i="9"/>
  <c r="A9" i="1"/>
  <c r="L22" i="1"/>
  <c r="AX5" i="8"/>
  <c r="AW6" i="8"/>
  <c r="AB11" i="8"/>
  <c r="AB13" i="8" s="1"/>
  <c r="AC9" i="8" s="1"/>
  <c r="AC10" i="8" l="1"/>
  <c r="AB12" i="8"/>
  <c r="AY5" i="8"/>
  <c r="AX6" i="8"/>
  <c r="V10" i="7"/>
  <c r="V11" i="7" s="1"/>
  <c r="V14" i="7" s="1"/>
  <c r="V15" i="7" s="1"/>
  <c r="W8" i="7" s="1"/>
  <c r="W10" i="7" l="1"/>
  <c r="W11" i="7" s="1"/>
  <c r="W14" i="7" s="1"/>
  <c r="W15" i="7" s="1"/>
  <c r="X8" i="7" s="1"/>
  <c r="V18" i="7"/>
  <c r="W18" i="7" s="1"/>
  <c r="AC15" i="8"/>
  <c r="AZ5" i="8"/>
  <c r="AY6" i="8"/>
  <c r="AB18" i="8"/>
  <c r="AB17" i="8"/>
  <c r="AB16" i="8"/>
  <c r="AC11" i="8"/>
  <c r="AC12" i="8" s="1"/>
  <c r="AC18" i="8" l="1"/>
  <c r="AC17" i="8"/>
  <c r="X10" i="7"/>
  <c r="X11" i="7" s="1"/>
  <c r="X14" i="7" s="1"/>
  <c r="X15" i="7" s="1"/>
  <c r="Y8" i="7" s="1"/>
  <c r="AC13" i="8"/>
  <c r="AD9" i="8" s="1"/>
  <c r="AZ6" i="8"/>
  <c r="BA5" i="8"/>
  <c r="AC16" i="8"/>
  <c r="X18" i="7" l="1"/>
  <c r="Y10" i="7"/>
  <c r="Y11" i="7" s="1"/>
  <c r="Y14" i="7" s="1"/>
  <c r="Y15" i="7" s="1"/>
  <c r="Z8" i="7" s="1"/>
  <c r="BB5" i="8"/>
  <c r="BA6" i="8"/>
  <c r="AD10" i="8"/>
  <c r="Y18" i="7" l="1"/>
  <c r="Z10" i="7"/>
  <c r="Z11" i="7" s="1"/>
  <c r="Z14" i="7" s="1"/>
  <c r="Z15" i="7" s="1"/>
  <c r="AA8" i="7" s="1"/>
  <c r="AD15" i="8"/>
  <c r="AD11" i="8"/>
  <c r="AD12" i="8" s="1"/>
  <c r="Z18" i="7"/>
  <c r="BB6" i="8"/>
  <c r="BC5" i="8"/>
  <c r="AD18" i="8" l="1"/>
  <c r="AD17" i="8"/>
  <c r="AD16" i="8"/>
  <c r="AA10" i="7"/>
  <c r="AA11" i="7" s="1"/>
  <c r="AA18" i="7" s="1"/>
  <c r="AD13" i="8"/>
  <c r="AE9" i="8" s="1"/>
  <c r="BD5" i="8"/>
  <c r="BC6" i="8"/>
  <c r="AE10" i="8" l="1"/>
  <c r="BD6" i="8"/>
  <c r="BE5" i="8"/>
  <c r="AA14" i="7"/>
  <c r="AA15" i="7" s="1"/>
  <c r="D19" i="9"/>
  <c r="D21" i="9" l="1"/>
  <c r="AB8" i="7"/>
  <c r="AE15" i="8"/>
  <c r="BE6" i="8"/>
  <c r="BF5" i="8"/>
  <c r="AE11" i="8"/>
  <c r="AE12" i="8" s="1"/>
  <c r="AE13" i="8" l="1"/>
  <c r="AF9" i="8" s="1"/>
  <c r="AE18" i="8"/>
  <c r="AE17" i="8"/>
  <c r="AE16" i="8"/>
  <c r="AF10" i="8"/>
  <c r="BF6" i="8"/>
  <c r="BG5" i="8"/>
  <c r="AB10" i="7"/>
  <c r="AB11" i="7" s="1"/>
  <c r="AB14" i="7" l="1"/>
  <c r="AB15" i="7" s="1"/>
  <c r="AC8" i="7" s="1"/>
  <c r="AB18" i="7"/>
  <c r="BG6" i="8"/>
  <c r="BH5" i="8"/>
  <c r="AF15" i="8"/>
  <c r="AF11" i="8"/>
  <c r="AF12" i="8" s="1"/>
  <c r="AF18" i="8" l="1"/>
  <c r="AF17" i="8"/>
  <c r="AF16" i="8"/>
  <c r="AF13" i="8"/>
  <c r="AG9" i="8" s="1"/>
  <c r="BI5" i="8"/>
  <c r="BH6" i="8"/>
  <c r="AC10" i="7"/>
  <c r="AC11" i="7" s="1"/>
  <c r="AC14" i="7" l="1"/>
  <c r="AC15" i="7" s="1"/>
  <c r="AD8" i="7" s="1"/>
  <c r="AC18" i="7"/>
  <c r="AG10" i="8"/>
  <c r="AG11" i="8" s="1"/>
  <c r="BJ5" i="8"/>
  <c r="BI6" i="8"/>
  <c r="AG12" i="8" l="1"/>
  <c r="AG15" i="8"/>
  <c r="AG13" i="8"/>
  <c r="AH9" i="8" s="1"/>
  <c r="BK5" i="8"/>
  <c r="BK6" i="8" s="1"/>
  <c r="BJ6" i="8"/>
  <c r="AD10" i="7"/>
  <c r="AD11" i="7" s="1"/>
  <c r="AD14" i="7" l="1"/>
  <c r="AD15" i="7" s="1"/>
  <c r="AE8" i="7" s="1"/>
  <c r="AD18" i="7"/>
  <c r="AH10" i="8"/>
  <c r="AH11" i="8" s="1"/>
  <c r="AG18" i="8"/>
  <c r="AG17" i="8"/>
  <c r="AG16" i="8"/>
  <c r="AH15" i="8" l="1"/>
  <c r="AH12" i="8"/>
  <c r="AH13" i="8"/>
  <c r="AI9" i="8" s="1"/>
  <c r="AE10" i="7"/>
  <c r="AE11" i="7" s="1"/>
  <c r="AE14" i="7" l="1"/>
  <c r="AE15" i="7" s="1"/>
  <c r="AF8" i="7" s="1"/>
  <c r="AE18" i="7"/>
  <c r="AH18" i="8"/>
  <c r="AH17" i="8"/>
  <c r="AI10" i="8"/>
  <c r="AH16" i="8"/>
  <c r="AI15" i="8" l="1"/>
  <c r="AI11" i="8"/>
  <c r="AI12" i="8" s="1"/>
  <c r="AF10" i="7"/>
  <c r="AF11" i="7" s="1"/>
  <c r="AI18" i="8" l="1"/>
  <c r="AI17" i="8"/>
  <c r="AI16" i="8"/>
  <c r="AF14" i="7"/>
  <c r="AF15" i="7" s="1"/>
  <c r="AG8" i="7" s="1"/>
  <c r="AF18" i="7"/>
  <c r="AI13" i="8"/>
  <c r="AJ9" i="8" s="1"/>
  <c r="AJ10" i="8" l="1"/>
  <c r="AJ11" i="8"/>
  <c r="AG10" i="7"/>
  <c r="AG11" i="7" s="1"/>
  <c r="AG14" i="7" s="1"/>
  <c r="AG15" i="7" s="1"/>
  <c r="AH8" i="7" s="1"/>
  <c r="AJ13" i="8" l="1"/>
  <c r="AK9" i="8" s="1"/>
  <c r="AH10" i="7"/>
  <c r="AH11" i="7" s="1"/>
  <c r="AH14" i="7" s="1"/>
  <c r="AH15" i="7" s="1"/>
  <c r="AI8" i="7" s="1"/>
  <c r="AK10" i="8"/>
  <c r="AK11" i="8" s="1"/>
  <c r="AJ12" i="8"/>
  <c r="AJ15" i="8"/>
  <c r="AK15" i="8" s="1"/>
  <c r="AG18" i="7"/>
  <c r="AH18" i="7" s="1"/>
  <c r="AK13" i="8" l="1"/>
  <c r="AL9" i="8" s="1"/>
  <c r="AL10" i="8"/>
  <c r="AJ18" i="8"/>
  <c r="AJ17" i="8"/>
  <c r="AJ16" i="8"/>
  <c r="AK12" i="8"/>
  <c r="AI10" i="7"/>
  <c r="AI11" i="7" s="1"/>
  <c r="AI14" i="7" s="1"/>
  <c r="AI15" i="7" s="1"/>
  <c r="AJ8" i="7" s="1"/>
  <c r="AJ10" i="7" l="1"/>
  <c r="AJ11" i="7" s="1"/>
  <c r="AJ14" i="7" s="1"/>
  <c r="AJ15" i="7" s="1"/>
  <c r="AK8" i="7" s="1"/>
  <c r="AI18" i="7"/>
  <c r="AJ18" i="7" s="1"/>
  <c r="AK18" i="8"/>
  <c r="AK17" i="8"/>
  <c r="AK16" i="8"/>
  <c r="AL15" i="8"/>
  <c r="AL11" i="8"/>
  <c r="AL13" i="8" s="1"/>
  <c r="AM9" i="8" s="1"/>
  <c r="AM10" i="8" l="1"/>
  <c r="AM11" i="8" s="1"/>
  <c r="AL12" i="8"/>
  <c r="AK10" i="7"/>
  <c r="AK11" i="7" s="1"/>
  <c r="AK14" i="7" s="1"/>
  <c r="AK15" i="7" s="1"/>
  <c r="AL8" i="7" s="1"/>
  <c r="AM15" i="8" l="1"/>
  <c r="AL10" i="7"/>
  <c r="AL11" i="7" s="1"/>
  <c r="AL14" i="7" s="1"/>
  <c r="AL15" i="7" s="1"/>
  <c r="AM8" i="7" s="1"/>
  <c r="AK18" i="7"/>
  <c r="AL18" i="7" s="1"/>
  <c r="AL18" i="8"/>
  <c r="AL17" i="8"/>
  <c r="AL16" i="8"/>
  <c r="AM12" i="8"/>
  <c r="AM13" i="8"/>
  <c r="AN9" i="8" s="1"/>
  <c r="AM10" i="7" l="1"/>
  <c r="AM11" i="7" s="1"/>
  <c r="AM18" i="7" s="1"/>
  <c r="AM16" i="8"/>
  <c r="AN10" i="8"/>
  <c r="AM18" i="8"/>
  <c r="AM17" i="8"/>
  <c r="AN11" i="8" l="1"/>
  <c r="AN13" i="8" s="1"/>
  <c r="AO9" i="8" s="1"/>
  <c r="AN12" i="8"/>
  <c r="AN16" i="8" s="1"/>
  <c r="AN15" i="8"/>
  <c r="AM14" i="7"/>
  <c r="AM15" i="7" s="1"/>
  <c r="C26" i="9"/>
  <c r="E19" i="9"/>
  <c r="AO10" i="8" l="1"/>
  <c r="D9" i="1"/>
  <c r="L23" i="1"/>
  <c r="E21" i="9"/>
  <c r="J9" i="1" s="1"/>
  <c r="AO15" i="8"/>
  <c r="AO11" i="8" l="1"/>
  <c r="AO12" i="8" s="1"/>
  <c r="AO16" i="8" s="1"/>
  <c r="AO13" i="8" l="1"/>
  <c r="AP9" i="8" s="1"/>
  <c r="AP10" i="8" l="1"/>
  <c r="AP15" i="8" l="1"/>
  <c r="AP11" i="8"/>
  <c r="AP12" i="8" s="1"/>
  <c r="AP16" i="8" s="1"/>
  <c r="AP13" i="8" l="1"/>
  <c r="AQ9" i="8" s="1"/>
  <c r="AQ10" i="8" s="1"/>
  <c r="AQ15" i="8" s="1"/>
  <c r="AQ11" i="8" l="1"/>
  <c r="AQ12" i="8" s="1"/>
  <c r="AQ16" i="8" s="1"/>
  <c r="AQ13" i="8" l="1"/>
  <c r="AR9" i="8" s="1"/>
  <c r="AR10" i="8"/>
  <c r="AR15" i="8" l="1"/>
  <c r="AR11" i="8"/>
  <c r="AR12" i="8" s="1"/>
  <c r="AR16" i="8" s="1"/>
  <c r="AR13" i="8" l="1"/>
  <c r="AS9" i="8" s="1"/>
  <c r="AS10" i="8" l="1"/>
  <c r="AS15" i="8" l="1"/>
  <c r="AS11" i="8"/>
  <c r="AS12" i="8" s="1"/>
  <c r="AS16" i="8" s="1"/>
  <c r="AS13" i="8"/>
  <c r="AT9" i="8" s="1"/>
  <c r="AT10" i="8" l="1"/>
  <c r="AT15" i="8"/>
  <c r="AT11" i="8" l="1"/>
  <c r="AT13" i="8" s="1"/>
  <c r="AU9" i="8" s="1"/>
  <c r="AU10" i="8" l="1"/>
  <c r="AT12" i="8"/>
  <c r="AT16" i="8" s="1"/>
  <c r="AU15" i="8" l="1"/>
  <c r="AU11" i="8"/>
  <c r="AU12" i="8" s="1"/>
  <c r="AU16" i="8" s="1"/>
  <c r="AU13" i="8" l="1"/>
  <c r="AV9" i="8" s="1"/>
  <c r="AV10" i="8" l="1"/>
  <c r="AV15" i="8" l="1"/>
  <c r="AV11" i="8"/>
  <c r="AV13" i="8" s="1"/>
  <c r="AW9" i="8" s="1"/>
  <c r="AW10" i="8" l="1"/>
  <c r="AW15" i="8"/>
  <c r="AV12" i="8"/>
  <c r="AV16" i="8" s="1"/>
  <c r="AW11" i="8" l="1"/>
  <c r="AW13" i="8" s="1"/>
  <c r="AX9" i="8" s="1"/>
  <c r="AX10" i="8" l="1"/>
  <c r="AW12" i="8"/>
  <c r="AW16" i="8" s="1"/>
  <c r="AX15" i="8" l="1"/>
  <c r="AX11" i="8"/>
  <c r="AX12" i="8" s="1"/>
  <c r="AX16" i="8" s="1"/>
  <c r="AX13" i="8" l="1"/>
  <c r="AY9" i="8" s="1"/>
  <c r="AY10" i="8" l="1"/>
  <c r="AY15" i="8" l="1"/>
  <c r="AY11" i="8"/>
  <c r="AY12" i="8" s="1"/>
  <c r="AY16" i="8" s="1"/>
  <c r="AY13" i="8" l="1"/>
  <c r="AZ9" i="8" s="1"/>
  <c r="AZ10" i="8" l="1"/>
  <c r="AZ15" i="8" l="1"/>
  <c r="AZ11" i="8"/>
  <c r="AZ12" i="8" s="1"/>
  <c r="AZ16" i="8" s="1"/>
  <c r="AZ13" i="8" l="1"/>
  <c r="BA9" i="8" s="1"/>
  <c r="BA10" i="8" l="1"/>
  <c r="BA11" i="8" s="1"/>
  <c r="BA13" i="8" s="1"/>
  <c r="BB9" i="8" s="1"/>
  <c r="BB10" i="8" l="1"/>
  <c r="BA12" i="8"/>
  <c r="BA16" i="8" s="1"/>
  <c r="BA15" i="8"/>
  <c r="BB15" i="8" s="1"/>
  <c r="BB11" i="8" l="1"/>
  <c r="BB12" i="8" s="1"/>
  <c r="BB16" i="8" s="1"/>
  <c r="BB13" i="8" l="1"/>
  <c r="BC9" i="8" s="1"/>
  <c r="BC10" i="8" s="1"/>
  <c r="BC11" i="8" s="1"/>
  <c r="BC12" i="8" l="1"/>
  <c r="BC16" i="8" s="1"/>
  <c r="BC15" i="8"/>
  <c r="BC13" i="8"/>
  <c r="BD9" i="8" s="1"/>
  <c r="BD10" i="8" l="1"/>
  <c r="BD15" i="8" l="1"/>
  <c r="BD11" i="8"/>
  <c r="BD12" i="8" s="1"/>
  <c r="BD16" i="8" s="1"/>
  <c r="BD13" i="8" l="1"/>
  <c r="BE9" i="8" s="1"/>
  <c r="BE10" i="8" l="1"/>
  <c r="BE15" i="8" l="1"/>
  <c r="BE11" i="8"/>
  <c r="BE12" i="8" s="1"/>
  <c r="BE16" i="8" s="1"/>
  <c r="BE13" i="8" l="1"/>
  <c r="BF9" i="8" s="1"/>
  <c r="BF10" i="8" s="1"/>
  <c r="BF15" i="8" s="1"/>
  <c r="BF11" i="8" l="1"/>
  <c r="BF13" i="8" s="1"/>
  <c r="BG9" i="8" s="1"/>
  <c r="BG10" i="8" s="1"/>
  <c r="BG15" i="8" s="1"/>
  <c r="BF12" i="8" l="1"/>
  <c r="BF16" i="8" s="1"/>
  <c r="BG11" i="8"/>
  <c r="BG12" i="8" s="1"/>
  <c r="BG16" i="8" s="1"/>
  <c r="BG13" i="8" l="1"/>
  <c r="BH9" i="8" s="1"/>
  <c r="BH10" i="8" l="1"/>
  <c r="BH11" i="8"/>
  <c r="BH13" i="8" s="1"/>
  <c r="BI9" i="8" s="1"/>
  <c r="BI10" i="8" l="1"/>
  <c r="BI11" i="8"/>
  <c r="BI13" i="8" s="1"/>
  <c r="BJ9" i="8" s="1"/>
  <c r="BH12" i="8"/>
  <c r="BH16" i="8" s="1"/>
  <c r="BH15" i="8"/>
  <c r="BI15" i="8" s="1"/>
  <c r="BJ10" i="8" l="1"/>
  <c r="BI12" i="8"/>
  <c r="BI16" i="8" s="1"/>
  <c r="BJ15" i="8" l="1"/>
  <c r="BJ11" i="8"/>
  <c r="BJ12" i="8" s="1"/>
  <c r="BJ16" i="8" s="1"/>
  <c r="BJ13" i="8" l="1"/>
  <c r="BK9" i="8" s="1"/>
  <c r="BK10" i="8" l="1"/>
  <c r="BK15" i="8" l="1"/>
  <c r="BK11" i="8"/>
  <c r="BK12" i="8" s="1"/>
  <c r="BK16" i="8" s="1"/>
  <c r="BK13" i="8" l="1"/>
</calcChain>
</file>

<file path=xl/sharedStrings.xml><?xml version="1.0" encoding="utf-8"?>
<sst xmlns="http://schemas.openxmlformats.org/spreadsheetml/2006/main" count="965" uniqueCount="601">
  <si>
    <t>BitMach | Simplified 20MW Phase 1 Model (36 months)</t>
  </si>
  <si>
    <t>Equity-first base case for management and investor conversations. Detailed master model remains separate; optional revenue and debt are included only as editable upside levers.</t>
  </si>
  <si>
    <t>Headline KPIs</t>
  </si>
  <si>
    <t>Phase 1 envelope (MW)</t>
  </si>
  <si>
    <t>Site split (GVL / AMSA MW)</t>
  </si>
  <si>
    <t>36M BTC mined</t>
  </si>
  <si>
    <t>36M revenue (base)</t>
  </si>
  <si>
    <t>Peak funding required</t>
  </si>
  <si>
    <t>Total equity required</t>
  </si>
  <si>
    <t>Year 3 EBITDA</t>
  </si>
  <si>
    <t>End-36M cash</t>
  </si>
  <si>
    <t>Implied payback (yrs)</t>
  </si>
  <si>
    <t>Year 1 capex</t>
  </si>
  <si>
    <t>Year 2 unlevered CF</t>
  </si>
  <si>
    <t>Optionality toggles</t>
  </si>
  <si>
    <t>Annual output summary</t>
  </si>
  <si>
    <t>Site deployment and revenue architecture</t>
  </si>
  <si>
    <t>Metric</t>
  </si>
  <si>
    <t>Year 1</t>
  </si>
  <si>
    <t>Year 2</t>
  </si>
  <si>
    <t>Year 3</t>
  </si>
  <si>
    <t>36M total</t>
  </si>
  <si>
    <t>Comment</t>
  </si>
  <si>
    <t>Topic</t>
  </si>
  <si>
    <t>Base case</t>
  </si>
  <si>
    <t>Why it matters</t>
  </si>
  <si>
    <t>Edit at</t>
  </si>
  <si>
    <t>Current phase footprint</t>
  </si>
  <si>
    <t>MW</t>
  </si>
  <si>
    <t>Year-end gross MW</t>
  </si>
  <si>
    <t>Gross compute MW in place</t>
  </si>
  <si>
    <t>Grootvlei compute</t>
  </si>
  <si>
    <t>15MW by month 5 | 22h/day</t>
  </si>
  <si>
    <t>Primary production node and Eskom brownfield anchor</t>
  </si>
  <si>
    <t>Inputs / Deployment_36M</t>
  </si>
  <si>
    <t>Phase 1 total gross</t>
  </si>
  <si>
    <t>BTC mined</t>
  </si>
  <si>
    <t>Bitcoin produced</t>
  </si>
  <si>
    <t>AMSA compute</t>
  </si>
  <si>
    <t>5MW by month 6</t>
  </si>
  <si>
    <t>Adds industrial diversification and solar blend pathway</t>
  </si>
  <si>
    <t>Year-end Grootvlei</t>
  </si>
  <si>
    <t>Revenue (base)</t>
  </si>
  <si>
    <t>BTC revenue only</t>
  </si>
  <si>
    <t>AMSA solar</t>
  </si>
  <si>
    <t>10MW from month 5</t>
  </si>
  <si>
    <t>Reduces blended energy cost materially</t>
  </si>
  <si>
    <t>Year-end AMSA</t>
  </si>
  <si>
    <t>Cash opex</t>
  </si>
  <si>
    <t>Cash operating cost</t>
  </si>
  <si>
    <t>Revenue stack</t>
  </si>
  <si>
    <t>BTC base; DR + hyperscaler optional</t>
  </si>
  <si>
    <t>Keeps base case conservative for investors/lenders</t>
  </si>
  <si>
    <t>Revenue_36M toggles</t>
  </si>
  <si>
    <t>Year-end AMSA solar</t>
  </si>
  <si>
    <t>EBITDA (base)</t>
  </si>
  <si>
    <t>Revenue less opex</t>
  </si>
  <si>
    <t>Funding stack</t>
  </si>
  <si>
    <t>100% equity default</t>
  </si>
  <si>
    <t>Aligns with current Phase 1 raise framing</t>
  </si>
  <si>
    <t>Inputs / Funding_36M</t>
  </si>
  <si>
    <t>Peak funding</t>
  </si>
  <si>
    <t>Capex spend</t>
  </si>
  <si>
    <t>Cash capital deployed</t>
  </si>
  <si>
    <t>Operating model</t>
  </si>
  <si>
    <t>98% uptime; 22h GVL; 12h + 9h AMSA</t>
  </si>
  <si>
    <t>Separates uptime from site operating windows</t>
  </si>
  <si>
    <t>Inputs</t>
  </si>
  <si>
    <t>Total equity</t>
  </si>
  <si>
    <t>Unlevered cash flow</t>
  </si>
  <si>
    <t>Base-case free cash flow before funding</t>
  </si>
  <si>
    <t>Investor use</t>
  </si>
  <si>
    <t>Use Dashboard + Annual_Summary only</t>
  </si>
  <si>
    <t>Detailed monthly tabs remain internal</t>
  </si>
  <si>
    <t>Sources_Notes</t>
  </si>
  <si>
    <t>Y3 EBITDA</t>
  </si>
  <si>
    <t>Editable choice</t>
  </si>
  <si>
    <t>Still easy to switch to a 10 / 10 split</t>
  </si>
  <si>
    <t>Scenario flexibility without breaking formulas</t>
  </si>
  <si>
    <t>Implied payback</t>
  </si>
  <si>
    <t>Base-case assumptions</t>
  </si>
  <si>
    <t>Model framing and cautions</t>
  </si>
  <si>
    <t>Driver</t>
  </si>
  <si>
    <t>Value</t>
  </si>
  <si>
    <t>Unit</t>
  </si>
  <si>
    <t>Where to edit</t>
  </si>
  <si>
    <t>Model role</t>
  </si>
  <si>
    <t>Technical uptime</t>
  </si>
  <si>
    <t>%</t>
  </si>
  <si>
    <t>Inputs!C10</t>
  </si>
  <si>
    <t>Production conversion</t>
  </si>
  <si>
    <t>User confirmed 98% is realistic.</t>
  </si>
  <si>
    <t>Grootvlei hours/day</t>
  </si>
  <si>
    <t>hours</t>
  </si>
  <si>
    <t>Inputs!C12</t>
  </si>
  <si>
    <t>Availability profile</t>
  </si>
  <si>
    <t>User confirmed 22h/day is aligned with current negotiations.</t>
  </si>
  <si>
    <t>AMSA Eskom hours/day</t>
  </si>
  <si>
    <t>Inputs!C13</t>
  </si>
  <si>
    <t>Grid supply profile</t>
  </si>
  <si>
    <t>Editable.</t>
  </si>
  <si>
    <t>AMSA solar hours/day</t>
  </si>
  <si>
    <t>Inputs!C14</t>
  </si>
  <si>
    <t>Solar contribution</t>
  </si>
  <si>
    <t>BTC price start</t>
  </si>
  <si>
    <t>USD/BTC</t>
  </si>
  <si>
    <t>Inputs!C21</t>
  </si>
  <si>
    <t>Top-line driver</t>
  </si>
  <si>
    <t>Network growth p.a.</t>
  </si>
  <si>
    <t>Inputs!C24</t>
  </si>
  <si>
    <t>Difficulty sensitivity</t>
  </si>
  <si>
    <t>Editable stress point.</t>
  </si>
  <si>
    <t>Year 1 tariffs (GVL / AMSA)</t>
  </si>
  <si>
    <t>R/kWh</t>
  </si>
  <si>
    <t>Inputs tariffs</t>
  </si>
  <si>
    <t>Primary IRR driver</t>
  </si>
  <si>
    <t>BitMach Phase 1 (20MW) | Simplified 36-Month Model</t>
  </si>
  <si>
    <t>Scaled-down fundraising model for the first 20MW only. Core case is conservative; optionality is visible but off by default.</t>
  </si>
  <si>
    <t>Notes</t>
  </si>
  <si>
    <t>MODEL ASSUMPTIONS</t>
  </si>
  <si>
    <t>Editable blue cells. Defaults aim to be conservative and bankable.</t>
  </si>
  <si>
    <t>Model start date</t>
  </si>
  <si>
    <t>date</t>
  </si>
  <si>
    <t>Editable. Relative 36-month model start.</t>
  </si>
  <si>
    <t>Horizon months</t>
  </si>
  <si>
    <t>months</t>
  </si>
  <si>
    <t>Fixed workbook horizon.</t>
  </si>
  <si>
    <t>Phase 1 total gross MW</t>
  </si>
  <si>
    <t>Scaled-down Phase 1 only.</t>
  </si>
  <si>
    <t>Grootvlei target MW</t>
  </si>
  <si>
    <t>Latest investor deck uses 15MW Grootvlei + 5MW AMSA; change these two cells to 10/10 if management wants the older Nedbank memo framing.</t>
  </si>
  <si>
    <t>AMSA target MW</t>
  </si>
  <si>
    <t>Editable site split.</t>
  </si>
  <si>
    <t>Aux load</t>
  </si>
  <si>
    <t>Cooling / container auxiliaries.</t>
  </si>
  <si>
    <t>hours/day</t>
  </si>
  <si>
    <t>Grid-supplied runtime leg.</t>
  </si>
  <si>
    <t>Solar-supplied runtime leg.</t>
  </si>
  <si>
    <t>AMSA solar MW in Phase 1</t>
  </si>
  <si>
    <t>Conservative Year-1 placeholder; keep editable.</t>
  </si>
  <si>
    <t>Solar COD month</t>
  </si>
  <si>
    <t>month#</t>
  </si>
  <si>
    <t>Solar available during ramp-up.</t>
  </si>
  <si>
    <t>General annual inflation</t>
  </si>
  <si>
    <t>Used for non-payroll recurring opex.</t>
  </si>
  <si>
    <t>Salary annual inflation</t>
  </si>
  <si>
    <t>Used for payroll escalation.</t>
  </si>
  <si>
    <t>BITCOIN / NETWORK</t>
  </si>
  <si>
    <t>Core market assumptions.</t>
  </si>
  <si>
    <t>FX (ZAR/USD)</t>
  </si>
  <si>
    <t>ZAR/USD</t>
  </si>
  <si>
    <t>April 2026 investor materials use R17.00/USD.</t>
  </si>
  <si>
    <t>Editable spot / entry assumption.</t>
  </si>
  <si>
    <t>BTC annual growth</t>
  </si>
  <si>
    <t>Base case market growth.</t>
  </si>
  <si>
    <t>Network hash start</t>
  </si>
  <si>
    <t>TH/s</t>
  </si>
  <si>
    <t>Network hash annual growth</t>
  </si>
  <si>
    <t>Base case difficulty / network growth.</t>
  </si>
  <si>
    <t>Blocks per day</t>
  </si>
  <si>
    <t>blocks/day</t>
  </si>
  <si>
    <t>Protocol input.</t>
  </si>
  <si>
    <t>Block subsidy</t>
  </si>
  <si>
    <t>BTC/block</t>
  </si>
  <si>
    <t>Fee factor on subsidy</t>
  </si>
  <si>
    <t>Pool fee / transaction fee uplift.</t>
  </si>
  <si>
    <t>SITE PRICING</t>
  </si>
  <si>
    <t>Explicit yearly tariffs rather than a hidden blend.</t>
  </si>
  <si>
    <t>Grootvlei tariff - Year 1</t>
  </si>
  <si>
    <t>Proof-phase conservative tariff.</t>
  </si>
  <si>
    <t>Grootvlei tariff - Year 2</t>
  </si>
  <si>
    <t>Partial improvement after proof of flexibility.</t>
  </si>
  <si>
    <t>Grootvlei tariff - Year 3</t>
  </si>
  <si>
    <t>Future-state improvement placeholder; editable.</t>
  </si>
  <si>
    <t>AMSA Eskom tariff - Year 1</t>
  </si>
  <si>
    <t>AMSA grid leg.</t>
  </si>
  <si>
    <t>AMSA Eskom tariff - Year 2</t>
  </si>
  <si>
    <t>AMSA Eskom tariff - Year 3</t>
  </si>
  <si>
    <t>Solar capex</t>
  </si>
  <si>
    <t>ZAR'000/MW</t>
  </si>
  <si>
    <t>Conservative placeholder.</t>
  </si>
  <si>
    <t>Solar O&amp;M</t>
  </si>
  <si>
    <t>% p.a.</t>
  </si>
  <si>
    <t>Annual O&amp;M as % of solar capex.</t>
  </si>
  <si>
    <t>HARDWARE</t>
  </si>
  <si>
    <t>Default set to the internally consistent working basis currently used in the detailed master model; editable if Bitmain terms are finalized.</t>
  </si>
  <si>
    <t>Miner hashrate</t>
  </si>
  <si>
    <t>TH/miner</t>
  </si>
  <si>
    <t>Editable. Current working base.</t>
  </si>
  <si>
    <t>Miner efficiency</t>
  </si>
  <si>
    <t>J/T</t>
  </si>
  <si>
    <t>Miner power</t>
  </si>
  <si>
    <t>W/miner</t>
  </si>
  <si>
    <t>Formula = hashrate x J/T.</t>
  </si>
  <si>
    <t>Miner price</t>
  </si>
  <si>
    <t>USD/miner</t>
  </si>
  <si>
    <t>Editable hardware pricing.</t>
  </si>
  <si>
    <t>Miner useful life</t>
  </si>
  <si>
    <t>years</t>
  </si>
  <si>
    <t>For replacement reserve framing only.</t>
  </si>
  <si>
    <t>Miner slots per container</t>
  </si>
  <si>
    <t>miners/container</t>
  </si>
  <si>
    <t>Working hydro container basis.</t>
  </si>
  <si>
    <t>Hydro container cost</t>
  </si>
  <si>
    <t>USD/container</t>
  </si>
  <si>
    <t>Editable placeholder.</t>
  </si>
  <si>
    <t>Container gross MW</t>
  </si>
  <si>
    <t>MW/container</t>
  </si>
  <si>
    <t>Formula from miner power, slot count and aux load.</t>
  </si>
  <si>
    <t>CAPEX BASIS</t>
  </si>
  <si>
    <t>Fixed + variable capex and deployment logistics.</t>
  </si>
  <si>
    <t>Electrical site fixed capex</t>
  </si>
  <si>
    <t>ZAR'000/site</t>
  </si>
  <si>
    <t>Derived from the detailed EPC quote normalization in the master model.</t>
  </si>
  <si>
    <t>Electrical variable capex</t>
  </si>
  <si>
    <t>Initial spare parts</t>
  </si>
  <si>
    <t>% of hardware+containers</t>
  </si>
  <si>
    <t>One-off initial spares.</t>
  </si>
  <si>
    <t>Tools &amp; equipment initial</t>
  </si>
  <si>
    <t>One-off tools/accessories.</t>
  </si>
  <si>
    <t>Office setup / deposits</t>
  </si>
  <si>
    <t>ZAR'000</t>
  </si>
  <si>
    <t>One-off corporate setup.</t>
  </si>
  <si>
    <t>Software / SCADA setup</t>
  </si>
  <si>
    <t>One-off systems setup.</t>
  </si>
  <si>
    <t>Legal setup total</t>
  </si>
  <si>
    <t>One-off documentation / structuring.</t>
  </si>
  <si>
    <t>Ocean freight</t>
  </si>
  <si>
    <t>Editable logistics placeholder.</t>
  </si>
  <si>
    <t>Port / clearing</t>
  </si>
  <si>
    <t>ZAR'000/container</t>
  </si>
  <si>
    <t>Inland trucking</t>
  </si>
  <si>
    <t>Crane / rigging</t>
  </si>
  <si>
    <t>Cargo insurance</t>
  </si>
  <si>
    <t>Editable logistics assumption.</t>
  </si>
  <si>
    <t>Import duty</t>
  </si>
  <si>
    <t>Editable duty assumption.</t>
  </si>
  <si>
    <t>PEOPLE / OPEX</t>
  </si>
  <si>
    <t>Recurring people and overhead assumptions.</t>
  </si>
  <si>
    <t>Staff hardware setup</t>
  </si>
  <si>
    <t>ZAR'000/FTE</t>
  </si>
  <si>
    <t>Laptop / phone / PPE provisioning.</t>
  </si>
  <si>
    <t>Fixed corporate FTE</t>
  </si>
  <si>
    <t>FTE</t>
  </si>
  <si>
    <t>Corporate team for Phase 1.</t>
  </si>
  <si>
    <t>Corporate salary</t>
  </si>
  <si>
    <t>ZAR'000/FTE/yr</t>
  </si>
  <si>
    <t>Fully loaded CTC.</t>
  </si>
  <si>
    <t>Site management FTE/site</t>
  </si>
  <si>
    <t>FTE/site</t>
  </si>
  <si>
    <t>Manager + supervisor.</t>
  </si>
  <si>
    <t>Site management salary</t>
  </si>
  <si>
    <t>Technicians FTE/MW</t>
  </si>
  <si>
    <t>FTE/MW</t>
  </si>
  <si>
    <t>Hydro site technician intensity.</t>
  </si>
  <si>
    <t>Technician salary</t>
  </si>
  <si>
    <t>Electricians FTE/MW</t>
  </si>
  <si>
    <t>Electricians per MW.</t>
  </si>
  <si>
    <t>Electrician salary</t>
  </si>
  <si>
    <t>Benefits load</t>
  </si>
  <si>
    <t>Benefits / payroll load.</t>
  </si>
  <si>
    <t>Travel &amp; accommodation</t>
  </si>
  <si>
    <t>% of gross payroll</t>
  </si>
  <si>
    <t>Recurring travel as % of payroll.</t>
  </si>
  <si>
    <t>Site mobilization travel</t>
  </si>
  <si>
    <t>ZAR'000/site start</t>
  </si>
  <si>
    <t>One-off mobilization / commissioning travel.</t>
  </si>
  <si>
    <t>SaaS per FTE / month</t>
  </si>
  <si>
    <t>ZAR'000/FTE/mo</t>
  </si>
  <si>
    <t>Email, PM, security tools.</t>
  </si>
  <si>
    <t>Site software / monitoring</t>
  </si>
  <si>
    <t>ZAR'000/site/mo</t>
  </si>
  <si>
    <t>SCADA, monitoring, connectivity support.</t>
  </si>
  <si>
    <t>File storage / cloud</t>
  </si>
  <si>
    <t>ZAR'000/mo</t>
  </si>
  <si>
    <t>Recurring file storage/cloud.</t>
  </si>
  <si>
    <t>Legal retainer</t>
  </si>
  <si>
    <t>Ongoing legal support.</t>
  </si>
  <si>
    <t>Office rent</t>
  </si>
  <si>
    <t>Head office rent.</t>
  </si>
  <si>
    <t>Tools / consumables recurring</t>
  </si>
  <si>
    <t>ZAR'000/MW/mo</t>
  </si>
  <si>
    <t>Filters, consumables, small parts.</t>
  </si>
  <si>
    <t>Security &amp; operating insurance</t>
  </si>
  <si>
    <t>Site security and insurance.</t>
  </si>
  <si>
    <t>Other utilities / water</t>
  </si>
  <si>
    <t>Water treatment and misc utilities.</t>
  </si>
  <si>
    <t>OPTIONALITY / UPSIDE</t>
  </si>
  <si>
    <t>All off by default in the conservative case.</t>
  </si>
  <si>
    <t>Include demand response?</t>
  </si>
  <si>
    <t>0/1</t>
  </si>
  <si>
    <t>0 = off / 1 = on.</t>
  </si>
  <si>
    <t>DR start month</t>
  </si>
  <si>
    <t>Start month if toggled on.</t>
  </si>
  <si>
    <t>DR price</t>
  </si>
  <si>
    <t>Placeholder paid availability price.</t>
  </si>
  <si>
    <t>DR equivalent hours/day</t>
  </si>
  <si>
    <t>Equivalent paid availability window.</t>
  </si>
  <si>
    <t>DR paid utilisation</t>
  </si>
  <si>
    <t>Share of availability window actually paid.</t>
  </si>
  <si>
    <t>Include hyperscaler resale?</t>
  </si>
  <si>
    <t>Hyperscaler start month</t>
  </si>
  <si>
    <t>Year-3 optionality by default.</t>
  </si>
  <si>
    <t>Hyperscaler MW sold</t>
  </si>
  <si>
    <t>Pilot resale / tenant MW.</t>
  </si>
  <si>
    <t>Hyperscaler hours/day</t>
  </si>
  <si>
    <t>Pilot tenant runtime.</t>
  </si>
  <si>
    <t>Hyperscaler sale price</t>
  </si>
  <si>
    <t>USD/MWh</t>
  </si>
  <si>
    <t>Placeholder resale tariff.</t>
  </si>
  <si>
    <t>FUNDING / CASH TIMING</t>
  </si>
  <si>
    <t>Keep simple: staged payments and editable funding mix.</t>
  </si>
  <si>
    <t>Equity share of external funding</t>
  </si>
  <si>
    <t>Default for this simplified 20MW model = equity-funded Phase 1; user can reintroduce debt later.</t>
  </si>
  <si>
    <t>Senior debt share of external funding</t>
  </si>
  <si>
    <t>Set to 0% by default to align with current Phase 1 equity raise framing.</t>
  </si>
  <si>
    <t>Senior debt interest</t>
  </si>
  <si>
    <t>Indicative project debt placeholder.</t>
  </si>
  <si>
    <t>Senior debt tenor</t>
  </si>
  <si>
    <t>Indicative term.</t>
  </si>
  <si>
    <t>Senior debt grace period</t>
  </si>
  <si>
    <t>Interest capitalizes during grace.</t>
  </si>
  <si>
    <t>Arrangement fee</t>
  </si>
  <si>
    <t>% of gross debt draw</t>
  </si>
  <si>
    <t>Debt arrangement fee.</t>
  </si>
  <si>
    <t>Minimum cash buffer</t>
  </si>
  <si>
    <t>Raise if financiers want a liquidity reserve.</t>
  </si>
  <si>
    <t>Miner deposit</t>
  </si>
  <si>
    <t>% of hardware basis</t>
  </si>
  <si>
    <t>Miner final payment</t>
  </si>
  <si>
    <t>Miner order lead time</t>
  </si>
  <si>
    <t>Deposit paid this many months before COD.</t>
  </si>
  <si>
    <t>Container deposit</t>
  </si>
  <si>
    <t>% of container basis</t>
  </si>
  <si>
    <t>Container progress</t>
  </si>
  <si>
    <t>Container final</t>
  </si>
  <si>
    <t>Container order lead time</t>
  </si>
  <si>
    <t>EPC deposit</t>
  </si>
  <si>
    <t>% of EPC basis</t>
  </si>
  <si>
    <t>EPC progress</t>
  </si>
  <si>
    <t>EPC final</t>
  </si>
  <si>
    <t>Paid in COD month.</t>
  </si>
  <si>
    <t>EPC commissioning</t>
  </si>
  <si>
    <t>Paid one month after COD.</t>
  </si>
  <si>
    <t>EPC order lead time</t>
  </si>
  <si>
    <t>Deployment_36M | Editable site ramp for the first 20MW only</t>
  </si>
  <si>
    <t>Edit only the three closing-MW rows (Grootvlei, AMSA, AMSA solar). Everything else is formula-driven. Default ramp = 0/0/5/10/15/20MW gross over the first six months.</t>
  </si>
  <si>
    <t>Date</t>
  </si>
  <si>
    <t>From Inputs start date</t>
  </si>
  <si>
    <t>Days in month</t>
  </si>
  <si>
    <t>days</t>
  </si>
  <si>
    <t>Calendar days</t>
  </si>
  <si>
    <t>Grootvlei closing MW</t>
  </si>
  <si>
    <t>Editable</t>
  </si>
  <si>
    <t>AMSA closing MW</t>
  </si>
  <si>
    <t>AMSA solar closing MW</t>
  </si>
  <si>
    <t>Grootvlei opening MW</t>
  </si>
  <si>
    <t>Formula</t>
  </si>
  <si>
    <t>AMSA opening MW</t>
  </si>
  <si>
    <t>AMSA solar opening MW</t>
  </si>
  <si>
    <t>Grootvlei average MW</t>
  </si>
  <si>
    <t>AMSA average MW</t>
  </si>
  <si>
    <t>AMSA average solar MW</t>
  </si>
  <si>
    <t>Total average MW</t>
  </si>
  <si>
    <t>Grootvlei new MW</t>
  </si>
  <si>
    <t>AMSA new MW</t>
  </si>
  <si>
    <t>AMSA solar new MW</t>
  </si>
  <si>
    <t>Total new MW</t>
  </si>
  <si>
    <t>Grootvlei active site</t>
  </si>
  <si>
    <t>flag</t>
  </si>
  <si>
    <t>AMSA active site</t>
  </si>
  <si>
    <t>Total active sites</t>
  </si>
  <si>
    <t>count</t>
  </si>
  <si>
    <t>Grootvlei site start</t>
  </si>
  <si>
    <t>AMSA site start</t>
  </si>
  <si>
    <t>Total site starts</t>
  </si>
  <si>
    <t>Grootvlei closing containers</t>
  </si>
  <si>
    <t>containers</t>
  </si>
  <si>
    <t>AMSA closing containers</t>
  </si>
  <si>
    <t>Total closing containers</t>
  </si>
  <si>
    <t>Grootvlei opening containers</t>
  </si>
  <si>
    <t>AMSA opening containers</t>
  </si>
  <si>
    <t>Total opening containers</t>
  </si>
  <si>
    <t>Grootvlei new containers</t>
  </si>
  <si>
    <t>AMSA new containers</t>
  </si>
  <si>
    <t>Total new containers</t>
  </si>
  <si>
    <t>New site FTE onboarded</t>
  </si>
  <si>
    <t>Cumulative site FTE onboarded</t>
  </si>
  <si>
    <t>Revenue_36M | Bitcoin anchor revenue plus visible optionality lines</t>
  </si>
  <si>
    <t>Base-case cashflow uses BTC revenue only. Demand response and hyperscaler rows are formula-driven but off by default in Inputs.</t>
  </si>
  <si>
    <t>Linked from deployment</t>
  </si>
  <si>
    <t>BTC price (USD)</t>
  </si>
  <si>
    <t>Monthly compounding from annual growth</t>
  </si>
  <si>
    <t>BTC price (ZAR)</t>
  </si>
  <si>
    <t>ZAR/BTC</t>
  </si>
  <si>
    <t>USD price x FX</t>
  </si>
  <si>
    <t>Network hash</t>
  </si>
  <si>
    <t>Network BTC mined</t>
  </si>
  <si>
    <t>BTC/month</t>
  </si>
  <si>
    <t>Blocks/day x subsidy x fee factor x days</t>
  </si>
  <si>
    <t>Grootvlei BTC mined</t>
  </si>
  <si>
    <t>Uses Grootvlei avg MW, 22h/day and technical uptime</t>
  </si>
  <si>
    <t>AMSA BTC mined</t>
  </si>
  <si>
    <t>Uses AMSA avg MW and combined grid + solar operating hours</t>
  </si>
  <si>
    <t>Total BTC mined</t>
  </si>
  <si>
    <t>Sum of sites</t>
  </si>
  <si>
    <t>BTC revenue</t>
  </si>
  <si>
    <t>Base-case anchor revenue</t>
  </si>
  <si>
    <t>Demand response revenue</t>
  </si>
  <si>
    <t>Optionality line; off by default</t>
  </si>
  <si>
    <t>Hyperscaler resale revenue</t>
  </si>
  <si>
    <t>Total revenue - base case</t>
  </si>
  <si>
    <t>Base case used in Funding sheet</t>
  </si>
  <si>
    <t>Total revenue - with optionality</t>
  </si>
  <si>
    <t>BTC + toggled optionality</t>
  </si>
  <si>
    <t>Opex_36M | Site energy, people and recurring operating costs</t>
  </si>
  <si>
    <t>Energy cost is the dominant driver. Payroll and recurring overheads remain visible but simplified.</t>
  </si>
  <si>
    <t>Grootvlei electricity cost</t>
  </si>
  <si>
    <t>Gross MW x hours/day x tariff x uptime</t>
  </si>
  <si>
    <t>AMSA Eskom electricity cost</t>
  </si>
  <si>
    <t>Grid leg only</t>
  </si>
  <si>
    <t>AMSA solar O&amp;M</t>
  </si>
  <si>
    <t>Solar capex x O&amp;M%</t>
  </si>
  <si>
    <t>Total energy cost</t>
  </si>
  <si>
    <t>Energy is the main operating cost</t>
  </si>
  <si>
    <t>Corporate payroll</t>
  </si>
  <si>
    <t>Fixed corporate team</t>
  </si>
  <si>
    <t>Site management payroll</t>
  </si>
  <si>
    <t>2 FTE per active site</t>
  </si>
  <si>
    <t>Technician payroll</t>
  </si>
  <si>
    <t>Variable with average MW</t>
  </si>
  <si>
    <t>Electrician payroll</t>
  </si>
  <si>
    <t>Gross payroll</t>
  </si>
  <si>
    <t>Sum of payroll lines</t>
  </si>
  <si>
    <t>Benefits</t>
  </si>
  <si>
    <t>Benefits load on gross payroll</t>
  </si>
  <si>
    <t>Salaries &amp; benefits</t>
  </si>
  <si>
    <t>Gross payroll + benefits</t>
  </si>
  <si>
    <t>Travel / accommodation</t>
  </si>
  <si>
    <t>Recurring % plus site-start mobilization</t>
  </si>
  <si>
    <t>Software / storage / monitoring</t>
  </si>
  <si>
    <t>SaaS + site monitoring + cloud</t>
  </si>
  <si>
    <t>Legal fees</t>
  </si>
  <si>
    <t>Recurring retainer</t>
  </si>
  <si>
    <t>Recurring office rent</t>
  </si>
  <si>
    <t>Filters and consumables</t>
  </si>
  <si>
    <t>Per active site</t>
  </si>
  <si>
    <t>Total cash opex</t>
  </si>
  <si>
    <t>Operating cash cost</t>
  </si>
  <si>
    <t>EBITDA - base case</t>
  </si>
  <si>
    <t>Base case = BTC only</t>
  </si>
  <si>
    <t>EBITDA - with optionality</t>
  </si>
  <si>
    <t>Capex_36M | Simplified staged payment model for Phase 1 buildout</t>
  </si>
  <si>
    <t>Designed to stay compact. Hardware, container and EPC cash timing uses staged payments rather than the full legal vendor schedule in the detailed master model.</t>
  </si>
  <si>
    <t>New MW commissioned</t>
  </si>
  <si>
    <t>New containers commissioned</t>
  </si>
  <si>
    <t>New solar MW</t>
  </si>
  <si>
    <t>ASIC hardware capex basis</t>
  </si>
  <si>
    <t>Per new commissioned MW</t>
  </si>
  <si>
    <t>Hydro container capex basis</t>
  </si>
  <si>
    <t>Per new commissioned container</t>
  </si>
  <si>
    <t>Electrical EPC basis</t>
  </si>
  <si>
    <t>Site-fixed + variable/MW</t>
  </si>
  <si>
    <t>Solar PV capex basis</t>
  </si>
  <si>
    <t>Per new solar MW</t>
  </si>
  <si>
    <t>Initial spare parts basis</t>
  </si>
  <si>
    <t>% of hardware + containers</t>
  </si>
  <si>
    <t>Tools / equipment initial basis</t>
  </si>
  <si>
    <t>Per site start</t>
  </si>
  <si>
    <t>Staff hardware basis</t>
  </si>
  <si>
    <t>Per new site FTE</t>
  </si>
  <si>
    <t>Freight basis</t>
  </si>
  <si>
    <t>Per new container</t>
  </si>
  <si>
    <t>Port / clearing basis</t>
  </si>
  <si>
    <t>Inland trucking basis</t>
  </si>
  <si>
    <t>Crane / rigging basis</t>
  </si>
  <si>
    <t>Cargo insurance basis</t>
  </si>
  <si>
    <t>Import duty basis</t>
  </si>
  <si>
    <t>Office / software / legal setup basis</t>
  </si>
  <si>
    <t>One-off corporate setup</t>
  </si>
  <si>
    <t>ASIC hardware deposit cash</t>
  </si>
  <si>
    <t>Deposit paid before COD</t>
  </si>
  <si>
    <t>ASIC hardware final cash</t>
  </si>
  <si>
    <t>Final cash paid in COD month</t>
  </si>
  <si>
    <t>Container deposit cash</t>
  </si>
  <si>
    <t>Container progress cash</t>
  </si>
  <si>
    <t>Progress payment before COD</t>
  </si>
  <si>
    <t>Container final cash</t>
  </si>
  <si>
    <t>Final paid in COD month</t>
  </si>
  <si>
    <t>EPC deposit cash</t>
  </si>
  <si>
    <t>EPC progress cash</t>
  </si>
  <si>
    <t>EPC final cash</t>
  </si>
  <si>
    <t>EPC commissioning cash</t>
  </si>
  <si>
    <t>Paid one month after COD</t>
  </si>
  <si>
    <t>Solar deposit cash</t>
  </si>
  <si>
    <t>Simplified staged solar payment</t>
  </si>
  <si>
    <t>Solar progress cash</t>
  </si>
  <si>
    <t>Solar final cash</t>
  </si>
  <si>
    <t>Initial spare parts cash</t>
  </si>
  <si>
    <t>Paid in COD month</t>
  </si>
  <si>
    <t>Tools / equipment initial cash</t>
  </si>
  <si>
    <t>Paid on site start</t>
  </si>
  <si>
    <t>Staff hardware cash</t>
  </si>
  <si>
    <t>Paid on onboarding</t>
  </si>
  <si>
    <t>Freight cash</t>
  </si>
  <si>
    <t>Paid one month before COD</t>
  </si>
  <si>
    <t>Port / clearing cash</t>
  </si>
  <si>
    <t>Inland trucking cash</t>
  </si>
  <si>
    <t>Crane / rigging cash</t>
  </si>
  <si>
    <t>Cargo insurance cash</t>
  </si>
  <si>
    <t>Import duty cash</t>
  </si>
  <si>
    <t>Office / software / legal setup cash</t>
  </si>
  <si>
    <t>Paid in month 1</t>
  </si>
  <si>
    <t>Total capex cash spend</t>
  </si>
  <si>
    <t>Used in Funding sheet</t>
  </si>
  <si>
    <t>Cumulative capex spend</t>
  </si>
  <si>
    <t>Running total</t>
  </si>
  <si>
    <t>Funding_36M | Conservative base-case funding need (BTC revenue only)</t>
  </si>
  <si>
    <t>Default funding mix is 100% equity. Switch the debt share in Inputs if you want a hybrid capital structure.</t>
  </si>
  <si>
    <t>Opening cash before funding</t>
  </si>
  <si>
    <t>Starts at zero by default</t>
  </si>
  <si>
    <t>Unlevered cash flow before funding</t>
  </si>
  <si>
    <t>Base-case revenue - opex - capex</t>
  </si>
  <si>
    <t>Required net external funding</t>
  </si>
  <si>
    <t>Funding need after opening cash and base-case burn</t>
  </si>
  <si>
    <t>Equity draw</t>
  </si>
  <si>
    <t>Required funding x equity share</t>
  </si>
  <si>
    <t>Senior debt gross draw</t>
  </si>
  <si>
    <t>Required funding x debt share grossed up for fee</t>
  </si>
  <si>
    <t>Gross debt draw x fee</t>
  </si>
  <si>
    <t>Net external funding input</t>
  </si>
  <si>
    <t>What actually lands as cash</t>
  </si>
  <si>
    <t>Closing cash after funding</t>
  </si>
  <si>
    <t>Cash carried forward</t>
  </si>
  <si>
    <t>Cumulative burn before funding</t>
  </si>
  <si>
    <t>Tracks funding need before financing</t>
  </si>
  <si>
    <t>Running peak of cumulative burn</t>
  </si>
  <si>
    <t>Cumulative equity drawn</t>
  </si>
  <si>
    <t>Cumulative senior debt drawn</t>
  </si>
  <si>
    <t>Debt_Schedule | Optional monthly senior debt amortisation</t>
  </si>
  <si>
    <t>Schedule is formula-driven. Default workbook assumption = 0% debt / 100% equity, but the schedule activates automatically if debt share is changed on Inputs.</t>
  </si>
  <si>
    <t>New gross debt draw</t>
  </si>
  <si>
    <t>Linked from Funding_36M first 36 months; 0 thereafter</t>
  </si>
  <si>
    <t>Opening balance</t>
  </si>
  <si>
    <t>Prior month closing balance</t>
  </si>
  <si>
    <t>Interest accrued</t>
  </si>
  <si>
    <t>Opening balance × monthly rate</t>
  </si>
  <si>
    <t>Scheduled principal</t>
  </si>
  <si>
    <t>Straight-line after grace period, capped by available balance</t>
  </si>
  <si>
    <t>Debt service cash</t>
  </si>
  <si>
    <t>Interest + principal</t>
  </si>
  <si>
    <t>Closing balance</t>
  </si>
  <si>
    <t>Opening + draws + interest - principal</t>
  </si>
  <si>
    <t>Cumulative draws</t>
  </si>
  <si>
    <t>Cumulative interest</t>
  </si>
  <si>
    <t>Cumulative debt service</t>
  </si>
  <si>
    <t>DSCR (base revenue)</t>
  </si>
  <si>
    <t>x</t>
  </si>
  <si>
    <t>(Revenue base - opex) / debt service</t>
  </si>
  <si>
    <t>DSCR (upside revenue)</t>
  </si>
  <si>
    <t>(Revenue incl optionality - opex) / debt service</t>
  </si>
  <si>
    <t>Annual_Summary | 3-year output summary for the standalone 20MW model</t>
  </si>
  <si>
    <t>This tab is designed for lender / investor pack extraction: ramp, revenue, EBITDA, capex, funding and cash by year.</t>
  </si>
  <si>
    <t>Closing gross MW</t>
  </si>
  <si>
    <t>Uses average deployed MW across the year</t>
  </si>
  <si>
    <t>Closing MW at the last month of each year</t>
  </si>
  <si>
    <t>Year-end Grootvlei MW</t>
  </si>
  <si>
    <t>Closing MW in December of each year</t>
  </si>
  <si>
    <t>Year-end AMSA MW</t>
  </si>
  <si>
    <t>Year-end AMSA solar MW</t>
  </si>
  <si>
    <t>Solar MW available by year-end</t>
  </si>
  <si>
    <t>BTC</t>
  </si>
  <si>
    <t>Annual BTC production</t>
  </si>
  <si>
    <t>Revenue (base case)</t>
  </si>
  <si>
    <t>Revenue (incl optionality)</t>
  </si>
  <si>
    <t>BTC + DR + hyperscaler if toggled on</t>
  </si>
  <si>
    <t>Annual cash operating expenditure</t>
  </si>
  <si>
    <t>EBITDA (base case)</t>
  </si>
  <si>
    <t>Base revenue less opex</t>
  </si>
  <si>
    <t>EBITDA (incl optionality)</t>
  </si>
  <si>
    <t>Upside revenue less opex</t>
  </si>
  <si>
    <t>Capex cash spend</t>
  </si>
  <si>
    <t>Annual capital deployment</t>
  </si>
  <si>
    <t>Base revenue less opex and capex</t>
  </si>
  <si>
    <t>External equity funding drawn</t>
  </si>
  <si>
    <t>Senior debt draw</t>
  </si>
  <si>
    <t>Debt draw — default is 0 in this model</t>
  </si>
  <si>
    <t>Year-end cash</t>
  </si>
  <si>
    <t>Closing cash in December</t>
  </si>
  <si>
    <t>Headline metrics</t>
  </si>
  <si>
    <t>Maximum external funding before cash turns positive</t>
  </si>
  <si>
    <t>Cumulative equity draw by month 36</t>
  </si>
  <si>
    <t>Total senior debt drawn</t>
  </si>
  <si>
    <t>Cumulative senior debt draw by month 36</t>
  </si>
  <si>
    <t>Phase 1 capex / peak funding multiple</t>
  </si>
  <si>
    <t>Phase 1 capex divided by peak funding requirement</t>
  </si>
  <si>
    <t>MARA achieves 99.9%</t>
  </si>
  <si>
    <t>22h/day remains consistent with Eskom negotiations.</t>
  </si>
  <si>
    <t>Staged payment.</t>
  </si>
  <si>
    <t>1) This workbook is intentionally smaller than the detailed master model.
2) Base case excludes demand-response and hyperscaler resale revenue.
3) Debt is off by default to match the current Phase 1 equity raise framing.
4) The latest April 2026 deck uses a 15MW Grootvlei / 5MW AMSA split, but the workbook is editable if management wants a 10 / 10 variant.</t>
  </si>
  <si>
    <t>Keeping 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</si>
</sst>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#,##0;[Red]\(#,##0\);\-"/>
    <numFmt numFmtId="166" formatCode="0.0\x;[Red]\(0.0\x\);\-"/>
    <numFmt numFmtId="167" formatCode="#,##0.0;[Red]\(#,##0.0\);\-"/>
    <numFmt numFmtId="168" formatCode="0.0%;[Red]\(0.0%\);\-"/>
    <numFmt numFmtId="169" formatCode="0;[Red]\(0\);\-"/>
    <numFmt numFmtId="170" formatCode="#,##0.00;[Red]\(#,##0.00\);\-"/>
    <numFmt numFmtId="172" formatCode="0.00;[Red]\(0.00\);\-"/>
  </numFmts>
  <fonts count="22">
    <font>
      <sz val="11"/>
      <name val="Carlito"/>
    </font>
    <font>
      <b/>
      <sz val="16"/>
      <color rgb="FFFFFFFF"/>
      <name val="Carlito"/>
    </font>
    <font>
      <sz val="11"/>
      <color rgb="FF1F2937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0"/>
      <color rgb="FF1F2937"/>
      <name val="Carlito"/>
    </font>
    <font>
      <b/>
      <sz val="14"/>
      <color rgb="FFFFFFFF"/>
      <name val="Carlito"/>
    </font>
    <font>
      <sz val="10"/>
      <color rgb="FF1F2937"/>
      <name val="Carlito"/>
    </font>
    <font>
      <sz val="11"/>
      <name val="Carlito"/>
    </font>
    <font>
      <sz val="11"/>
      <color rgb="FF008000"/>
      <name val="Carlito"/>
    </font>
    <font>
      <sz val="11"/>
      <color rgb="FF000000"/>
      <name val="Carlito"/>
    </font>
    <font>
      <b/>
      <sz val="18"/>
      <color rgb="FFFFFFFF"/>
      <name val="Carlito"/>
    </font>
    <font>
      <b/>
      <sz val="12"/>
      <color rgb="FFFFFFFF"/>
      <name val="Carlito"/>
    </font>
    <font>
      <b/>
      <sz val="10"/>
      <color rgb="FF111827"/>
      <name val="Carlito"/>
    </font>
    <font>
      <b/>
      <sz val="18"/>
      <color rgb="FF111827"/>
      <name val="Carlito"/>
    </font>
    <font>
      <b/>
      <sz val="10"/>
      <color rgb="FF0000FF"/>
      <name val="Carlito"/>
    </font>
    <font>
      <sz val="10"/>
      <color rgb="FF0000FF"/>
      <name val="Carlito"/>
    </font>
    <font>
      <sz val="10"/>
      <color rgb="FF008000"/>
      <name val="Carlito"/>
    </font>
    <font>
      <sz val="11"/>
      <color rgb="FF0000FF"/>
      <name val="Carlito"/>
    </font>
    <font>
      <b/>
      <sz val="10"/>
      <name val="Carlito"/>
    </font>
    <font>
      <sz val="10"/>
      <name val="Carlito"/>
    </font>
    <font>
      <b/>
      <sz val="10"/>
      <color rgb="FFFFFFF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84997100741599785"/>
        <bgColor indexed="65"/>
      </patternFill>
    </fill>
    <fill>
      <patternFill patternType="solid">
        <fgColor rgb="FF111827"/>
      </patternFill>
    </fill>
    <fill>
      <patternFill patternType="solid">
        <fgColor rgb="FFF3E8FF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13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4" fillId="7" borderId="7" xfId="0" applyFont="1" applyFill="1" applyBorder="1"/>
    <xf numFmtId="0" fontId="4" fillId="7" borderId="0" xfId="0" applyFont="1" applyFill="1"/>
    <xf numFmtId="0" fontId="4" fillId="7" borderId="8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5" fillId="5" borderId="0" xfId="0" applyFont="1" applyFill="1" applyAlignment="1">
      <alignment wrapText="1"/>
    </xf>
    <xf numFmtId="0" fontId="4" fillId="7" borderId="9" xfId="0" applyFont="1" applyFill="1" applyBorder="1"/>
    <xf numFmtId="0" fontId="4" fillId="7" borderId="10" xfId="0" applyFont="1" applyFill="1" applyBorder="1"/>
    <xf numFmtId="0" fontId="4" fillId="7" borderId="11" xfId="0" applyFont="1" applyFill="1" applyBorder="1" applyAlignment="1">
      <alignment wrapText="1"/>
    </xf>
    <xf numFmtId="0" fontId="0" fillId="7" borderId="0" xfId="0" applyFill="1"/>
    <xf numFmtId="17" fontId="0" fillId="0" borderId="0" xfId="0" applyNumberFormat="1"/>
    <xf numFmtId="0" fontId="3" fillId="4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7" borderId="7" xfId="0" applyFill="1" applyBorder="1"/>
    <xf numFmtId="0" fontId="0" fillId="7" borderId="8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8" borderId="7" xfId="0" applyFill="1" applyBorder="1"/>
    <xf numFmtId="0" fontId="0" fillId="8" borderId="0" xfId="0" applyFill="1"/>
    <xf numFmtId="0" fontId="0" fillId="8" borderId="8" xfId="0" applyFill="1" applyBorder="1"/>
    <xf numFmtId="0" fontId="0" fillId="9" borderId="7" xfId="0" applyFill="1" applyBorder="1"/>
    <xf numFmtId="0" fontId="0" fillId="9" borderId="0" xfId="0" applyFill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5" fontId="9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7" fontId="0" fillId="0" borderId="7" xfId="0" applyNumberFormat="1" applyBorder="1"/>
    <xf numFmtId="17" fontId="0" fillId="0" borderId="8" xfId="0" applyNumberFormat="1" applyBorder="1"/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165" fontId="9" fillId="0" borderId="7" xfId="0" applyNumberFormat="1" applyFont="1" applyBorder="1" applyAlignment="1">
      <alignment horizontal="right"/>
    </xf>
    <xf numFmtId="165" fontId="9" fillId="0" borderId="8" xfId="0" applyNumberFormat="1" applyFont="1" applyBorder="1" applyAlignment="1">
      <alignment horizontal="right"/>
    </xf>
    <xf numFmtId="165" fontId="10" fillId="0" borderId="7" xfId="0" applyNumberFormat="1" applyFont="1" applyBorder="1" applyAlignment="1">
      <alignment horizontal="right"/>
    </xf>
    <xf numFmtId="165" fontId="10" fillId="0" borderId="8" xfId="0" applyNumberFormat="1" applyFont="1" applyBorder="1" applyAlignment="1">
      <alignment horizontal="right"/>
    </xf>
    <xf numFmtId="166" fontId="10" fillId="0" borderId="7" xfId="0" applyNumberFormat="1" applyFont="1" applyBorder="1" applyAlignment="1">
      <alignment horizontal="right"/>
    </xf>
    <xf numFmtId="166" fontId="10" fillId="0" borderId="8" xfId="0" applyNumberFormat="1" applyFont="1" applyBorder="1" applyAlignment="1">
      <alignment horizontal="right"/>
    </xf>
    <xf numFmtId="166" fontId="10" fillId="0" borderId="9" xfId="0" applyNumberFormat="1" applyFont="1" applyBorder="1" applyAlignment="1">
      <alignment horizontal="right"/>
    </xf>
    <xf numFmtId="166" fontId="10" fillId="0" borderId="10" xfId="0" applyNumberFormat="1" applyFont="1" applyBorder="1" applyAlignment="1">
      <alignment horizontal="right"/>
    </xf>
    <xf numFmtId="166" fontId="10" fillId="0" borderId="11" xfId="0" applyNumberFormat="1" applyFont="1" applyBorder="1" applyAlignment="1">
      <alignment horizontal="right"/>
    </xf>
    <xf numFmtId="167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10" xfId="0" applyNumberFormat="1" applyBorder="1" applyAlignment="1">
      <alignment wrapText="1"/>
    </xf>
    <xf numFmtId="0" fontId="0" fillId="0" borderId="0" xfId="0" applyAlignment="1">
      <alignment vertical="center" wrapText="1"/>
    </xf>
    <xf numFmtId="165" fontId="15" fillId="5" borderId="5" xfId="0" applyNumberFormat="1" applyFont="1" applyFill="1" applyBorder="1" applyAlignment="1">
      <alignment wrapText="1"/>
    </xf>
    <xf numFmtId="165" fontId="16" fillId="6" borderId="12" xfId="0" applyNumberFormat="1" applyFont="1" applyFill="1" applyBorder="1"/>
    <xf numFmtId="165" fontId="15" fillId="5" borderId="0" xfId="0" applyNumberFormat="1" applyFont="1" applyFill="1" applyAlignment="1">
      <alignment wrapText="1"/>
    </xf>
    <xf numFmtId="165" fontId="17" fillId="6" borderId="12" xfId="0" applyNumberFormat="1" applyFont="1" applyFill="1" applyBorder="1"/>
    <xf numFmtId="168" fontId="16" fillId="6" borderId="12" xfId="0" applyNumberFormat="1" applyFont="1" applyFill="1" applyBorder="1"/>
    <xf numFmtId="169" fontId="16" fillId="6" borderId="12" xfId="0" applyNumberFormat="1" applyFont="1" applyFill="1" applyBorder="1"/>
    <xf numFmtId="167" fontId="16" fillId="6" borderId="12" xfId="0" applyNumberFormat="1" applyFont="1" applyFill="1" applyBorder="1"/>
    <xf numFmtId="170" fontId="16" fillId="6" borderId="12" xfId="0" applyNumberFormat="1" applyFont="1" applyFill="1" applyBorder="1"/>
    <xf numFmtId="17" fontId="10" fillId="7" borderId="4" xfId="0" applyNumberFormat="1" applyFont="1" applyFill="1" applyBorder="1"/>
    <xf numFmtId="17" fontId="10" fillId="7" borderId="5" xfId="0" applyNumberFormat="1" applyFont="1" applyFill="1" applyBorder="1"/>
    <xf numFmtId="17" fontId="10" fillId="7" borderId="6" xfId="0" applyNumberFormat="1" applyFont="1" applyFill="1" applyBorder="1"/>
    <xf numFmtId="0" fontId="10" fillId="0" borderId="7" xfId="0" applyFont="1" applyBorder="1"/>
    <xf numFmtId="0" fontId="10" fillId="0" borderId="0" xfId="0" applyFont="1"/>
    <xf numFmtId="0" fontId="10" fillId="0" borderId="8" xfId="0" applyFont="1" applyBorder="1"/>
    <xf numFmtId="167" fontId="10" fillId="7" borderId="7" xfId="0" applyNumberFormat="1" applyFont="1" applyFill="1" applyBorder="1"/>
    <xf numFmtId="167" fontId="10" fillId="7" borderId="0" xfId="0" applyNumberFormat="1" applyFont="1" applyFill="1"/>
    <xf numFmtId="167" fontId="10" fillId="7" borderId="8" xfId="0" applyNumberFormat="1" applyFont="1" applyFill="1" applyBorder="1"/>
    <xf numFmtId="167" fontId="10" fillId="0" borderId="7" xfId="0" applyNumberFormat="1" applyFont="1" applyBorder="1"/>
    <xf numFmtId="167" fontId="10" fillId="0" borderId="0" xfId="0" applyNumberFormat="1" applyFont="1"/>
    <xf numFmtId="167" fontId="10" fillId="0" borderId="8" xfId="0" applyNumberFormat="1" applyFont="1" applyBorder="1"/>
    <xf numFmtId="167" fontId="18" fillId="6" borderId="7" xfId="0" applyNumberFormat="1" applyFont="1" applyFill="1" applyBorder="1"/>
    <xf numFmtId="167" fontId="18" fillId="6" borderId="0" xfId="0" applyNumberFormat="1" applyFont="1" applyFill="1"/>
    <xf numFmtId="167" fontId="18" fillId="6" borderId="8" xfId="0" applyNumberFormat="1" applyFont="1" applyFill="1" applyBorder="1"/>
    <xf numFmtId="167" fontId="10" fillId="8" borderId="7" xfId="0" applyNumberFormat="1" applyFont="1" applyFill="1" applyBorder="1"/>
    <xf numFmtId="167" fontId="10" fillId="8" borderId="0" xfId="0" applyNumberFormat="1" applyFont="1" applyFill="1"/>
    <xf numFmtId="167" fontId="10" fillId="8" borderId="8" xfId="0" applyNumberFormat="1" applyFont="1" applyFill="1" applyBorder="1"/>
    <xf numFmtId="167" fontId="10" fillId="0" borderId="9" xfId="0" applyNumberFormat="1" applyFont="1" applyBorder="1"/>
    <xf numFmtId="167" fontId="10" fillId="0" borderId="10" xfId="0" applyNumberFormat="1" applyFont="1" applyBorder="1"/>
    <xf numFmtId="167" fontId="10" fillId="0" borderId="11" xfId="0" applyNumberFormat="1" applyFont="1" applyBorder="1"/>
    <xf numFmtId="169" fontId="10" fillId="8" borderId="7" xfId="0" applyNumberFormat="1" applyFont="1" applyFill="1" applyBorder="1"/>
    <xf numFmtId="169" fontId="10" fillId="8" borderId="0" xfId="0" applyNumberFormat="1" applyFont="1" applyFill="1"/>
    <xf numFmtId="169" fontId="10" fillId="8" borderId="8" xfId="0" applyNumberFormat="1" applyFont="1" applyFill="1" applyBorder="1"/>
    <xf numFmtId="169" fontId="10" fillId="0" borderId="7" xfId="0" applyNumberFormat="1" applyFont="1" applyBorder="1"/>
    <xf numFmtId="169" fontId="10" fillId="0" borderId="0" xfId="0" applyNumberFormat="1" applyFont="1"/>
    <xf numFmtId="169" fontId="10" fillId="0" borderId="8" xfId="0" applyNumberFormat="1" applyFont="1" applyBorder="1"/>
    <xf numFmtId="17" fontId="10" fillId="0" borderId="4" xfId="0" applyNumberFormat="1" applyFont="1" applyBorder="1"/>
    <xf numFmtId="17" fontId="10" fillId="0" borderId="5" xfId="0" applyNumberFormat="1" applyFont="1" applyBorder="1"/>
    <xf numFmtId="17" fontId="10" fillId="0" borderId="6" xfId="0" applyNumberFormat="1" applyFont="1" applyBorder="1"/>
    <xf numFmtId="1" fontId="10" fillId="0" borderId="7" xfId="0" applyNumberFormat="1" applyFont="1" applyBorder="1"/>
    <xf numFmtId="1" fontId="10" fillId="0" borderId="0" xfId="0" applyNumberFormat="1" applyFont="1"/>
    <xf numFmtId="1" fontId="10" fillId="0" borderId="8" xfId="0" applyNumberFormat="1" applyFont="1" applyBorder="1"/>
    <xf numFmtId="165" fontId="10" fillId="0" borderId="7" xfId="0" applyNumberFormat="1" applyFont="1" applyBorder="1"/>
    <xf numFmtId="165" fontId="10" fillId="0" borderId="0" xfId="0" applyNumberFormat="1" applyFont="1"/>
    <xf numFmtId="165" fontId="10" fillId="0" borderId="8" xfId="0" applyNumberFormat="1" applyFont="1" applyBorder="1"/>
    <xf numFmtId="167" fontId="10" fillId="9" borderId="7" xfId="0" applyNumberFormat="1" applyFont="1" applyFill="1" applyBorder="1"/>
    <xf numFmtId="167" fontId="10" fillId="9" borderId="0" xfId="0" applyNumberFormat="1" applyFont="1" applyFill="1"/>
    <xf numFmtId="167" fontId="10" fillId="9" borderId="8" xfId="0" applyNumberFormat="1" applyFont="1" applyFill="1" applyBorder="1"/>
    <xf numFmtId="165" fontId="10" fillId="9" borderId="7" xfId="0" applyNumberFormat="1" applyFont="1" applyFill="1" applyBorder="1"/>
    <xf numFmtId="165" fontId="10" fillId="9" borderId="0" xfId="0" applyNumberFormat="1" applyFont="1" applyFill="1"/>
    <xf numFmtId="165" fontId="10" fillId="9" borderId="8" xfId="0" applyNumberFormat="1" applyFont="1" applyFill="1" applyBorder="1"/>
    <xf numFmtId="165" fontId="10" fillId="9" borderId="9" xfId="0" applyNumberFormat="1" applyFont="1" applyFill="1" applyBorder="1"/>
    <xf numFmtId="165" fontId="10" fillId="9" borderId="10" xfId="0" applyNumberFormat="1" applyFont="1" applyFill="1" applyBorder="1"/>
    <xf numFmtId="165" fontId="10" fillId="9" borderId="11" xfId="0" applyNumberFormat="1" applyFont="1" applyFill="1" applyBorder="1"/>
    <xf numFmtId="164" fontId="10" fillId="0" borderId="7" xfId="0" applyNumberFormat="1" applyFont="1" applyBorder="1"/>
    <xf numFmtId="164" fontId="10" fillId="0" borderId="0" xfId="0" applyNumberFormat="1" applyFont="1"/>
    <xf numFmtId="164" fontId="10" fillId="0" borderId="8" xfId="0" applyNumberFormat="1" applyFont="1" applyBorder="1"/>
    <xf numFmtId="0" fontId="19" fillId="13" borderId="1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vertical="center" wrapText="1"/>
    </xf>
    <xf numFmtId="167" fontId="20" fillId="0" borderId="0" xfId="0" applyNumberFormat="1" applyFont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67" fontId="20" fillId="0" borderId="8" xfId="0" applyNumberFormat="1" applyFont="1" applyBorder="1" applyAlignment="1">
      <alignment vertical="center" wrapText="1"/>
    </xf>
    <xf numFmtId="165" fontId="20" fillId="0" borderId="0" xfId="0" applyNumberFormat="1" applyFont="1" applyAlignment="1">
      <alignment vertical="center" wrapText="1"/>
    </xf>
    <xf numFmtId="165" fontId="20" fillId="0" borderId="8" xfId="0" applyNumberFormat="1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165" fontId="20" fillId="0" borderId="10" xfId="0" applyNumberFormat="1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166" fontId="20" fillId="0" borderId="11" xfId="0" applyNumberFormat="1" applyFont="1" applyBorder="1" applyAlignment="1">
      <alignment vertical="center" wrapText="1"/>
    </xf>
    <xf numFmtId="168" fontId="17" fillId="0" borderId="0" xfId="0" applyNumberFormat="1" applyFont="1" applyAlignment="1">
      <alignment vertical="center" wrapText="1"/>
    </xf>
    <xf numFmtId="167" fontId="17" fillId="0" borderId="0" xfId="0" applyNumberFormat="1" applyFont="1" applyAlignment="1">
      <alignment vertical="center" wrapText="1"/>
    </xf>
    <xf numFmtId="165" fontId="17" fillId="0" borderId="0" xfId="0" applyNumberFormat="1" applyFont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14" fontId="16" fillId="6" borderId="12" xfId="0" applyNumberFormat="1" applyFont="1" applyFill="1" applyBorder="1"/>
    <xf numFmtId="0" fontId="6" fillId="2" borderId="0" xfId="0" applyFont="1" applyFill="1"/>
    <xf numFmtId="0" fontId="7" fillId="3" borderId="0" xfId="0" applyFont="1" applyFill="1" applyAlignment="1">
      <alignment wrapText="1"/>
    </xf>
    <xf numFmtId="0" fontId="19" fillId="7" borderId="4" xfId="0" applyFont="1" applyFill="1" applyBorder="1" applyAlignment="1">
      <alignment vertical="top" wrapText="1"/>
    </xf>
    <xf numFmtId="0" fontId="20" fillId="7" borderId="5" xfId="0" applyFont="1" applyFill="1" applyBorder="1" applyAlignment="1">
      <alignment vertical="top" wrapText="1"/>
    </xf>
    <xf numFmtId="0" fontId="20" fillId="7" borderId="6" xfId="0" applyFont="1" applyFill="1" applyBorder="1" applyAlignment="1">
      <alignment vertical="top" wrapText="1"/>
    </xf>
    <xf numFmtId="0" fontId="20" fillId="7" borderId="7" xfId="0" applyFont="1" applyFill="1" applyBorder="1" applyAlignment="1">
      <alignment vertical="top" wrapText="1"/>
    </xf>
    <xf numFmtId="0" fontId="20" fillId="7" borderId="0" xfId="0" applyFont="1" applyFill="1" applyAlignment="1">
      <alignment vertical="top" wrapText="1"/>
    </xf>
    <xf numFmtId="0" fontId="20" fillId="7" borderId="8" xfId="0" applyFont="1" applyFill="1" applyBorder="1" applyAlignment="1">
      <alignment vertical="top" wrapText="1"/>
    </xf>
    <xf numFmtId="0" fontId="20" fillId="7" borderId="9" xfId="0" applyFont="1" applyFill="1" applyBorder="1" applyAlignment="1">
      <alignment vertical="top" wrapText="1"/>
    </xf>
    <xf numFmtId="0" fontId="20" fillId="7" borderId="10" xfId="0" applyFont="1" applyFill="1" applyBorder="1" applyAlignment="1">
      <alignment vertical="top" wrapText="1"/>
    </xf>
    <xf numFmtId="0" fontId="20" fillId="7" borderId="11" xfId="0" applyFont="1" applyFill="1" applyBorder="1" applyAlignment="1">
      <alignment vertical="top" wrapText="1"/>
    </xf>
    <xf numFmtId="0" fontId="21" fillId="10" borderId="1" xfId="0" applyFont="1" applyFill="1" applyBorder="1" applyAlignment="1">
      <alignment horizontal="left" vertical="center" wrapText="1"/>
    </xf>
    <xf numFmtId="0" fontId="21" fillId="10" borderId="2" xfId="0" applyFont="1" applyFill="1" applyBorder="1" applyAlignment="1">
      <alignment horizontal="left" vertical="center" wrapText="1"/>
    </xf>
    <xf numFmtId="0" fontId="21" fillId="10" borderId="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67" fontId="14" fillId="3" borderId="7" xfId="0" applyNumberFormat="1" applyFont="1" applyFill="1" applyBorder="1" applyAlignment="1">
      <alignment horizontal="center" vertical="center" wrapText="1"/>
    </xf>
    <xf numFmtId="167" fontId="14" fillId="3" borderId="0" xfId="0" applyNumberFormat="1" applyFont="1" applyFill="1" applyAlignment="1">
      <alignment horizontal="center" vertical="center" wrapText="1"/>
    </xf>
    <xf numFmtId="167" fontId="14" fillId="3" borderId="8" xfId="0" applyNumberFormat="1" applyFont="1" applyFill="1" applyBorder="1" applyAlignment="1">
      <alignment horizontal="center" vertical="center" wrapText="1"/>
    </xf>
    <xf numFmtId="167" fontId="14" fillId="3" borderId="9" xfId="0" applyNumberFormat="1" applyFont="1" applyFill="1" applyBorder="1" applyAlignment="1">
      <alignment horizontal="center" vertical="center" wrapText="1"/>
    </xf>
    <xf numFmtId="167" fontId="14" fillId="3" borderId="10" xfId="0" applyNumberFormat="1" applyFont="1" applyFill="1" applyBorder="1" applyAlignment="1">
      <alignment horizontal="center" vertical="center" wrapText="1"/>
    </xf>
    <xf numFmtId="167" fontId="14" fillId="3" borderId="11" xfId="0" applyNumberFormat="1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167" fontId="14" fillId="12" borderId="7" xfId="0" applyNumberFormat="1" applyFont="1" applyFill="1" applyBorder="1" applyAlignment="1">
      <alignment horizontal="center" vertical="center" wrapText="1"/>
    </xf>
    <xf numFmtId="167" fontId="14" fillId="12" borderId="0" xfId="0" applyNumberFormat="1" applyFont="1" applyFill="1" applyAlignment="1">
      <alignment horizontal="center" vertical="center" wrapText="1"/>
    </xf>
    <xf numFmtId="167" fontId="14" fillId="12" borderId="8" xfId="0" applyNumberFormat="1" applyFont="1" applyFill="1" applyBorder="1" applyAlignment="1">
      <alignment horizontal="center" vertical="center" wrapText="1"/>
    </xf>
    <xf numFmtId="167" fontId="14" fillId="12" borderId="9" xfId="0" applyNumberFormat="1" applyFont="1" applyFill="1" applyBorder="1" applyAlignment="1">
      <alignment horizontal="center" vertical="center" wrapText="1"/>
    </xf>
    <xf numFmtId="167" fontId="14" fillId="12" borderId="10" xfId="0" applyNumberFormat="1" applyFont="1" applyFill="1" applyBorder="1" applyAlignment="1">
      <alignment horizontal="center" vertical="center" wrapText="1"/>
    </xf>
    <xf numFmtId="167" fontId="14" fillId="12" borderId="11" xfId="0" applyNumberFormat="1" applyFont="1" applyFill="1" applyBorder="1" applyAlignment="1">
      <alignment horizontal="center" vertical="center" wrapText="1"/>
    </xf>
    <xf numFmtId="165" fontId="14" fillId="12" borderId="7" xfId="0" applyNumberFormat="1" applyFont="1" applyFill="1" applyBorder="1" applyAlignment="1">
      <alignment horizontal="center" vertical="center" wrapText="1"/>
    </xf>
    <xf numFmtId="165" fontId="14" fillId="12" borderId="0" xfId="0" applyNumberFormat="1" applyFont="1" applyFill="1" applyAlignment="1">
      <alignment horizontal="center" vertical="center" wrapText="1"/>
    </xf>
    <xf numFmtId="165" fontId="14" fillId="12" borderId="8" xfId="0" applyNumberFormat="1" applyFont="1" applyFill="1" applyBorder="1" applyAlignment="1">
      <alignment horizontal="center" vertical="center" wrapText="1"/>
    </xf>
    <xf numFmtId="165" fontId="14" fillId="12" borderId="9" xfId="0" applyNumberFormat="1" applyFont="1" applyFill="1" applyBorder="1" applyAlignment="1">
      <alignment horizontal="center" vertical="center" wrapText="1"/>
    </xf>
    <xf numFmtId="165" fontId="14" fillId="12" borderId="10" xfId="0" applyNumberFormat="1" applyFont="1" applyFill="1" applyBorder="1" applyAlignment="1">
      <alignment horizontal="center" vertical="center" wrapText="1"/>
    </xf>
    <xf numFmtId="165" fontId="14" fillId="12" borderId="11" xfId="0" applyNumberFormat="1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165" fontId="14" fillId="6" borderId="7" xfId="0" applyNumberFormat="1" applyFont="1" applyFill="1" applyBorder="1" applyAlignment="1">
      <alignment horizontal="center" vertical="center" wrapText="1"/>
    </xf>
    <xf numFmtId="165" fontId="14" fillId="6" borderId="0" xfId="0" applyNumberFormat="1" applyFont="1" applyFill="1" applyAlignment="1">
      <alignment horizontal="center" vertical="center" wrapText="1"/>
    </xf>
    <xf numFmtId="165" fontId="14" fillId="6" borderId="8" xfId="0" applyNumberFormat="1" applyFont="1" applyFill="1" applyBorder="1" applyAlignment="1">
      <alignment horizontal="center" vertical="center" wrapText="1"/>
    </xf>
    <xf numFmtId="165" fontId="14" fillId="6" borderId="9" xfId="0" applyNumberFormat="1" applyFont="1" applyFill="1" applyBorder="1" applyAlignment="1">
      <alignment horizontal="center" vertical="center" wrapText="1"/>
    </xf>
    <xf numFmtId="165" fontId="14" fillId="6" borderId="10" xfId="0" applyNumberFormat="1" applyFont="1" applyFill="1" applyBorder="1" applyAlignment="1">
      <alignment horizontal="center" vertical="center" wrapText="1"/>
    </xf>
    <xf numFmtId="165" fontId="14" fillId="6" borderId="1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166" fontId="14" fillId="5" borderId="7" xfId="0" applyNumberFormat="1" applyFont="1" applyFill="1" applyBorder="1" applyAlignment="1">
      <alignment horizontal="center" vertical="center" wrapText="1"/>
    </xf>
    <xf numFmtId="166" fontId="14" fillId="5" borderId="0" xfId="0" applyNumberFormat="1" applyFont="1" applyFill="1" applyAlignment="1">
      <alignment horizontal="center" vertical="center" wrapText="1"/>
    </xf>
    <xf numFmtId="166" fontId="14" fillId="5" borderId="8" xfId="0" applyNumberFormat="1" applyFont="1" applyFill="1" applyBorder="1" applyAlignment="1">
      <alignment horizontal="center" vertical="center" wrapText="1"/>
    </xf>
    <xf numFmtId="166" fontId="14" fillId="5" borderId="9" xfId="0" applyNumberFormat="1" applyFont="1" applyFill="1" applyBorder="1" applyAlignment="1">
      <alignment horizontal="center" vertical="center" wrapText="1"/>
    </xf>
    <xf numFmtId="166" fontId="14" fillId="5" borderId="10" xfId="0" applyNumberFormat="1" applyFont="1" applyFill="1" applyBorder="1" applyAlignment="1">
      <alignment horizontal="center" vertical="center" wrapText="1"/>
    </xf>
    <xf numFmtId="166" fontId="14" fillId="5" borderId="11" xfId="0" applyNumberFormat="1" applyFont="1" applyFill="1" applyBorder="1" applyAlignment="1">
      <alignment horizontal="center" vertical="center" wrapText="1"/>
    </xf>
    <xf numFmtId="165" fontId="14" fillId="5" borderId="7" xfId="0" applyNumberFormat="1" applyFont="1" applyFill="1" applyBorder="1" applyAlignment="1">
      <alignment horizontal="center" vertical="center" wrapText="1"/>
    </xf>
    <xf numFmtId="165" fontId="14" fillId="5" borderId="0" xfId="0" applyNumberFormat="1" applyFont="1" applyFill="1" applyAlignment="1">
      <alignment horizontal="center" vertical="center" wrapText="1"/>
    </xf>
    <xf numFmtId="165" fontId="14" fillId="5" borderId="8" xfId="0" applyNumberFormat="1" applyFont="1" applyFill="1" applyBorder="1" applyAlignment="1">
      <alignment horizontal="center" vertical="center" wrapText="1"/>
    </xf>
    <xf numFmtId="165" fontId="14" fillId="5" borderId="9" xfId="0" applyNumberFormat="1" applyFont="1" applyFill="1" applyBorder="1" applyAlignment="1">
      <alignment horizontal="center" vertical="center" wrapText="1"/>
    </xf>
    <xf numFmtId="165" fontId="14" fillId="5" borderId="10" xfId="0" applyNumberFormat="1" applyFont="1" applyFill="1" applyBorder="1" applyAlignment="1">
      <alignment horizontal="center" vertical="center" wrapText="1"/>
    </xf>
    <xf numFmtId="165" fontId="14" fillId="5" borderId="1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72" fontId="16" fillId="6" borderId="12" xfId="0" applyNumberFormat="1" applyFont="1" applyFill="1" applyBorder="1"/>
    <xf numFmtId="170" fontId="17" fillId="6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workbookViewId="0">
      <selection activeCell="G28" sqref="G28:L35"/>
    </sheetView>
  </sheetViews>
  <sheetFormatPr defaultRowHeight="13.8"/>
  <cols>
    <col min="1" max="1" width="22.8984375" customWidth="1"/>
    <col min="2" max="3" width="12.8984375" customWidth="1"/>
    <col min="4" max="4" width="15" customWidth="1"/>
    <col min="5" max="5" width="12.8984375" customWidth="1"/>
    <col min="6" max="6" width="23.59765625" customWidth="1"/>
    <col min="7" max="7" width="18.59765625" customWidth="1"/>
    <col min="8" max="8" width="17.09765625" customWidth="1"/>
    <col min="9" max="9" width="15.69921875" customWidth="1"/>
    <col min="10" max="11" width="17.8984375" customWidth="1"/>
    <col min="12" max="12" width="19.296875" customWidth="1"/>
  </cols>
  <sheetData>
    <row r="1" spans="1:12" ht="22.8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</row>
    <row r="2" spans="1:12">
      <c r="A2" s="203" t="s">
        <v>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</row>
    <row r="3" spans="1:1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15.6">
      <c r="A4" s="204" t="s">
        <v>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6"/>
    </row>
    <row r="5" spans="1:12">
      <c r="A5" s="160" t="s">
        <v>3</v>
      </c>
      <c r="B5" s="161"/>
      <c r="C5" s="162"/>
      <c r="D5" s="169" t="s">
        <v>4</v>
      </c>
      <c r="E5" s="170"/>
      <c r="F5" s="171"/>
      <c r="G5" s="178" t="s">
        <v>5</v>
      </c>
      <c r="H5" s="179"/>
      <c r="I5" s="180"/>
      <c r="J5" s="178" t="s">
        <v>6</v>
      </c>
      <c r="K5" s="179"/>
      <c r="L5" s="180"/>
    </row>
    <row r="6" spans="1:12">
      <c r="A6" s="163">
        <f>Inputs!C7</f>
        <v>20</v>
      </c>
      <c r="B6" s="164"/>
      <c r="C6" s="165"/>
      <c r="D6" s="172" t="str">
        <f>Inputs!C8&amp;" / "&amp;Inputs!C9</f>
        <v>15 / 5</v>
      </c>
      <c r="E6" s="173"/>
      <c r="F6" s="174"/>
      <c r="G6" s="181">
        <f>SUM(Annual_Summary!C11:E11)</f>
        <v>649.36228897716524</v>
      </c>
      <c r="H6" s="182"/>
      <c r="I6" s="183"/>
      <c r="J6" s="187">
        <f>SUM(Annual_Summary!C12:E12)</f>
        <v>1036384.415882926</v>
      </c>
      <c r="K6" s="188"/>
      <c r="L6" s="189"/>
    </row>
    <row r="7" spans="1:12">
      <c r="A7" s="166"/>
      <c r="B7" s="167"/>
      <c r="C7" s="168"/>
      <c r="D7" s="175"/>
      <c r="E7" s="176"/>
      <c r="F7" s="177"/>
      <c r="G7" s="184"/>
      <c r="H7" s="185"/>
      <c r="I7" s="186"/>
      <c r="J7" s="190"/>
      <c r="K7" s="191"/>
      <c r="L7" s="192"/>
    </row>
    <row r="8" spans="1:12">
      <c r="A8" s="193" t="s">
        <v>7</v>
      </c>
      <c r="B8" s="194"/>
      <c r="C8" s="195"/>
      <c r="D8" s="193" t="s">
        <v>8</v>
      </c>
      <c r="E8" s="194"/>
      <c r="F8" s="195"/>
      <c r="G8" s="178" t="s">
        <v>9</v>
      </c>
      <c r="H8" s="179"/>
      <c r="I8" s="180"/>
      <c r="J8" s="178" t="s">
        <v>10</v>
      </c>
      <c r="K8" s="179"/>
      <c r="L8" s="180"/>
    </row>
    <row r="9" spans="1:12">
      <c r="A9" s="196">
        <f>Annual_Summary!C25</f>
        <v>470888.25142989011</v>
      </c>
      <c r="B9" s="197"/>
      <c r="C9" s="198"/>
      <c r="D9" s="196">
        <f>Annual_Summary!C26</f>
        <v>470888.25142989011</v>
      </c>
      <c r="E9" s="197"/>
      <c r="F9" s="198"/>
      <c r="G9" s="187">
        <f>Annual_Summary!E15</f>
        <v>255462.49216883164</v>
      </c>
      <c r="H9" s="188"/>
      <c r="I9" s="189"/>
      <c r="J9" s="187">
        <f>Annual_Summary!E21</f>
        <v>589548.417096016</v>
      </c>
      <c r="K9" s="188"/>
      <c r="L9" s="189"/>
    </row>
    <row r="10" spans="1:12">
      <c r="A10" s="199"/>
      <c r="B10" s="200"/>
      <c r="C10" s="201"/>
      <c r="D10" s="199"/>
      <c r="E10" s="200"/>
      <c r="F10" s="201"/>
      <c r="G10" s="190"/>
      <c r="H10" s="191"/>
      <c r="I10" s="192"/>
      <c r="J10" s="190"/>
      <c r="K10" s="191"/>
      <c r="L10" s="192"/>
    </row>
    <row r="11" spans="1:12">
      <c r="A11" s="207" t="s">
        <v>11</v>
      </c>
      <c r="B11" s="208"/>
      <c r="C11" s="209"/>
      <c r="D11" s="193" t="s">
        <v>12</v>
      </c>
      <c r="E11" s="194"/>
      <c r="F11" s="195"/>
      <c r="G11" s="207" t="s">
        <v>13</v>
      </c>
      <c r="H11" s="208"/>
      <c r="I11" s="209"/>
      <c r="J11" s="169" t="s">
        <v>14</v>
      </c>
      <c r="K11" s="170"/>
      <c r="L11" s="171"/>
    </row>
    <row r="12" spans="1:12">
      <c r="A12" s="210">
        <f>IF(Annual_Summary!E15=0,"",SUM(Annual_Summary!C17:E17)/Annual_Summary!E15)</f>
        <v>1.9783946654007605</v>
      </c>
      <c r="B12" s="211"/>
      <c r="C12" s="212"/>
      <c r="D12" s="196">
        <f>Annual_Summary!C17</f>
        <v>505405.63171680004</v>
      </c>
      <c r="E12" s="197"/>
      <c r="F12" s="198"/>
      <c r="G12" s="216">
        <f>Annual_Summary!D18</f>
        <v>232752.44002439245</v>
      </c>
      <c r="H12" s="217"/>
      <c r="I12" s="218"/>
      <c r="J12" s="172" t="str">
        <f>IF(AND(Inputs!C82=0,Inputs!C87=0),"DR OFF / HYP OFF","UPSIDE ON")</f>
        <v>DR OFF / HYP OFF</v>
      </c>
      <c r="K12" s="173"/>
      <c r="L12" s="174"/>
    </row>
    <row r="13" spans="1:12">
      <c r="A13" s="213"/>
      <c r="B13" s="214"/>
      <c r="C13" s="215"/>
      <c r="D13" s="199"/>
      <c r="E13" s="200"/>
      <c r="F13" s="201"/>
      <c r="G13" s="219"/>
      <c r="H13" s="220"/>
      <c r="I13" s="221"/>
      <c r="J13" s="175"/>
      <c r="K13" s="176"/>
      <c r="L13" s="177"/>
    </row>
    <row r="14" spans="1:12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</row>
    <row r="15" spans="1:12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</row>
    <row r="16" spans="1:12" ht="15.6">
      <c r="A16" s="204" t="s">
        <v>15</v>
      </c>
      <c r="B16" s="205"/>
      <c r="C16" s="205"/>
      <c r="D16" s="205"/>
      <c r="E16" s="205"/>
      <c r="F16" s="206"/>
      <c r="G16" s="204" t="s">
        <v>16</v>
      </c>
      <c r="H16" s="205"/>
      <c r="I16" s="205"/>
      <c r="J16" s="205"/>
      <c r="K16" s="205"/>
      <c r="L16" s="206"/>
    </row>
    <row r="17" spans="1:12" ht="19.5" customHeight="1">
      <c r="A17" s="126" t="s">
        <v>17</v>
      </c>
      <c r="B17" s="127" t="s">
        <v>18</v>
      </c>
      <c r="C17" s="127" t="s">
        <v>19</v>
      </c>
      <c r="D17" s="127" t="s">
        <v>20</v>
      </c>
      <c r="E17" s="127" t="s">
        <v>21</v>
      </c>
      <c r="F17" s="128" t="s">
        <v>22</v>
      </c>
      <c r="G17" s="126" t="s">
        <v>23</v>
      </c>
      <c r="H17" s="127" t="s">
        <v>24</v>
      </c>
      <c r="I17" s="127" t="s">
        <v>25</v>
      </c>
      <c r="J17" s="128" t="s">
        <v>26</v>
      </c>
      <c r="K17" s="126" t="s">
        <v>27</v>
      </c>
      <c r="L17" s="128" t="s">
        <v>28</v>
      </c>
    </row>
    <row r="18" spans="1:12" ht="29.25" customHeight="1">
      <c r="A18" s="129" t="s">
        <v>29</v>
      </c>
      <c r="B18" s="130">
        <f>Annual_Summary!C7</f>
        <v>20</v>
      </c>
      <c r="C18" s="130">
        <f>Annual_Summary!D7</f>
        <v>20</v>
      </c>
      <c r="D18" s="130">
        <f>Annual_Summary!E7</f>
        <v>20</v>
      </c>
      <c r="E18" s="130">
        <f>D18</f>
        <v>20</v>
      </c>
      <c r="F18" s="131" t="s">
        <v>30</v>
      </c>
      <c r="G18" s="129" t="s">
        <v>31</v>
      </c>
      <c r="H18" s="132" t="s">
        <v>32</v>
      </c>
      <c r="I18" s="132" t="s">
        <v>33</v>
      </c>
      <c r="J18" s="131" t="s">
        <v>34</v>
      </c>
      <c r="K18" s="129" t="s">
        <v>35</v>
      </c>
      <c r="L18" s="133">
        <f>Inputs!C7</f>
        <v>20</v>
      </c>
    </row>
    <row r="19" spans="1:12" ht="29.25" customHeight="1">
      <c r="A19" s="129" t="s">
        <v>36</v>
      </c>
      <c r="B19" s="134">
        <f>Annual_Summary!C11</f>
        <v>177.73379847672331</v>
      </c>
      <c r="C19" s="134">
        <f>Annual_Summary!D11</f>
        <v>247.36134912201942</v>
      </c>
      <c r="D19" s="134">
        <f>Annual_Summary!E11</f>
        <v>224.26714137842254</v>
      </c>
      <c r="E19" s="134">
        <f t="shared" ref="E19:E24" si="0">SUM(B19:D19)</f>
        <v>649.36228897716524</v>
      </c>
      <c r="F19" s="131" t="s">
        <v>37</v>
      </c>
      <c r="G19" s="129" t="s">
        <v>38</v>
      </c>
      <c r="H19" s="132" t="s">
        <v>39</v>
      </c>
      <c r="I19" s="132" t="s">
        <v>40</v>
      </c>
      <c r="J19" s="131" t="s">
        <v>34</v>
      </c>
      <c r="K19" s="129" t="s">
        <v>41</v>
      </c>
      <c r="L19" s="133">
        <f>Annual_Summary!C8</f>
        <v>15</v>
      </c>
    </row>
    <row r="20" spans="1:12" ht="29.25" customHeight="1">
      <c r="A20" s="129" t="s">
        <v>42</v>
      </c>
      <c r="B20" s="134">
        <f>Annual_Summary!C12</f>
        <v>246952.79518970186</v>
      </c>
      <c r="C20" s="134">
        <f>Annual_Summary!D12</f>
        <v>386487.07002439245</v>
      </c>
      <c r="D20" s="134">
        <f>Annual_Summary!E12</f>
        <v>402944.55066883162</v>
      </c>
      <c r="E20" s="134">
        <f t="shared" si="0"/>
        <v>1036384.415882926</v>
      </c>
      <c r="F20" s="131" t="s">
        <v>43</v>
      </c>
      <c r="G20" s="129" t="s">
        <v>44</v>
      </c>
      <c r="H20" s="132" t="s">
        <v>45</v>
      </c>
      <c r="I20" s="132" t="s">
        <v>46</v>
      </c>
      <c r="J20" s="131" t="s">
        <v>34</v>
      </c>
      <c r="K20" s="129" t="s">
        <v>47</v>
      </c>
      <c r="L20" s="133">
        <f>Annual_Summary!C9</f>
        <v>5</v>
      </c>
    </row>
    <row r="21" spans="1:12" ht="29.25" customHeight="1">
      <c r="A21" s="129" t="s">
        <v>48</v>
      </c>
      <c r="B21" s="134">
        <f>Annual_Summary!C14</f>
        <v>111101.93</v>
      </c>
      <c r="C21" s="134">
        <f>Annual_Summary!D14</f>
        <v>153734.62999999998</v>
      </c>
      <c r="D21" s="134">
        <f>Annual_Summary!E14</f>
        <v>147482.05849999998</v>
      </c>
      <c r="E21" s="134">
        <f t="shared" si="0"/>
        <v>412318.61849999992</v>
      </c>
      <c r="F21" s="131" t="s">
        <v>49</v>
      </c>
      <c r="G21" s="129" t="s">
        <v>50</v>
      </c>
      <c r="H21" s="132" t="s">
        <v>51</v>
      </c>
      <c r="I21" s="132" t="s">
        <v>52</v>
      </c>
      <c r="J21" s="131" t="s">
        <v>53</v>
      </c>
      <c r="K21" s="129" t="s">
        <v>54</v>
      </c>
      <c r="L21" s="133">
        <f>Annual_Summary!C10</f>
        <v>10</v>
      </c>
    </row>
    <row r="22" spans="1:12" ht="29.25" customHeight="1">
      <c r="A22" s="129" t="s">
        <v>55</v>
      </c>
      <c r="B22" s="134">
        <f>Annual_Summary!C15</f>
        <v>135850.86518970184</v>
      </c>
      <c r="C22" s="134">
        <f>Annual_Summary!D15</f>
        <v>232752.44002439245</v>
      </c>
      <c r="D22" s="134">
        <f>Annual_Summary!E15</f>
        <v>255462.49216883164</v>
      </c>
      <c r="E22" s="134">
        <f t="shared" si="0"/>
        <v>624065.79738292587</v>
      </c>
      <c r="F22" s="131" t="s">
        <v>56</v>
      </c>
      <c r="G22" s="129" t="s">
        <v>57</v>
      </c>
      <c r="H22" s="132" t="s">
        <v>58</v>
      </c>
      <c r="I22" s="132" t="s">
        <v>59</v>
      </c>
      <c r="J22" s="131" t="s">
        <v>60</v>
      </c>
      <c r="K22" s="129" t="s">
        <v>61</v>
      </c>
      <c r="L22" s="135">
        <f>Annual_Summary!C25</f>
        <v>470888.25142989011</v>
      </c>
    </row>
    <row r="23" spans="1:12" ht="29.25" customHeight="1">
      <c r="A23" s="129" t="s">
        <v>62</v>
      </c>
      <c r="B23" s="134">
        <f>Annual_Summary!C17</f>
        <v>505405.63171680004</v>
      </c>
      <c r="C23" s="134">
        <f>Annual_Summary!D17</f>
        <v>0</v>
      </c>
      <c r="D23" s="134">
        <f>Annual_Summary!E17</f>
        <v>0</v>
      </c>
      <c r="E23" s="134">
        <f t="shared" si="0"/>
        <v>505405.63171680004</v>
      </c>
      <c r="F23" s="131" t="s">
        <v>63</v>
      </c>
      <c r="G23" s="129" t="s">
        <v>64</v>
      </c>
      <c r="H23" s="132" t="s">
        <v>65</v>
      </c>
      <c r="I23" s="132" t="s">
        <v>66</v>
      </c>
      <c r="J23" s="131" t="s">
        <v>67</v>
      </c>
      <c r="K23" s="129" t="s">
        <v>68</v>
      </c>
      <c r="L23" s="135">
        <f>Annual_Summary!C26</f>
        <v>470888.25142989011</v>
      </c>
    </row>
    <row r="24" spans="1:12" ht="29.25" customHeight="1">
      <c r="A24" s="136" t="s">
        <v>69</v>
      </c>
      <c r="B24" s="137">
        <f>Annual_Summary!C18</f>
        <v>-369554.7665270982</v>
      </c>
      <c r="C24" s="137">
        <f>Annual_Summary!D18</f>
        <v>232752.44002439245</v>
      </c>
      <c r="D24" s="137">
        <f>Annual_Summary!E18</f>
        <v>255462.49216883164</v>
      </c>
      <c r="E24" s="137">
        <f t="shared" si="0"/>
        <v>118660.16566612589</v>
      </c>
      <c r="F24" s="138" t="s">
        <v>70</v>
      </c>
      <c r="G24" s="129" t="s">
        <v>71</v>
      </c>
      <c r="H24" s="132" t="s">
        <v>72</v>
      </c>
      <c r="I24" s="132" t="s">
        <v>73</v>
      </c>
      <c r="J24" s="131" t="s">
        <v>74</v>
      </c>
      <c r="K24" s="129" t="s">
        <v>75</v>
      </c>
      <c r="L24" s="135">
        <f>Annual_Summary!E15</f>
        <v>255462.49216883164</v>
      </c>
    </row>
    <row r="25" spans="1:12" ht="29.25" customHeight="1">
      <c r="A25" s="132"/>
      <c r="B25" s="132"/>
      <c r="C25" s="132"/>
      <c r="D25" s="132"/>
      <c r="E25" s="132"/>
      <c r="F25" s="132"/>
      <c r="G25" s="136" t="s">
        <v>76</v>
      </c>
      <c r="H25" s="139" t="s">
        <v>77</v>
      </c>
      <c r="I25" s="139" t="s">
        <v>78</v>
      </c>
      <c r="J25" s="138" t="s">
        <v>34</v>
      </c>
      <c r="K25" s="136" t="s">
        <v>79</v>
      </c>
      <c r="L25" s="140">
        <f>IF(Annual_Summary!E15=0,"",SUM(Annual_Summary!C17:E17)/Annual_Summary!E15)</f>
        <v>1.9783946654007605</v>
      </c>
    </row>
    <row r="26" spans="1:12" ht="12" customHeight="1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</row>
    <row r="27" spans="1:12" ht="19.5" customHeight="1">
      <c r="A27" s="157" t="s">
        <v>80</v>
      </c>
      <c r="B27" s="158"/>
      <c r="C27" s="158"/>
      <c r="D27" s="158"/>
      <c r="E27" s="158"/>
      <c r="F27" s="159"/>
      <c r="G27" s="157" t="s">
        <v>81</v>
      </c>
      <c r="H27" s="158"/>
      <c r="I27" s="158"/>
      <c r="J27" s="158"/>
      <c r="K27" s="158"/>
      <c r="L27" s="159"/>
    </row>
    <row r="28" spans="1:12">
      <c r="A28" s="126" t="s">
        <v>82</v>
      </c>
      <c r="B28" s="127" t="s">
        <v>83</v>
      </c>
      <c r="C28" s="127" t="s">
        <v>84</v>
      </c>
      <c r="D28" s="127" t="s">
        <v>85</v>
      </c>
      <c r="E28" s="127" t="s">
        <v>86</v>
      </c>
      <c r="F28" s="128" t="s">
        <v>22</v>
      </c>
      <c r="G28" s="148" t="s">
        <v>599</v>
      </c>
      <c r="H28" s="149"/>
      <c r="I28" s="149"/>
      <c r="J28" s="149"/>
      <c r="K28" s="149"/>
      <c r="L28" s="150"/>
    </row>
    <row r="29" spans="1:12" ht="19.5" customHeight="1">
      <c r="A29" s="129" t="s">
        <v>87</v>
      </c>
      <c r="B29" s="141">
        <f>Inputs!C10</f>
        <v>0.98</v>
      </c>
      <c r="C29" s="132" t="s">
        <v>88</v>
      </c>
      <c r="D29" s="132" t="s">
        <v>89</v>
      </c>
      <c r="E29" s="132" t="s">
        <v>90</v>
      </c>
      <c r="F29" s="131" t="s">
        <v>91</v>
      </c>
      <c r="G29" s="151"/>
      <c r="H29" s="152"/>
      <c r="I29" s="152"/>
      <c r="J29" s="152"/>
      <c r="K29" s="152"/>
      <c r="L29" s="153"/>
    </row>
    <row r="30" spans="1:12" ht="29.25" customHeight="1">
      <c r="A30" s="129" t="s">
        <v>92</v>
      </c>
      <c r="B30" s="142">
        <f>Inputs!C12</f>
        <v>22</v>
      </c>
      <c r="C30" s="132" t="s">
        <v>93</v>
      </c>
      <c r="D30" s="132" t="s">
        <v>94</v>
      </c>
      <c r="E30" s="132" t="s">
        <v>95</v>
      </c>
      <c r="F30" s="131" t="s">
        <v>96</v>
      </c>
      <c r="G30" s="151"/>
      <c r="H30" s="152"/>
      <c r="I30" s="152"/>
      <c r="J30" s="152"/>
      <c r="K30" s="152"/>
      <c r="L30" s="153"/>
    </row>
    <row r="31" spans="1:12" ht="19.5" customHeight="1">
      <c r="A31" s="129" t="s">
        <v>97</v>
      </c>
      <c r="B31" s="142">
        <f>Inputs!C13</f>
        <v>12</v>
      </c>
      <c r="C31" s="132" t="s">
        <v>93</v>
      </c>
      <c r="D31" s="132" t="s">
        <v>98</v>
      </c>
      <c r="E31" s="132" t="s">
        <v>99</v>
      </c>
      <c r="F31" s="131" t="s">
        <v>100</v>
      </c>
      <c r="G31" s="151"/>
      <c r="H31" s="152"/>
      <c r="I31" s="152"/>
      <c r="J31" s="152"/>
      <c r="K31" s="152"/>
      <c r="L31" s="153"/>
    </row>
    <row r="32" spans="1:12" ht="19.5" customHeight="1">
      <c r="A32" s="129" t="s">
        <v>101</v>
      </c>
      <c r="B32" s="142">
        <f>Inputs!C14</f>
        <v>9</v>
      </c>
      <c r="C32" s="132" t="s">
        <v>93</v>
      </c>
      <c r="D32" s="132" t="s">
        <v>102</v>
      </c>
      <c r="E32" s="132" t="s">
        <v>103</v>
      </c>
      <c r="F32" s="131" t="s">
        <v>100</v>
      </c>
      <c r="G32" s="151"/>
      <c r="H32" s="152"/>
      <c r="I32" s="152"/>
      <c r="J32" s="152"/>
      <c r="K32" s="152"/>
      <c r="L32" s="153"/>
    </row>
    <row r="33" spans="1:12" ht="12" customHeight="1">
      <c r="A33" s="129" t="s">
        <v>104</v>
      </c>
      <c r="B33" s="143">
        <f>Inputs!C21</f>
        <v>75000</v>
      </c>
      <c r="C33" s="132" t="s">
        <v>105</v>
      </c>
      <c r="D33" s="132" t="s">
        <v>106</v>
      </c>
      <c r="E33" s="132" t="s">
        <v>107</v>
      </c>
      <c r="F33" s="131" t="s">
        <v>100</v>
      </c>
      <c r="G33" s="151"/>
      <c r="H33" s="152"/>
      <c r="I33" s="152"/>
      <c r="J33" s="152"/>
      <c r="K33" s="152"/>
      <c r="L33" s="153"/>
    </row>
    <row r="34" spans="1:12" ht="19.5" customHeight="1">
      <c r="A34" s="129" t="s">
        <v>108</v>
      </c>
      <c r="B34" s="141">
        <f>Inputs!C24</f>
        <v>0.1</v>
      </c>
      <c r="C34" s="132" t="s">
        <v>88</v>
      </c>
      <c r="D34" s="132" t="s">
        <v>109</v>
      </c>
      <c r="E34" s="132" t="s">
        <v>110</v>
      </c>
      <c r="F34" s="131" t="s">
        <v>111</v>
      </c>
      <c r="G34" s="151"/>
      <c r="H34" s="152"/>
      <c r="I34" s="152"/>
      <c r="J34" s="152"/>
      <c r="K34" s="152"/>
      <c r="L34" s="153"/>
    </row>
    <row r="35" spans="1:12" ht="19.5" customHeight="1">
      <c r="A35" s="136" t="s">
        <v>112</v>
      </c>
      <c r="B35" s="144" t="str">
        <f>TEXT(Inputs!C29,"0.00")&amp;" / "&amp;TEXT(Inputs!C32,"0.00")</f>
        <v>1.00 / 0.90</v>
      </c>
      <c r="C35" s="139" t="s">
        <v>113</v>
      </c>
      <c r="D35" s="139" t="s">
        <v>114</v>
      </c>
      <c r="E35" s="139" t="s">
        <v>115</v>
      </c>
      <c r="F35" s="138" t="s">
        <v>600</v>
      </c>
      <c r="G35" s="154"/>
      <c r="H35" s="155"/>
      <c r="I35" s="155"/>
      <c r="J35" s="155"/>
      <c r="K35" s="155"/>
      <c r="L35" s="156"/>
    </row>
  </sheetData>
  <mergeCells count="32">
    <mergeCell ref="G9:I10"/>
    <mergeCell ref="A1:L1"/>
    <mergeCell ref="A2:L2"/>
    <mergeCell ref="A4:L4"/>
    <mergeCell ref="A16:F16"/>
    <mergeCell ref="G16:L16"/>
    <mergeCell ref="J8:L8"/>
    <mergeCell ref="J9:L10"/>
    <mergeCell ref="A11:C11"/>
    <mergeCell ref="A12:C13"/>
    <mergeCell ref="D11:F11"/>
    <mergeCell ref="D12:F13"/>
    <mergeCell ref="G11:I11"/>
    <mergeCell ref="G12:I13"/>
    <mergeCell ref="J11:L11"/>
    <mergeCell ref="J12:L13"/>
    <mergeCell ref="G28:L35"/>
    <mergeCell ref="A27:F27"/>
    <mergeCell ref="G27:L27"/>
    <mergeCell ref="A5:C5"/>
    <mergeCell ref="A6:C7"/>
    <mergeCell ref="D5:F5"/>
    <mergeCell ref="D6:F7"/>
    <mergeCell ref="G5:I5"/>
    <mergeCell ref="G6:I7"/>
    <mergeCell ref="J5:L5"/>
    <mergeCell ref="J6:L7"/>
    <mergeCell ref="A8:C8"/>
    <mergeCell ref="A9:C10"/>
    <mergeCell ref="D8:F8"/>
    <mergeCell ref="D9:F10"/>
    <mergeCell ref="G8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1"/>
  <sheetViews>
    <sheetView workbookViewId="0">
      <selection activeCell="F62" sqref="F62"/>
    </sheetView>
  </sheetViews>
  <sheetFormatPr defaultRowHeight="13.8"/>
  <cols>
    <col min="1" max="1" width="32.09765625" customWidth="1"/>
    <col min="2" max="2" width="12.8984375" customWidth="1"/>
    <col min="3" max="3" width="14.296875" customWidth="1"/>
    <col min="4" max="4" width="59.296875" customWidth="1"/>
  </cols>
  <sheetData>
    <row r="1" spans="1:4" ht="19.2" customHeight="1">
      <c r="A1" s="222" t="s">
        <v>116</v>
      </c>
      <c r="B1" s="222"/>
      <c r="C1" s="222"/>
      <c r="D1" s="222"/>
    </row>
    <row r="2" spans="1:4" ht="27.15" customHeight="1">
      <c r="A2" s="223" t="s">
        <v>117</v>
      </c>
      <c r="B2" s="223"/>
      <c r="C2" s="223"/>
      <c r="D2" s="223"/>
    </row>
    <row r="3" spans="1:4" ht="16.05" customHeight="1">
      <c r="A3" s="1" t="s">
        <v>82</v>
      </c>
      <c r="B3" s="2" t="s">
        <v>84</v>
      </c>
      <c r="C3" s="2" t="s">
        <v>83</v>
      </c>
      <c r="D3" s="3" t="s">
        <v>118</v>
      </c>
    </row>
    <row r="4" spans="1:4">
      <c r="A4" s="5" t="s">
        <v>119</v>
      </c>
      <c r="B4" s="6"/>
      <c r="C4" s="70"/>
      <c r="D4" s="4" t="s">
        <v>120</v>
      </c>
    </row>
    <row r="5" spans="1:4">
      <c r="A5" s="7" t="s">
        <v>121</v>
      </c>
      <c r="B5" s="8" t="s">
        <v>122</v>
      </c>
      <c r="C5" s="145">
        <v>46204</v>
      </c>
      <c r="D5" s="9" t="s">
        <v>123</v>
      </c>
    </row>
    <row r="6" spans="1:4">
      <c r="A6" s="7" t="s">
        <v>124</v>
      </c>
      <c r="B6" s="8" t="s">
        <v>125</v>
      </c>
      <c r="C6" s="71">
        <v>36</v>
      </c>
      <c r="D6" s="9" t="s">
        <v>126</v>
      </c>
    </row>
    <row r="7" spans="1:4">
      <c r="A7" s="7" t="s">
        <v>127</v>
      </c>
      <c r="B7" s="8" t="s">
        <v>28</v>
      </c>
      <c r="C7" s="76">
        <v>20</v>
      </c>
      <c r="D7" s="9" t="s">
        <v>128</v>
      </c>
    </row>
    <row r="8" spans="1:4" ht="26.4">
      <c r="A8" s="7" t="s">
        <v>129</v>
      </c>
      <c r="B8" s="8" t="s">
        <v>28</v>
      </c>
      <c r="C8" s="76">
        <v>15</v>
      </c>
      <c r="D8" s="9" t="s">
        <v>130</v>
      </c>
    </row>
    <row r="9" spans="1:4">
      <c r="A9" s="7" t="s">
        <v>131</v>
      </c>
      <c r="B9" s="8" t="s">
        <v>28</v>
      </c>
      <c r="C9" s="76">
        <v>5</v>
      </c>
      <c r="D9" s="9" t="s">
        <v>132</v>
      </c>
    </row>
    <row r="10" spans="1:4">
      <c r="A10" s="7" t="s">
        <v>87</v>
      </c>
      <c r="B10" s="8" t="s">
        <v>88</v>
      </c>
      <c r="C10" s="74">
        <v>0.98</v>
      </c>
      <c r="D10" s="9" t="s">
        <v>596</v>
      </c>
    </row>
    <row r="11" spans="1:4">
      <c r="A11" s="7" t="s">
        <v>133</v>
      </c>
      <c r="B11" s="8" t="s">
        <v>88</v>
      </c>
      <c r="C11" s="77">
        <v>0.05</v>
      </c>
      <c r="D11" s="9" t="s">
        <v>134</v>
      </c>
    </row>
    <row r="12" spans="1:4">
      <c r="A12" s="7" t="s">
        <v>92</v>
      </c>
      <c r="B12" s="8" t="s">
        <v>135</v>
      </c>
      <c r="C12" s="76">
        <v>22</v>
      </c>
      <c r="D12" s="9" t="s">
        <v>597</v>
      </c>
    </row>
    <row r="13" spans="1:4">
      <c r="A13" s="7" t="s">
        <v>97</v>
      </c>
      <c r="B13" s="8" t="s">
        <v>135</v>
      </c>
      <c r="C13" s="76">
        <v>12</v>
      </c>
      <c r="D13" s="9" t="s">
        <v>136</v>
      </c>
    </row>
    <row r="14" spans="1:4">
      <c r="A14" s="7" t="s">
        <v>101</v>
      </c>
      <c r="B14" s="8" t="s">
        <v>135</v>
      </c>
      <c r="C14" s="77">
        <v>9</v>
      </c>
      <c r="D14" s="9" t="s">
        <v>137</v>
      </c>
    </row>
    <row r="15" spans="1:4">
      <c r="A15" s="7" t="s">
        <v>138</v>
      </c>
      <c r="B15" s="8" t="s">
        <v>28</v>
      </c>
      <c r="C15" s="77">
        <v>10</v>
      </c>
      <c r="D15" s="9" t="s">
        <v>139</v>
      </c>
    </row>
    <row r="16" spans="1:4">
      <c r="A16" s="7" t="s">
        <v>140</v>
      </c>
      <c r="B16" s="8" t="s">
        <v>141</v>
      </c>
      <c r="C16" s="77">
        <v>5</v>
      </c>
      <c r="D16" s="9" t="s">
        <v>142</v>
      </c>
    </row>
    <row r="17" spans="1:4">
      <c r="A17" s="7" t="s">
        <v>143</v>
      </c>
      <c r="B17" s="8" t="s">
        <v>88</v>
      </c>
      <c r="C17" s="77">
        <v>0.05</v>
      </c>
      <c r="D17" s="9" t="s">
        <v>144</v>
      </c>
    </row>
    <row r="18" spans="1:4">
      <c r="A18" s="7" t="s">
        <v>145</v>
      </c>
      <c r="B18" s="8" t="s">
        <v>88</v>
      </c>
      <c r="C18" s="77">
        <v>0.05</v>
      </c>
      <c r="D18" s="9" t="s">
        <v>146</v>
      </c>
    </row>
    <row r="19" spans="1:4">
      <c r="A19" s="11" t="s">
        <v>147</v>
      </c>
      <c r="B19" s="12"/>
      <c r="C19" s="72"/>
      <c r="D19" s="10" t="s">
        <v>148</v>
      </c>
    </row>
    <row r="20" spans="1:4">
      <c r="A20" s="7" t="s">
        <v>149</v>
      </c>
      <c r="B20" s="8" t="s">
        <v>150</v>
      </c>
      <c r="C20" s="71">
        <v>17</v>
      </c>
      <c r="D20" s="9" t="s">
        <v>151</v>
      </c>
    </row>
    <row r="21" spans="1:4">
      <c r="A21" s="7" t="s">
        <v>104</v>
      </c>
      <c r="B21" s="8" t="s">
        <v>105</v>
      </c>
      <c r="C21" s="71">
        <v>75000</v>
      </c>
      <c r="D21" s="9" t="s">
        <v>152</v>
      </c>
    </row>
    <row r="22" spans="1:4">
      <c r="A22" s="7" t="s">
        <v>153</v>
      </c>
      <c r="B22" s="8" t="s">
        <v>88</v>
      </c>
      <c r="C22" s="74">
        <v>0.15</v>
      </c>
      <c r="D22" s="9" t="s">
        <v>154</v>
      </c>
    </row>
    <row r="23" spans="1:4">
      <c r="A23" s="7" t="s">
        <v>155</v>
      </c>
      <c r="B23" s="8" t="s">
        <v>156</v>
      </c>
      <c r="C23" s="71">
        <v>900000000</v>
      </c>
      <c r="D23" s="9" t="s">
        <v>100</v>
      </c>
    </row>
    <row r="24" spans="1:4">
      <c r="A24" s="7" t="s">
        <v>157</v>
      </c>
      <c r="B24" s="8" t="s">
        <v>88</v>
      </c>
      <c r="C24" s="74">
        <v>0.1</v>
      </c>
      <c r="D24" s="9" t="s">
        <v>158</v>
      </c>
    </row>
    <row r="25" spans="1:4">
      <c r="A25" s="7" t="s">
        <v>159</v>
      </c>
      <c r="B25" s="8" t="s">
        <v>160</v>
      </c>
      <c r="C25" s="71">
        <v>144</v>
      </c>
      <c r="D25" s="9" t="s">
        <v>161</v>
      </c>
    </row>
    <row r="26" spans="1:4">
      <c r="A26" s="7" t="s">
        <v>162</v>
      </c>
      <c r="B26" s="8" t="s">
        <v>163</v>
      </c>
      <c r="C26" s="71">
        <v>3.125</v>
      </c>
      <c r="D26" s="9" t="s">
        <v>161</v>
      </c>
    </row>
    <row r="27" spans="1:4">
      <c r="A27" s="7" t="s">
        <v>164</v>
      </c>
      <c r="B27" s="8" t="s">
        <v>88</v>
      </c>
      <c r="C27" s="77">
        <v>0.15</v>
      </c>
      <c r="D27" s="9" t="s">
        <v>165</v>
      </c>
    </row>
    <row r="28" spans="1:4">
      <c r="A28" s="11" t="s">
        <v>166</v>
      </c>
      <c r="B28" s="12"/>
      <c r="C28" s="72"/>
      <c r="D28" s="10" t="s">
        <v>167</v>
      </c>
    </row>
    <row r="29" spans="1:4">
      <c r="A29" s="7" t="s">
        <v>168</v>
      </c>
      <c r="B29" s="8" t="s">
        <v>113</v>
      </c>
      <c r="C29" s="77">
        <v>1</v>
      </c>
      <c r="D29" s="9" t="s">
        <v>169</v>
      </c>
    </row>
    <row r="30" spans="1:4">
      <c r="A30" s="7" t="s">
        <v>170</v>
      </c>
      <c r="B30" s="8" t="s">
        <v>113</v>
      </c>
      <c r="C30" s="77">
        <v>0.95</v>
      </c>
      <c r="D30" s="9" t="s">
        <v>171</v>
      </c>
    </row>
    <row r="31" spans="1:4">
      <c r="A31" s="7" t="s">
        <v>172</v>
      </c>
      <c r="B31" s="8" t="s">
        <v>113</v>
      </c>
      <c r="C31" s="77">
        <v>0.9</v>
      </c>
      <c r="D31" s="9" t="s">
        <v>173</v>
      </c>
    </row>
    <row r="32" spans="1:4">
      <c r="A32" s="7" t="s">
        <v>174</v>
      </c>
      <c r="B32" s="8" t="s">
        <v>113</v>
      </c>
      <c r="C32" s="77">
        <v>0.9</v>
      </c>
      <c r="D32" s="9" t="s">
        <v>175</v>
      </c>
    </row>
    <row r="33" spans="1:4">
      <c r="A33" s="7" t="s">
        <v>176</v>
      </c>
      <c r="B33" s="8" t="s">
        <v>113</v>
      </c>
      <c r="C33" s="77">
        <v>0.85</v>
      </c>
      <c r="D33" s="9" t="s">
        <v>175</v>
      </c>
    </row>
    <row r="34" spans="1:4">
      <c r="A34" s="7" t="s">
        <v>177</v>
      </c>
      <c r="B34" s="8" t="s">
        <v>113</v>
      </c>
      <c r="C34" s="77">
        <v>0.8</v>
      </c>
      <c r="D34" s="9" t="s">
        <v>175</v>
      </c>
    </row>
    <row r="35" spans="1:4">
      <c r="A35" s="7" t="s">
        <v>178</v>
      </c>
      <c r="B35" s="8" t="s">
        <v>179</v>
      </c>
      <c r="C35" s="71">
        <v>7000</v>
      </c>
      <c r="D35" s="9" t="s">
        <v>180</v>
      </c>
    </row>
    <row r="36" spans="1:4">
      <c r="A36" s="7" t="s">
        <v>181</v>
      </c>
      <c r="B36" s="8" t="s">
        <v>182</v>
      </c>
      <c r="C36" s="77">
        <v>0.02</v>
      </c>
      <c r="D36" s="9" t="s">
        <v>183</v>
      </c>
    </row>
    <row r="37" spans="1:4" ht="26.4">
      <c r="A37" s="11" t="s">
        <v>184</v>
      </c>
      <c r="B37" s="12"/>
      <c r="C37" s="72"/>
      <c r="D37" s="10" t="s">
        <v>185</v>
      </c>
    </row>
    <row r="38" spans="1:4">
      <c r="A38" s="7" t="s">
        <v>186</v>
      </c>
      <c r="B38" s="8" t="s">
        <v>187</v>
      </c>
      <c r="C38" s="76">
        <v>700</v>
      </c>
      <c r="D38" s="9" t="s">
        <v>188</v>
      </c>
    </row>
    <row r="39" spans="1:4">
      <c r="A39" s="7" t="s">
        <v>189</v>
      </c>
      <c r="B39" s="8" t="s">
        <v>190</v>
      </c>
      <c r="C39" s="76">
        <v>12.5</v>
      </c>
      <c r="D39" s="9" t="s">
        <v>188</v>
      </c>
    </row>
    <row r="40" spans="1:4">
      <c r="A40" s="7" t="s">
        <v>191</v>
      </c>
      <c r="B40" s="8" t="s">
        <v>192</v>
      </c>
      <c r="C40" s="73">
        <f>C38*C39</f>
        <v>8750</v>
      </c>
      <c r="D40" s="9" t="s">
        <v>193</v>
      </c>
    </row>
    <row r="41" spans="1:4">
      <c r="A41" s="7" t="s">
        <v>194</v>
      </c>
      <c r="B41" s="8" t="s">
        <v>195</v>
      </c>
      <c r="C41" s="71">
        <v>5915</v>
      </c>
      <c r="D41" s="9" t="s">
        <v>196</v>
      </c>
    </row>
    <row r="42" spans="1:4">
      <c r="A42" s="7" t="s">
        <v>197</v>
      </c>
      <c r="B42" s="8" t="s">
        <v>198</v>
      </c>
      <c r="C42" s="77">
        <v>4</v>
      </c>
      <c r="D42" s="9" t="s">
        <v>199</v>
      </c>
    </row>
    <row r="43" spans="1:4">
      <c r="A43" s="7" t="s">
        <v>200</v>
      </c>
      <c r="B43" s="8" t="s">
        <v>201</v>
      </c>
      <c r="C43" s="75">
        <v>240</v>
      </c>
      <c r="D43" s="9" t="s">
        <v>202</v>
      </c>
    </row>
    <row r="44" spans="1:4">
      <c r="A44" s="7" t="s">
        <v>203</v>
      </c>
      <c r="B44" s="8" t="s">
        <v>204</v>
      </c>
      <c r="C44" s="71">
        <v>350000</v>
      </c>
      <c r="D44" s="9" t="s">
        <v>205</v>
      </c>
    </row>
    <row r="45" spans="1:4">
      <c r="A45" s="7" t="s">
        <v>206</v>
      </c>
      <c r="B45" s="8" t="s">
        <v>207</v>
      </c>
      <c r="C45" s="232">
        <f>(C43*C40/1000000)/(1-C11)</f>
        <v>2.2105263157894739</v>
      </c>
      <c r="D45" s="9" t="s">
        <v>208</v>
      </c>
    </row>
    <row r="46" spans="1:4">
      <c r="A46" s="11" t="s">
        <v>209</v>
      </c>
      <c r="B46" s="12"/>
      <c r="C46" s="72"/>
      <c r="D46" s="10" t="s">
        <v>210</v>
      </c>
    </row>
    <row r="47" spans="1:4">
      <c r="A47" s="7" t="s">
        <v>211</v>
      </c>
      <c r="B47" s="8" t="s">
        <v>212</v>
      </c>
      <c r="C47" s="71">
        <v>25375.758343000001</v>
      </c>
      <c r="D47" s="9" t="s">
        <v>213</v>
      </c>
    </row>
    <row r="48" spans="1:4">
      <c r="A48" s="7" t="s">
        <v>214</v>
      </c>
      <c r="B48" s="8" t="s">
        <v>179</v>
      </c>
      <c r="C48" s="71">
        <v>3806.3637515400001</v>
      </c>
      <c r="D48" s="9" t="s">
        <v>213</v>
      </c>
    </row>
    <row r="49" spans="1:4">
      <c r="A49" s="7" t="s">
        <v>215</v>
      </c>
      <c r="B49" s="8" t="s">
        <v>216</v>
      </c>
      <c r="C49" s="77">
        <v>0.02</v>
      </c>
      <c r="D49" s="9" t="s">
        <v>217</v>
      </c>
    </row>
    <row r="50" spans="1:4">
      <c r="A50" s="7" t="s">
        <v>218</v>
      </c>
      <c r="B50" s="8" t="s">
        <v>212</v>
      </c>
      <c r="C50" s="71">
        <v>750</v>
      </c>
      <c r="D50" s="9" t="s">
        <v>219</v>
      </c>
    </row>
    <row r="51" spans="1:4">
      <c r="A51" s="7" t="s">
        <v>220</v>
      </c>
      <c r="B51" s="8" t="s">
        <v>221</v>
      </c>
      <c r="C51" s="71">
        <v>350</v>
      </c>
      <c r="D51" s="9" t="s">
        <v>222</v>
      </c>
    </row>
    <row r="52" spans="1:4">
      <c r="A52" s="7" t="s">
        <v>223</v>
      </c>
      <c r="B52" s="8" t="s">
        <v>221</v>
      </c>
      <c r="C52" s="71">
        <v>1500</v>
      </c>
      <c r="D52" s="9" t="s">
        <v>224</v>
      </c>
    </row>
    <row r="53" spans="1:4">
      <c r="A53" s="7" t="s">
        <v>225</v>
      </c>
      <c r="B53" s="8" t="s">
        <v>221</v>
      </c>
      <c r="C53" s="71">
        <v>600</v>
      </c>
      <c r="D53" s="9" t="s">
        <v>226</v>
      </c>
    </row>
    <row r="54" spans="1:4">
      <c r="A54" s="7" t="s">
        <v>227</v>
      </c>
      <c r="B54" s="8" t="s">
        <v>204</v>
      </c>
      <c r="C54" s="71">
        <v>8000</v>
      </c>
      <c r="D54" s="9" t="s">
        <v>228</v>
      </c>
    </row>
    <row r="55" spans="1:4">
      <c r="A55" s="7" t="s">
        <v>229</v>
      </c>
      <c r="B55" s="8" t="s">
        <v>230</v>
      </c>
      <c r="C55" s="71">
        <v>150</v>
      </c>
      <c r="D55" s="9" t="s">
        <v>228</v>
      </c>
    </row>
    <row r="56" spans="1:4">
      <c r="A56" s="7" t="s">
        <v>231</v>
      </c>
      <c r="B56" s="8" t="s">
        <v>230</v>
      </c>
      <c r="C56" s="71">
        <v>70</v>
      </c>
      <c r="D56" s="9" t="s">
        <v>228</v>
      </c>
    </row>
    <row r="57" spans="1:4">
      <c r="A57" s="7" t="s">
        <v>232</v>
      </c>
      <c r="B57" s="8" t="s">
        <v>230</v>
      </c>
      <c r="C57" s="71">
        <v>50</v>
      </c>
      <c r="D57" s="9" t="s">
        <v>228</v>
      </c>
    </row>
    <row r="58" spans="1:4">
      <c r="A58" s="7" t="s">
        <v>233</v>
      </c>
      <c r="B58" s="8" t="s">
        <v>216</v>
      </c>
      <c r="C58" s="77">
        <v>0.01</v>
      </c>
      <c r="D58" s="9" t="s">
        <v>234</v>
      </c>
    </row>
    <row r="59" spans="1:4">
      <c r="A59" s="7" t="s">
        <v>235</v>
      </c>
      <c r="B59" s="8" t="s">
        <v>216</v>
      </c>
      <c r="C59" s="77">
        <v>0.05</v>
      </c>
      <c r="D59" s="9" t="s">
        <v>236</v>
      </c>
    </row>
    <row r="60" spans="1:4">
      <c r="A60" s="11" t="s">
        <v>237</v>
      </c>
      <c r="B60" s="12"/>
      <c r="C60" s="72"/>
      <c r="D60" s="10" t="s">
        <v>238</v>
      </c>
    </row>
    <row r="61" spans="1:4">
      <c r="A61" s="7" t="s">
        <v>239</v>
      </c>
      <c r="B61" s="8" t="s">
        <v>240</v>
      </c>
      <c r="C61" s="71">
        <v>35</v>
      </c>
      <c r="D61" s="9" t="s">
        <v>241</v>
      </c>
    </row>
    <row r="62" spans="1:4">
      <c r="A62" s="7" t="s">
        <v>242</v>
      </c>
      <c r="B62" s="8" t="s">
        <v>243</v>
      </c>
      <c r="C62" s="231">
        <v>4</v>
      </c>
      <c r="D62" s="9" t="s">
        <v>244</v>
      </c>
    </row>
    <row r="63" spans="1:4">
      <c r="A63" s="7" t="s">
        <v>245</v>
      </c>
      <c r="B63" s="8" t="s">
        <v>246</v>
      </c>
      <c r="C63" s="71">
        <v>1000</v>
      </c>
      <c r="D63" s="9" t="s">
        <v>247</v>
      </c>
    </row>
    <row r="64" spans="1:4">
      <c r="A64" s="7" t="s">
        <v>248</v>
      </c>
      <c r="B64" s="8" t="s">
        <v>249</v>
      </c>
      <c r="C64" s="77">
        <v>2</v>
      </c>
      <c r="D64" s="9" t="s">
        <v>250</v>
      </c>
    </row>
    <row r="65" spans="1:4">
      <c r="A65" s="7" t="s">
        <v>251</v>
      </c>
      <c r="B65" s="8" t="s">
        <v>246</v>
      </c>
      <c r="C65" s="71">
        <v>700</v>
      </c>
      <c r="D65" s="9" t="s">
        <v>247</v>
      </c>
    </row>
    <row r="66" spans="1:4">
      <c r="A66" s="7" t="s">
        <v>252</v>
      </c>
      <c r="B66" s="8" t="s">
        <v>253</v>
      </c>
      <c r="C66" s="77">
        <v>0.35</v>
      </c>
      <c r="D66" s="9" t="s">
        <v>254</v>
      </c>
    </row>
    <row r="67" spans="1:4">
      <c r="A67" s="7" t="s">
        <v>255</v>
      </c>
      <c r="B67" s="8" t="s">
        <v>246</v>
      </c>
      <c r="C67" s="71">
        <v>350</v>
      </c>
      <c r="D67" s="9" t="s">
        <v>247</v>
      </c>
    </row>
    <row r="68" spans="1:4">
      <c r="A68" s="7" t="s">
        <v>256</v>
      </c>
      <c r="B68" s="8" t="s">
        <v>253</v>
      </c>
      <c r="C68" s="77">
        <v>0.08</v>
      </c>
      <c r="D68" s="9" t="s">
        <v>257</v>
      </c>
    </row>
    <row r="69" spans="1:4">
      <c r="A69" s="7" t="s">
        <v>258</v>
      </c>
      <c r="B69" s="8" t="s">
        <v>246</v>
      </c>
      <c r="C69" s="71">
        <v>450</v>
      </c>
      <c r="D69" s="9" t="s">
        <v>247</v>
      </c>
    </row>
    <row r="70" spans="1:4">
      <c r="A70" s="7" t="s">
        <v>259</v>
      </c>
      <c r="B70" s="8" t="s">
        <v>88</v>
      </c>
      <c r="C70" s="77">
        <v>0.2</v>
      </c>
      <c r="D70" s="9" t="s">
        <v>260</v>
      </c>
    </row>
    <row r="71" spans="1:4">
      <c r="A71" s="7" t="s">
        <v>261</v>
      </c>
      <c r="B71" s="8" t="s">
        <v>262</v>
      </c>
      <c r="C71" s="77">
        <v>0.06</v>
      </c>
      <c r="D71" s="9" t="s">
        <v>263</v>
      </c>
    </row>
    <row r="72" spans="1:4">
      <c r="A72" s="7" t="s">
        <v>264</v>
      </c>
      <c r="B72" s="8" t="s">
        <v>265</v>
      </c>
      <c r="C72" s="71">
        <v>250</v>
      </c>
      <c r="D72" s="9" t="s">
        <v>266</v>
      </c>
    </row>
    <row r="73" spans="1:4">
      <c r="A73" s="7" t="s">
        <v>267</v>
      </c>
      <c r="B73" s="8" t="s">
        <v>268</v>
      </c>
      <c r="C73" s="71">
        <v>3.5</v>
      </c>
      <c r="D73" s="9" t="s">
        <v>269</v>
      </c>
    </row>
    <row r="74" spans="1:4">
      <c r="A74" s="7" t="s">
        <v>270</v>
      </c>
      <c r="B74" s="8" t="s">
        <v>271</v>
      </c>
      <c r="C74" s="71">
        <v>40</v>
      </c>
      <c r="D74" s="9" t="s">
        <v>272</v>
      </c>
    </row>
    <row r="75" spans="1:4">
      <c r="A75" s="7" t="s">
        <v>273</v>
      </c>
      <c r="B75" s="8" t="s">
        <v>274</v>
      </c>
      <c r="C75" s="71">
        <v>4</v>
      </c>
      <c r="D75" s="9" t="s">
        <v>275</v>
      </c>
    </row>
    <row r="76" spans="1:4">
      <c r="A76" s="7" t="s">
        <v>276</v>
      </c>
      <c r="B76" s="8" t="s">
        <v>274</v>
      </c>
      <c r="C76" s="71">
        <v>75</v>
      </c>
      <c r="D76" s="9" t="s">
        <v>277</v>
      </c>
    </row>
    <row r="77" spans="1:4">
      <c r="A77" s="7" t="s">
        <v>278</v>
      </c>
      <c r="B77" s="8" t="s">
        <v>274</v>
      </c>
      <c r="C77" s="71">
        <v>10</v>
      </c>
      <c r="D77" s="9" t="s">
        <v>279</v>
      </c>
    </row>
    <row r="78" spans="1:4">
      <c r="A78" s="7" t="s">
        <v>280</v>
      </c>
      <c r="B78" s="8" t="s">
        <v>281</v>
      </c>
      <c r="C78" s="71">
        <v>8</v>
      </c>
      <c r="D78" s="9" t="s">
        <v>282</v>
      </c>
    </row>
    <row r="79" spans="1:4">
      <c r="A79" s="7" t="s">
        <v>283</v>
      </c>
      <c r="B79" s="8" t="s">
        <v>271</v>
      </c>
      <c r="C79" s="71">
        <v>40</v>
      </c>
      <c r="D79" s="9" t="s">
        <v>284</v>
      </c>
    </row>
    <row r="80" spans="1:4">
      <c r="A80" s="7" t="s">
        <v>285</v>
      </c>
      <c r="B80" s="8" t="s">
        <v>281</v>
      </c>
      <c r="C80" s="71">
        <v>10</v>
      </c>
      <c r="D80" s="9" t="s">
        <v>286</v>
      </c>
    </row>
    <row r="81" spans="1:4">
      <c r="A81" s="11" t="s">
        <v>287</v>
      </c>
      <c r="B81" s="12"/>
      <c r="C81" s="72"/>
      <c r="D81" s="10" t="s">
        <v>288</v>
      </c>
    </row>
    <row r="82" spans="1:4">
      <c r="A82" s="7" t="s">
        <v>289</v>
      </c>
      <c r="B82" s="8" t="s">
        <v>290</v>
      </c>
      <c r="C82" s="71">
        <v>0</v>
      </c>
      <c r="D82" s="9" t="s">
        <v>291</v>
      </c>
    </row>
    <row r="83" spans="1:4">
      <c r="A83" s="7" t="s">
        <v>292</v>
      </c>
      <c r="B83" s="8" t="s">
        <v>141</v>
      </c>
      <c r="C83" s="71">
        <v>7</v>
      </c>
      <c r="D83" s="9" t="s">
        <v>293</v>
      </c>
    </row>
    <row r="84" spans="1:4">
      <c r="A84" s="7" t="s">
        <v>294</v>
      </c>
      <c r="B84" s="8" t="s">
        <v>113</v>
      </c>
      <c r="C84" s="71">
        <v>0.25</v>
      </c>
      <c r="D84" s="9" t="s">
        <v>295</v>
      </c>
    </row>
    <row r="85" spans="1:4">
      <c r="A85" s="7" t="s">
        <v>296</v>
      </c>
      <c r="B85" s="8" t="s">
        <v>135</v>
      </c>
      <c r="C85" s="71">
        <v>1.5</v>
      </c>
      <c r="D85" s="9" t="s">
        <v>297</v>
      </c>
    </row>
    <row r="86" spans="1:4">
      <c r="A86" s="7" t="s">
        <v>298</v>
      </c>
      <c r="B86" s="8" t="s">
        <v>88</v>
      </c>
      <c r="C86" s="71">
        <v>0.5</v>
      </c>
      <c r="D86" s="9" t="s">
        <v>299</v>
      </c>
    </row>
    <row r="87" spans="1:4">
      <c r="A87" s="7" t="s">
        <v>300</v>
      </c>
      <c r="B87" s="8" t="s">
        <v>290</v>
      </c>
      <c r="C87" s="71">
        <v>0</v>
      </c>
      <c r="D87" s="9" t="s">
        <v>291</v>
      </c>
    </row>
    <row r="88" spans="1:4">
      <c r="A88" s="7" t="s">
        <v>301</v>
      </c>
      <c r="B88" s="8" t="s">
        <v>141</v>
      </c>
      <c r="C88" s="71">
        <v>25</v>
      </c>
      <c r="D88" s="9" t="s">
        <v>302</v>
      </c>
    </row>
    <row r="89" spans="1:4">
      <c r="A89" s="7" t="s">
        <v>303</v>
      </c>
      <c r="B89" s="8" t="s">
        <v>28</v>
      </c>
      <c r="C89" s="76">
        <v>2</v>
      </c>
      <c r="D89" s="9" t="s">
        <v>304</v>
      </c>
    </row>
    <row r="90" spans="1:4">
      <c r="A90" s="7" t="s">
        <v>305</v>
      </c>
      <c r="B90" s="8" t="s">
        <v>135</v>
      </c>
      <c r="C90" s="71">
        <v>16</v>
      </c>
      <c r="D90" s="9" t="s">
        <v>306</v>
      </c>
    </row>
    <row r="91" spans="1:4">
      <c r="A91" s="7" t="s">
        <v>307</v>
      </c>
      <c r="B91" s="8" t="s">
        <v>308</v>
      </c>
      <c r="C91" s="71">
        <v>130</v>
      </c>
      <c r="D91" s="9" t="s">
        <v>309</v>
      </c>
    </row>
    <row r="92" spans="1:4">
      <c r="A92" s="11" t="s">
        <v>310</v>
      </c>
      <c r="B92" s="12"/>
      <c r="C92" s="72"/>
      <c r="D92" s="10" t="s">
        <v>311</v>
      </c>
    </row>
    <row r="93" spans="1:4" ht="26.4">
      <c r="A93" s="7" t="s">
        <v>312</v>
      </c>
      <c r="B93" s="8" t="s">
        <v>88</v>
      </c>
      <c r="C93" s="74">
        <v>1</v>
      </c>
      <c r="D93" s="9" t="s">
        <v>313</v>
      </c>
    </row>
    <row r="94" spans="1:4">
      <c r="A94" s="7" t="s">
        <v>314</v>
      </c>
      <c r="B94" s="8" t="s">
        <v>88</v>
      </c>
      <c r="C94" s="74">
        <v>0</v>
      </c>
      <c r="D94" s="9" t="s">
        <v>315</v>
      </c>
    </row>
    <row r="95" spans="1:4">
      <c r="A95" s="7" t="s">
        <v>316</v>
      </c>
      <c r="B95" s="8" t="s">
        <v>182</v>
      </c>
      <c r="C95" s="74">
        <v>0.13</v>
      </c>
      <c r="D95" s="9" t="s">
        <v>317</v>
      </c>
    </row>
    <row r="96" spans="1:4">
      <c r="A96" s="7" t="s">
        <v>318</v>
      </c>
      <c r="B96" s="8" t="s">
        <v>125</v>
      </c>
      <c r="C96" s="75">
        <v>60</v>
      </c>
      <c r="D96" s="9" t="s">
        <v>319</v>
      </c>
    </row>
    <row r="97" spans="1:4">
      <c r="A97" s="7" t="s">
        <v>320</v>
      </c>
      <c r="B97" s="8" t="s">
        <v>125</v>
      </c>
      <c r="C97" s="75">
        <v>12</v>
      </c>
      <c r="D97" s="9" t="s">
        <v>321</v>
      </c>
    </row>
    <row r="98" spans="1:4">
      <c r="A98" s="7" t="s">
        <v>322</v>
      </c>
      <c r="B98" s="8" t="s">
        <v>323</v>
      </c>
      <c r="C98" s="74">
        <v>0.01</v>
      </c>
      <c r="D98" s="9" t="s">
        <v>324</v>
      </c>
    </row>
    <row r="99" spans="1:4">
      <c r="A99" s="7" t="s">
        <v>325</v>
      </c>
      <c r="B99" s="8" t="s">
        <v>221</v>
      </c>
      <c r="C99" s="71">
        <v>0</v>
      </c>
      <c r="D99" s="9" t="s">
        <v>326</v>
      </c>
    </row>
    <row r="100" spans="1:4">
      <c r="A100" s="7" t="s">
        <v>327</v>
      </c>
      <c r="B100" s="8" t="s">
        <v>328</v>
      </c>
      <c r="C100" s="74">
        <v>0.6</v>
      </c>
      <c r="D100" s="9" t="s">
        <v>598</v>
      </c>
    </row>
    <row r="101" spans="1:4">
      <c r="A101" s="7" t="s">
        <v>329</v>
      </c>
      <c r="B101" s="8" t="s">
        <v>328</v>
      </c>
      <c r="C101" s="74">
        <v>0.4</v>
      </c>
      <c r="D101" s="9" t="s">
        <v>598</v>
      </c>
    </row>
    <row r="102" spans="1:4">
      <c r="A102" s="7" t="s">
        <v>330</v>
      </c>
      <c r="B102" s="8" t="s">
        <v>125</v>
      </c>
      <c r="C102" s="71">
        <v>2</v>
      </c>
      <c r="D102" s="9" t="s">
        <v>331</v>
      </c>
    </row>
    <row r="103" spans="1:4">
      <c r="A103" s="7" t="s">
        <v>332</v>
      </c>
      <c r="B103" s="8" t="s">
        <v>333</v>
      </c>
      <c r="C103" s="77">
        <v>0.2</v>
      </c>
      <c r="D103" s="9" t="s">
        <v>598</v>
      </c>
    </row>
    <row r="104" spans="1:4">
      <c r="A104" s="7" t="s">
        <v>334</v>
      </c>
      <c r="B104" s="8" t="s">
        <v>333</v>
      </c>
      <c r="C104" s="77">
        <v>0.3</v>
      </c>
      <c r="D104" s="9" t="s">
        <v>598</v>
      </c>
    </row>
    <row r="105" spans="1:4">
      <c r="A105" s="7" t="s">
        <v>335</v>
      </c>
      <c r="B105" s="8" t="s">
        <v>333</v>
      </c>
      <c r="C105" s="71">
        <v>0.5</v>
      </c>
      <c r="D105" s="9" t="s">
        <v>598</v>
      </c>
    </row>
    <row r="106" spans="1:4">
      <c r="A106" s="7" t="s">
        <v>336</v>
      </c>
      <c r="B106" s="8" t="s">
        <v>125</v>
      </c>
      <c r="C106" s="71">
        <v>2</v>
      </c>
      <c r="D106" s="9" t="s">
        <v>331</v>
      </c>
    </row>
    <row r="107" spans="1:4">
      <c r="A107" s="7" t="s">
        <v>337</v>
      </c>
      <c r="B107" s="8" t="s">
        <v>338</v>
      </c>
      <c r="C107" s="74">
        <v>0.15</v>
      </c>
      <c r="D107" s="9" t="s">
        <v>598</v>
      </c>
    </row>
    <row r="108" spans="1:4">
      <c r="A108" s="7" t="s">
        <v>339</v>
      </c>
      <c r="B108" s="8" t="s">
        <v>338</v>
      </c>
      <c r="C108" s="74">
        <v>0.35</v>
      </c>
      <c r="D108" s="9" t="s">
        <v>598</v>
      </c>
    </row>
    <row r="109" spans="1:4">
      <c r="A109" s="7" t="s">
        <v>340</v>
      </c>
      <c r="B109" s="8" t="s">
        <v>338</v>
      </c>
      <c r="C109" s="74">
        <v>0.4</v>
      </c>
      <c r="D109" s="9" t="s">
        <v>341</v>
      </c>
    </row>
    <row r="110" spans="1:4">
      <c r="A110" s="7" t="s">
        <v>342</v>
      </c>
      <c r="B110" s="8" t="s">
        <v>338</v>
      </c>
      <c r="C110" s="74">
        <v>0.1</v>
      </c>
      <c r="D110" s="9" t="s">
        <v>343</v>
      </c>
    </row>
    <row r="111" spans="1:4">
      <c r="A111" s="13" t="s">
        <v>344</v>
      </c>
      <c r="B111" s="14" t="s">
        <v>125</v>
      </c>
      <c r="C111" s="71">
        <v>2</v>
      </c>
      <c r="D111" s="15" t="s">
        <v>331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6"/>
  <sheetViews>
    <sheetView workbookViewId="0">
      <selection activeCell="A9" sqref="A9:E20"/>
    </sheetView>
  </sheetViews>
  <sheetFormatPr defaultRowHeight="13.8"/>
  <cols>
    <col min="1" max="1" width="30.69921875" customWidth="1"/>
    <col min="2" max="2" width="10.69921875" customWidth="1"/>
    <col min="3" max="3" width="12.09765625" customWidth="1"/>
    <col min="4" max="39" width="9.59765625" customWidth="1"/>
  </cols>
  <sheetData>
    <row r="1" spans="1:39" ht="17.399999999999999">
      <c r="A1" s="224" t="s">
        <v>345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</row>
    <row r="2" spans="1:39">
      <c r="A2" s="147" t="s">
        <v>346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</row>
    <row r="4" spans="1:39">
      <c r="A4" s="19" t="s">
        <v>17</v>
      </c>
      <c r="B4" s="20" t="s">
        <v>84</v>
      </c>
      <c r="C4" s="21" t="s">
        <v>118</v>
      </c>
    </row>
    <row r="5" spans="1:39">
      <c r="A5" s="22" t="s">
        <v>347</v>
      </c>
      <c r="B5" s="18" t="s">
        <v>122</v>
      </c>
      <c r="C5" s="23" t="s">
        <v>348</v>
      </c>
      <c r="D5" s="78">
        <f>Inputs!C5</f>
        <v>46204</v>
      </c>
      <c r="E5" s="79">
        <f t="shared" ref="E5:AM5" si="0">EDATE(D5,1)</f>
        <v>46235</v>
      </c>
      <c r="F5" s="79">
        <f t="shared" si="0"/>
        <v>46266</v>
      </c>
      <c r="G5" s="79">
        <f t="shared" si="0"/>
        <v>46296</v>
      </c>
      <c r="H5" s="79">
        <f t="shared" si="0"/>
        <v>46327</v>
      </c>
      <c r="I5" s="79">
        <f t="shared" si="0"/>
        <v>46357</v>
      </c>
      <c r="J5" s="79">
        <f t="shared" si="0"/>
        <v>46388</v>
      </c>
      <c r="K5" s="79">
        <f t="shared" si="0"/>
        <v>46419</v>
      </c>
      <c r="L5" s="79">
        <f t="shared" si="0"/>
        <v>46447</v>
      </c>
      <c r="M5" s="79">
        <f t="shared" si="0"/>
        <v>46478</v>
      </c>
      <c r="N5" s="79">
        <f t="shared" si="0"/>
        <v>46508</v>
      </c>
      <c r="O5" s="79">
        <f t="shared" si="0"/>
        <v>46539</v>
      </c>
      <c r="P5" s="79">
        <f t="shared" si="0"/>
        <v>46569</v>
      </c>
      <c r="Q5" s="79">
        <f t="shared" si="0"/>
        <v>46600</v>
      </c>
      <c r="R5" s="79">
        <f t="shared" si="0"/>
        <v>46631</v>
      </c>
      <c r="S5" s="79">
        <f t="shared" si="0"/>
        <v>46661</v>
      </c>
      <c r="T5" s="79">
        <f t="shared" si="0"/>
        <v>46692</v>
      </c>
      <c r="U5" s="79">
        <f t="shared" si="0"/>
        <v>46722</v>
      </c>
      <c r="V5" s="79">
        <f t="shared" si="0"/>
        <v>46753</v>
      </c>
      <c r="W5" s="79">
        <f t="shared" si="0"/>
        <v>46784</v>
      </c>
      <c r="X5" s="79">
        <f t="shared" si="0"/>
        <v>46813</v>
      </c>
      <c r="Y5" s="79">
        <f t="shared" si="0"/>
        <v>46844</v>
      </c>
      <c r="Z5" s="79">
        <f t="shared" si="0"/>
        <v>46874</v>
      </c>
      <c r="AA5" s="79">
        <f t="shared" si="0"/>
        <v>46905</v>
      </c>
      <c r="AB5" s="79">
        <f t="shared" si="0"/>
        <v>46935</v>
      </c>
      <c r="AC5" s="79">
        <f t="shared" si="0"/>
        <v>46966</v>
      </c>
      <c r="AD5" s="79">
        <f t="shared" si="0"/>
        <v>46997</v>
      </c>
      <c r="AE5" s="79">
        <f t="shared" si="0"/>
        <v>47027</v>
      </c>
      <c r="AF5" s="79">
        <f t="shared" si="0"/>
        <v>47058</v>
      </c>
      <c r="AG5" s="79">
        <f t="shared" si="0"/>
        <v>47088</v>
      </c>
      <c r="AH5" s="79">
        <f t="shared" si="0"/>
        <v>47119</v>
      </c>
      <c r="AI5" s="79">
        <f t="shared" si="0"/>
        <v>47150</v>
      </c>
      <c r="AJ5" s="79">
        <f t="shared" si="0"/>
        <v>47178</v>
      </c>
      <c r="AK5" s="79">
        <f t="shared" si="0"/>
        <v>47209</v>
      </c>
      <c r="AL5" s="79">
        <f t="shared" si="0"/>
        <v>47239</v>
      </c>
      <c r="AM5" s="80">
        <f t="shared" si="0"/>
        <v>47270</v>
      </c>
    </row>
    <row r="6" spans="1:39">
      <c r="A6" s="22" t="s">
        <v>349</v>
      </c>
      <c r="B6" s="18" t="s">
        <v>350</v>
      </c>
      <c r="C6" s="23" t="s">
        <v>351</v>
      </c>
      <c r="D6" s="84">
        <f t="shared" ref="D6:AM6" si="1">DAY(EOMONTH(D5,0))</f>
        <v>31</v>
      </c>
      <c r="E6" s="85">
        <f t="shared" si="1"/>
        <v>31</v>
      </c>
      <c r="F6" s="85">
        <f t="shared" si="1"/>
        <v>30</v>
      </c>
      <c r="G6" s="85">
        <f t="shared" si="1"/>
        <v>31</v>
      </c>
      <c r="H6" s="85">
        <f t="shared" si="1"/>
        <v>30</v>
      </c>
      <c r="I6" s="85">
        <f t="shared" si="1"/>
        <v>31</v>
      </c>
      <c r="J6" s="85">
        <f t="shared" si="1"/>
        <v>31</v>
      </c>
      <c r="K6" s="85">
        <f t="shared" si="1"/>
        <v>28</v>
      </c>
      <c r="L6" s="85">
        <f t="shared" si="1"/>
        <v>31</v>
      </c>
      <c r="M6" s="85">
        <f t="shared" si="1"/>
        <v>30</v>
      </c>
      <c r="N6" s="85">
        <f t="shared" si="1"/>
        <v>31</v>
      </c>
      <c r="O6" s="85">
        <f t="shared" si="1"/>
        <v>30</v>
      </c>
      <c r="P6" s="85">
        <f t="shared" si="1"/>
        <v>31</v>
      </c>
      <c r="Q6" s="85">
        <f t="shared" si="1"/>
        <v>31</v>
      </c>
      <c r="R6" s="85">
        <f t="shared" si="1"/>
        <v>30</v>
      </c>
      <c r="S6" s="85">
        <f t="shared" si="1"/>
        <v>31</v>
      </c>
      <c r="T6" s="85">
        <f t="shared" si="1"/>
        <v>30</v>
      </c>
      <c r="U6" s="85">
        <f t="shared" si="1"/>
        <v>31</v>
      </c>
      <c r="V6" s="85">
        <f t="shared" si="1"/>
        <v>31</v>
      </c>
      <c r="W6" s="85">
        <f t="shared" si="1"/>
        <v>29</v>
      </c>
      <c r="X6" s="85">
        <f t="shared" si="1"/>
        <v>31</v>
      </c>
      <c r="Y6" s="85">
        <f t="shared" si="1"/>
        <v>30</v>
      </c>
      <c r="Z6" s="85">
        <f t="shared" si="1"/>
        <v>31</v>
      </c>
      <c r="AA6" s="85">
        <f t="shared" si="1"/>
        <v>30</v>
      </c>
      <c r="AB6" s="85">
        <f t="shared" si="1"/>
        <v>31</v>
      </c>
      <c r="AC6" s="85">
        <f t="shared" si="1"/>
        <v>31</v>
      </c>
      <c r="AD6" s="85">
        <f t="shared" si="1"/>
        <v>30</v>
      </c>
      <c r="AE6" s="85">
        <f t="shared" si="1"/>
        <v>31</v>
      </c>
      <c r="AF6" s="85">
        <f t="shared" si="1"/>
        <v>30</v>
      </c>
      <c r="AG6" s="85">
        <f t="shared" si="1"/>
        <v>31</v>
      </c>
      <c r="AH6" s="85">
        <f t="shared" si="1"/>
        <v>31</v>
      </c>
      <c r="AI6" s="85">
        <f t="shared" si="1"/>
        <v>28</v>
      </c>
      <c r="AJ6" s="85">
        <f t="shared" si="1"/>
        <v>31</v>
      </c>
      <c r="AK6" s="85">
        <f t="shared" si="1"/>
        <v>30</v>
      </c>
      <c r="AL6" s="85">
        <f t="shared" si="1"/>
        <v>31</v>
      </c>
      <c r="AM6" s="86">
        <f t="shared" si="1"/>
        <v>30</v>
      </c>
    </row>
    <row r="7" spans="1:39">
      <c r="A7" s="24"/>
      <c r="B7" s="16"/>
      <c r="C7" s="25"/>
      <c r="D7" s="87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9"/>
    </row>
    <row r="8" spans="1:39">
      <c r="A8" s="31" t="s">
        <v>352</v>
      </c>
      <c r="B8" s="32" t="s">
        <v>28</v>
      </c>
      <c r="C8" s="33" t="s">
        <v>353</v>
      </c>
      <c r="D8" s="90">
        <v>0</v>
      </c>
      <c r="E8" s="91">
        <v>0</v>
      </c>
      <c r="F8" s="91">
        <v>5</v>
      </c>
      <c r="G8" s="91">
        <v>10</v>
      </c>
      <c r="H8" s="91">
        <v>15</v>
      </c>
      <c r="I8" s="91">
        <v>15</v>
      </c>
      <c r="J8" s="91">
        <v>15</v>
      </c>
      <c r="K8" s="91">
        <v>15</v>
      </c>
      <c r="L8" s="91">
        <v>15</v>
      </c>
      <c r="M8" s="91">
        <v>15</v>
      </c>
      <c r="N8" s="91">
        <v>15</v>
      </c>
      <c r="O8" s="91">
        <v>15</v>
      </c>
      <c r="P8" s="91">
        <v>15</v>
      </c>
      <c r="Q8" s="91">
        <v>15</v>
      </c>
      <c r="R8" s="91">
        <v>15</v>
      </c>
      <c r="S8" s="91">
        <v>15</v>
      </c>
      <c r="T8" s="91">
        <v>15</v>
      </c>
      <c r="U8" s="91">
        <v>15</v>
      </c>
      <c r="V8" s="91">
        <v>15</v>
      </c>
      <c r="W8" s="91">
        <v>15</v>
      </c>
      <c r="X8" s="91">
        <v>15</v>
      </c>
      <c r="Y8" s="91">
        <v>15</v>
      </c>
      <c r="Z8" s="91">
        <v>15</v>
      </c>
      <c r="AA8" s="91">
        <v>15</v>
      </c>
      <c r="AB8" s="91">
        <v>15</v>
      </c>
      <c r="AC8" s="91">
        <v>15</v>
      </c>
      <c r="AD8" s="91">
        <v>15</v>
      </c>
      <c r="AE8" s="91">
        <v>15</v>
      </c>
      <c r="AF8" s="91">
        <v>15</v>
      </c>
      <c r="AG8" s="91">
        <v>15</v>
      </c>
      <c r="AH8" s="91">
        <v>15</v>
      </c>
      <c r="AI8" s="91">
        <v>15</v>
      </c>
      <c r="AJ8" s="91">
        <v>15</v>
      </c>
      <c r="AK8" s="91">
        <v>15</v>
      </c>
      <c r="AL8" s="91">
        <v>15</v>
      </c>
      <c r="AM8" s="92">
        <v>15</v>
      </c>
    </row>
    <row r="9" spans="1:39">
      <c r="A9" s="24" t="s">
        <v>354</v>
      </c>
      <c r="B9" s="16" t="s">
        <v>28</v>
      </c>
      <c r="C9" s="25" t="s">
        <v>353</v>
      </c>
      <c r="D9" s="90">
        <v>0</v>
      </c>
      <c r="E9" s="91">
        <v>0</v>
      </c>
      <c r="F9" s="91">
        <v>0</v>
      </c>
      <c r="G9" s="91">
        <v>0</v>
      </c>
      <c r="H9" s="91">
        <v>0</v>
      </c>
      <c r="I9" s="91">
        <v>5</v>
      </c>
      <c r="J9" s="91">
        <v>5</v>
      </c>
      <c r="K9" s="91">
        <v>5</v>
      </c>
      <c r="L9" s="91">
        <v>5</v>
      </c>
      <c r="M9" s="91">
        <v>5</v>
      </c>
      <c r="N9" s="91">
        <v>5</v>
      </c>
      <c r="O9" s="91">
        <v>5</v>
      </c>
      <c r="P9" s="91">
        <v>5</v>
      </c>
      <c r="Q9" s="91">
        <v>5</v>
      </c>
      <c r="R9" s="91">
        <v>5</v>
      </c>
      <c r="S9" s="91">
        <v>5</v>
      </c>
      <c r="T9" s="91">
        <v>5</v>
      </c>
      <c r="U9" s="91">
        <v>5</v>
      </c>
      <c r="V9" s="91">
        <v>5</v>
      </c>
      <c r="W9" s="91">
        <v>5</v>
      </c>
      <c r="X9" s="91">
        <v>5</v>
      </c>
      <c r="Y9" s="91">
        <v>5</v>
      </c>
      <c r="Z9" s="91">
        <v>5</v>
      </c>
      <c r="AA9" s="91">
        <v>5</v>
      </c>
      <c r="AB9" s="91">
        <v>5</v>
      </c>
      <c r="AC9" s="91">
        <v>5</v>
      </c>
      <c r="AD9" s="91">
        <v>5</v>
      </c>
      <c r="AE9" s="91">
        <v>5</v>
      </c>
      <c r="AF9" s="91">
        <v>5</v>
      </c>
      <c r="AG9" s="91">
        <v>5</v>
      </c>
      <c r="AH9" s="91">
        <v>5</v>
      </c>
      <c r="AI9" s="91">
        <v>5</v>
      </c>
      <c r="AJ9" s="91">
        <v>5</v>
      </c>
      <c r="AK9" s="91">
        <v>5</v>
      </c>
      <c r="AL9" s="91">
        <v>5</v>
      </c>
      <c r="AM9" s="92">
        <v>5</v>
      </c>
    </row>
    <row r="10" spans="1:39">
      <c r="A10" s="24" t="s">
        <v>355</v>
      </c>
      <c r="B10" s="16" t="s">
        <v>28</v>
      </c>
      <c r="C10" s="25" t="s">
        <v>353</v>
      </c>
      <c r="D10" s="90">
        <v>0</v>
      </c>
      <c r="E10" s="91">
        <v>0</v>
      </c>
      <c r="F10" s="91">
        <v>0</v>
      </c>
      <c r="G10" s="91">
        <v>0</v>
      </c>
      <c r="H10" s="91">
        <v>10</v>
      </c>
      <c r="I10" s="91">
        <v>10</v>
      </c>
      <c r="J10" s="91">
        <v>10</v>
      </c>
      <c r="K10" s="91">
        <v>10</v>
      </c>
      <c r="L10" s="91">
        <v>10</v>
      </c>
      <c r="M10" s="91">
        <v>10</v>
      </c>
      <c r="N10" s="91">
        <v>10</v>
      </c>
      <c r="O10" s="91">
        <v>10</v>
      </c>
      <c r="P10" s="91">
        <v>10</v>
      </c>
      <c r="Q10" s="91">
        <v>10</v>
      </c>
      <c r="R10" s="91">
        <v>10</v>
      </c>
      <c r="S10" s="91">
        <v>10</v>
      </c>
      <c r="T10" s="91">
        <v>10</v>
      </c>
      <c r="U10" s="91">
        <v>10</v>
      </c>
      <c r="V10" s="91">
        <v>10</v>
      </c>
      <c r="W10" s="91">
        <v>10</v>
      </c>
      <c r="X10" s="91">
        <v>10</v>
      </c>
      <c r="Y10" s="91">
        <v>10</v>
      </c>
      <c r="Z10" s="91">
        <v>10</v>
      </c>
      <c r="AA10" s="91">
        <v>10</v>
      </c>
      <c r="AB10" s="91">
        <v>10</v>
      </c>
      <c r="AC10" s="91">
        <v>10</v>
      </c>
      <c r="AD10" s="91">
        <v>10</v>
      </c>
      <c r="AE10" s="91">
        <v>10</v>
      </c>
      <c r="AF10" s="91">
        <v>10</v>
      </c>
      <c r="AG10" s="91">
        <v>10</v>
      </c>
      <c r="AH10" s="91">
        <v>10</v>
      </c>
      <c r="AI10" s="91">
        <v>10</v>
      </c>
      <c r="AJ10" s="91">
        <v>10</v>
      </c>
      <c r="AK10" s="91">
        <v>10</v>
      </c>
      <c r="AL10" s="91">
        <v>10</v>
      </c>
      <c r="AM10" s="92">
        <v>10</v>
      </c>
    </row>
    <row r="11" spans="1:39">
      <c r="A11" s="24"/>
      <c r="B11" s="16"/>
      <c r="C11" s="25"/>
      <c r="D11" s="87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9"/>
    </row>
    <row r="12" spans="1:39">
      <c r="A12" s="24"/>
      <c r="B12" s="16"/>
      <c r="C12" s="25"/>
      <c r="D12" s="87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9"/>
    </row>
    <row r="13" spans="1:39">
      <c r="A13" s="31" t="s">
        <v>356</v>
      </c>
      <c r="B13" s="32" t="s">
        <v>28</v>
      </c>
      <c r="C13" s="33" t="s">
        <v>357</v>
      </c>
      <c r="D13" s="93">
        <f>0</f>
        <v>0</v>
      </c>
      <c r="E13" s="94">
        <f t="shared" ref="E13:AM13" si="2">D8</f>
        <v>0</v>
      </c>
      <c r="F13" s="94">
        <f t="shared" si="2"/>
        <v>0</v>
      </c>
      <c r="G13" s="94">
        <f t="shared" si="2"/>
        <v>5</v>
      </c>
      <c r="H13" s="94">
        <f t="shared" si="2"/>
        <v>10</v>
      </c>
      <c r="I13" s="94">
        <f t="shared" si="2"/>
        <v>15</v>
      </c>
      <c r="J13" s="94">
        <f t="shared" si="2"/>
        <v>15</v>
      </c>
      <c r="K13" s="94">
        <f t="shared" si="2"/>
        <v>15</v>
      </c>
      <c r="L13" s="94">
        <f t="shared" si="2"/>
        <v>15</v>
      </c>
      <c r="M13" s="94">
        <f t="shared" si="2"/>
        <v>15</v>
      </c>
      <c r="N13" s="94">
        <f t="shared" si="2"/>
        <v>15</v>
      </c>
      <c r="O13" s="94">
        <f t="shared" si="2"/>
        <v>15</v>
      </c>
      <c r="P13" s="94">
        <f t="shared" si="2"/>
        <v>15</v>
      </c>
      <c r="Q13" s="94">
        <f t="shared" si="2"/>
        <v>15</v>
      </c>
      <c r="R13" s="94">
        <f t="shared" si="2"/>
        <v>15</v>
      </c>
      <c r="S13" s="94">
        <f t="shared" si="2"/>
        <v>15</v>
      </c>
      <c r="T13" s="94">
        <f t="shared" si="2"/>
        <v>15</v>
      </c>
      <c r="U13" s="94">
        <f t="shared" si="2"/>
        <v>15</v>
      </c>
      <c r="V13" s="94">
        <f t="shared" si="2"/>
        <v>15</v>
      </c>
      <c r="W13" s="94">
        <f t="shared" si="2"/>
        <v>15</v>
      </c>
      <c r="X13" s="94">
        <f t="shared" si="2"/>
        <v>15</v>
      </c>
      <c r="Y13" s="94">
        <f t="shared" si="2"/>
        <v>15</v>
      </c>
      <c r="Z13" s="94">
        <f t="shared" si="2"/>
        <v>15</v>
      </c>
      <c r="AA13" s="94">
        <f t="shared" si="2"/>
        <v>15</v>
      </c>
      <c r="AB13" s="94">
        <f t="shared" si="2"/>
        <v>15</v>
      </c>
      <c r="AC13" s="94">
        <f t="shared" si="2"/>
        <v>15</v>
      </c>
      <c r="AD13" s="94">
        <f t="shared" si="2"/>
        <v>15</v>
      </c>
      <c r="AE13" s="94">
        <f t="shared" si="2"/>
        <v>15</v>
      </c>
      <c r="AF13" s="94">
        <f t="shared" si="2"/>
        <v>15</v>
      </c>
      <c r="AG13" s="94">
        <f t="shared" si="2"/>
        <v>15</v>
      </c>
      <c r="AH13" s="94">
        <f t="shared" si="2"/>
        <v>15</v>
      </c>
      <c r="AI13" s="94">
        <f t="shared" si="2"/>
        <v>15</v>
      </c>
      <c r="AJ13" s="94">
        <f t="shared" si="2"/>
        <v>15</v>
      </c>
      <c r="AK13" s="94">
        <f t="shared" si="2"/>
        <v>15</v>
      </c>
      <c r="AL13" s="94">
        <f t="shared" si="2"/>
        <v>15</v>
      </c>
      <c r="AM13" s="95">
        <f t="shared" si="2"/>
        <v>15</v>
      </c>
    </row>
    <row r="14" spans="1:39">
      <c r="A14" s="24" t="s">
        <v>358</v>
      </c>
      <c r="B14" s="16" t="s">
        <v>28</v>
      </c>
      <c r="C14" s="25" t="s">
        <v>357</v>
      </c>
      <c r="D14" s="87">
        <f>0</f>
        <v>0</v>
      </c>
      <c r="E14" s="88">
        <f t="shared" ref="E14:AM14" si="3">D9</f>
        <v>0</v>
      </c>
      <c r="F14" s="88">
        <f t="shared" si="3"/>
        <v>0</v>
      </c>
      <c r="G14" s="88">
        <f t="shared" si="3"/>
        <v>0</v>
      </c>
      <c r="H14" s="88">
        <f t="shared" si="3"/>
        <v>0</v>
      </c>
      <c r="I14" s="88">
        <f t="shared" si="3"/>
        <v>0</v>
      </c>
      <c r="J14" s="88">
        <f t="shared" si="3"/>
        <v>5</v>
      </c>
      <c r="K14" s="88">
        <f t="shared" si="3"/>
        <v>5</v>
      </c>
      <c r="L14" s="88">
        <f t="shared" si="3"/>
        <v>5</v>
      </c>
      <c r="M14" s="88">
        <f t="shared" si="3"/>
        <v>5</v>
      </c>
      <c r="N14" s="88">
        <f t="shared" si="3"/>
        <v>5</v>
      </c>
      <c r="O14" s="88">
        <f t="shared" si="3"/>
        <v>5</v>
      </c>
      <c r="P14" s="88">
        <f t="shared" si="3"/>
        <v>5</v>
      </c>
      <c r="Q14" s="88">
        <f t="shared" si="3"/>
        <v>5</v>
      </c>
      <c r="R14" s="88">
        <f t="shared" si="3"/>
        <v>5</v>
      </c>
      <c r="S14" s="88">
        <f t="shared" si="3"/>
        <v>5</v>
      </c>
      <c r="T14" s="88">
        <f t="shared" si="3"/>
        <v>5</v>
      </c>
      <c r="U14" s="88">
        <f t="shared" si="3"/>
        <v>5</v>
      </c>
      <c r="V14" s="88">
        <f t="shared" si="3"/>
        <v>5</v>
      </c>
      <c r="W14" s="88">
        <f t="shared" si="3"/>
        <v>5</v>
      </c>
      <c r="X14" s="88">
        <f t="shared" si="3"/>
        <v>5</v>
      </c>
      <c r="Y14" s="88">
        <f t="shared" si="3"/>
        <v>5</v>
      </c>
      <c r="Z14" s="88">
        <f t="shared" si="3"/>
        <v>5</v>
      </c>
      <c r="AA14" s="88">
        <f t="shared" si="3"/>
        <v>5</v>
      </c>
      <c r="AB14" s="88">
        <f t="shared" si="3"/>
        <v>5</v>
      </c>
      <c r="AC14" s="88">
        <f t="shared" si="3"/>
        <v>5</v>
      </c>
      <c r="AD14" s="88">
        <f t="shared" si="3"/>
        <v>5</v>
      </c>
      <c r="AE14" s="88">
        <f t="shared" si="3"/>
        <v>5</v>
      </c>
      <c r="AF14" s="88">
        <f t="shared" si="3"/>
        <v>5</v>
      </c>
      <c r="AG14" s="88">
        <f t="shared" si="3"/>
        <v>5</v>
      </c>
      <c r="AH14" s="88">
        <f t="shared" si="3"/>
        <v>5</v>
      </c>
      <c r="AI14" s="88">
        <f t="shared" si="3"/>
        <v>5</v>
      </c>
      <c r="AJ14" s="88">
        <f t="shared" si="3"/>
        <v>5</v>
      </c>
      <c r="AK14" s="88">
        <f t="shared" si="3"/>
        <v>5</v>
      </c>
      <c r="AL14" s="88">
        <f t="shared" si="3"/>
        <v>5</v>
      </c>
      <c r="AM14" s="89">
        <f t="shared" si="3"/>
        <v>5</v>
      </c>
    </row>
    <row r="15" spans="1:39">
      <c r="A15" s="24" t="s">
        <v>359</v>
      </c>
      <c r="B15" s="16" t="s">
        <v>28</v>
      </c>
      <c r="C15" s="25" t="s">
        <v>357</v>
      </c>
      <c r="D15" s="87">
        <f>0</f>
        <v>0</v>
      </c>
      <c r="E15" s="88">
        <f t="shared" ref="E15:AM15" si="4">D10</f>
        <v>0</v>
      </c>
      <c r="F15" s="88">
        <f t="shared" si="4"/>
        <v>0</v>
      </c>
      <c r="G15" s="88">
        <f t="shared" si="4"/>
        <v>0</v>
      </c>
      <c r="H15" s="88">
        <f t="shared" si="4"/>
        <v>0</v>
      </c>
      <c r="I15" s="88">
        <f t="shared" si="4"/>
        <v>10</v>
      </c>
      <c r="J15" s="88">
        <f t="shared" si="4"/>
        <v>10</v>
      </c>
      <c r="K15" s="88">
        <f t="shared" si="4"/>
        <v>10</v>
      </c>
      <c r="L15" s="88">
        <f t="shared" si="4"/>
        <v>10</v>
      </c>
      <c r="M15" s="88">
        <f t="shared" si="4"/>
        <v>10</v>
      </c>
      <c r="N15" s="88">
        <f t="shared" si="4"/>
        <v>10</v>
      </c>
      <c r="O15" s="88">
        <f t="shared" si="4"/>
        <v>10</v>
      </c>
      <c r="P15" s="88">
        <f t="shared" si="4"/>
        <v>10</v>
      </c>
      <c r="Q15" s="88">
        <f t="shared" si="4"/>
        <v>10</v>
      </c>
      <c r="R15" s="88">
        <f t="shared" si="4"/>
        <v>10</v>
      </c>
      <c r="S15" s="88">
        <f t="shared" si="4"/>
        <v>10</v>
      </c>
      <c r="T15" s="88">
        <f t="shared" si="4"/>
        <v>10</v>
      </c>
      <c r="U15" s="88">
        <f t="shared" si="4"/>
        <v>10</v>
      </c>
      <c r="V15" s="88">
        <f t="shared" si="4"/>
        <v>10</v>
      </c>
      <c r="W15" s="88">
        <f t="shared" si="4"/>
        <v>10</v>
      </c>
      <c r="X15" s="88">
        <f t="shared" si="4"/>
        <v>10</v>
      </c>
      <c r="Y15" s="88">
        <f t="shared" si="4"/>
        <v>10</v>
      </c>
      <c r="Z15" s="88">
        <f t="shared" si="4"/>
        <v>10</v>
      </c>
      <c r="AA15" s="88">
        <f t="shared" si="4"/>
        <v>10</v>
      </c>
      <c r="AB15" s="88">
        <f t="shared" si="4"/>
        <v>10</v>
      </c>
      <c r="AC15" s="88">
        <f t="shared" si="4"/>
        <v>10</v>
      </c>
      <c r="AD15" s="88">
        <f t="shared" si="4"/>
        <v>10</v>
      </c>
      <c r="AE15" s="88">
        <f t="shared" si="4"/>
        <v>10</v>
      </c>
      <c r="AF15" s="88">
        <f t="shared" si="4"/>
        <v>10</v>
      </c>
      <c r="AG15" s="88">
        <f t="shared" si="4"/>
        <v>10</v>
      </c>
      <c r="AH15" s="88">
        <f t="shared" si="4"/>
        <v>10</v>
      </c>
      <c r="AI15" s="88">
        <f t="shared" si="4"/>
        <v>10</v>
      </c>
      <c r="AJ15" s="88">
        <f t="shared" si="4"/>
        <v>10</v>
      </c>
      <c r="AK15" s="88">
        <f t="shared" si="4"/>
        <v>10</v>
      </c>
      <c r="AL15" s="88">
        <f t="shared" si="4"/>
        <v>10</v>
      </c>
      <c r="AM15" s="89">
        <f t="shared" si="4"/>
        <v>10</v>
      </c>
    </row>
    <row r="16" spans="1:39">
      <c r="A16" s="24"/>
      <c r="B16" s="16"/>
      <c r="C16" s="25"/>
      <c r="D16" s="87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9"/>
    </row>
    <row r="17" spans="1:39">
      <c r="A17" s="24"/>
      <c r="B17" s="16"/>
      <c r="C17" s="25"/>
      <c r="D17" s="87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9"/>
    </row>
    <row r="18" spans="1:39">
      <c r="A18" s="31" t="s">
        <v>360</v>
      </c>
      <c r="B18" s="32" t="s">
        <v>28</v>
      </c>
      <c r="C18" s="33" t="s">
        <v>357</v>
      </c>
      <c r="D18" s="93">
        <f t="shared" ref="D18:AM18" si="5">(D13+D8)/2</f>
        <v>0</v>
      </c>
      <c r="E18" s="94">
        <f t="shared" si="5"/>
        <v>0</v>
      </c>
      <c r="F18" s="94">
        <f t="shared" si="5"/>
        <v>2.5</v>
      </c>
      <c r="G18" s="94">
        <f t="shared" si="5"/>
        <v>7.5</v>
      </c>
      <c r="H18" s="94">
        <f t="shared" si="5"/>
        <v>12.5</v>
      </c>
      <c r="I18" s="94">
        <f t="shared" si="5"/>
        <v>15</v>
      </c>
      <c r="J18" s="94">
        <f t="shared" si="5"/>
        <v>15</v>
      </c>
      <c r="K18" s="94">
        <f t="shared" si="5"/>
        <v>15</v>
      </c>
      <c r="L18" s="94">
        <f t="shared" si="5"/>
        <v>15</v>
      </c>
      <c r="M18" s="94">
        <f t="shared" si="5"/>
        <v>15</v>
      </c>
      <c r="N18" s="94">
        <f t="shared" si="5"/>
        <v>15</v>
      </c>
      <c r="O18" s="94">
        <f t="shared" si="5"/>
        <v>15</v>
      </c>
      <c r="P18" s="94">
        <f t="shared" si="5"/>
        <v>15</v>
      </c>
      <c r="Q18" s="94">
        <f t="shared" si="5"/>
        <v>15</v>
      </c>
      <c r="R18" s="94">
        <f t="shared" si="5"/>
        <v>15</v>
      </c>
      <c r="S18" s="94">
        <f t="shared" si="5"/>
        <v>15</v>
      </c>
      <c r="T18" s="94">
        <f t="shared" si="5"/>
        <v>15</v>
      </c>
      <c r="U18" s="94">
        <f t="shared" si="5"/>
        <v>15</v>
      </c>
      <c r="V18" s="94">
        <f t="shared" si="5"/>
        <v>15</v>
      </c>
      <c r="W18" s="94">
        <f t="shared" si="5"/>
        <v>15</v>
      </c>
      <c r="X18" s="94">
        <f t="shared" si="5"/>
        <v>15</v>
      </c>
      <c r="Y18" s="94">
        <f t="shared" si="5"/>
        <v>15</v>
      </c>
      <c r="Z18" s="94">
        <f t="shared" si="5"/>
        <v>15</v>
      </c>
      <c r="AA18" s="94">
        <f t="shared" si="5"/>
        <v>15</v>
      </c>
      <c r="AB18" s="94">
        <f t="shared" si="5"/>
        <v>15</v>
      </c>
      <c r="AC18" s="94">
        <f t="shared" si="5"/>
        <v>15</v>
      </c>
      <c r="AD18" s="94">
        <f t="shared" si="5"/>
        <v>15</v>
      </c>
      <c r="AE18" s="94">
        <f t="shared" si="5"/>
        <v>15</v>
      </c>
      <c r="AF18" s="94">
        <f t="shared" si="5"/>
        <v>15</v>
      </c>
      <c r="AG18" s="94">
        <f t="shared" si="5"/>
        <v>15</v>
      </c>
      <c r="AH18" s="94">
        <f t="shared" si="5"/>
        <v>15</v>
      </c>
      <c r="AI18" s="94">
        <f t="shared" si="5"/>
        <v>15</v>
      </c>
      <c r="AJ18" s="94">
        <f t="shared" si="5"/>
        <v>15</v>
      </c>
      <c r="AK18" s="94">
        <f t="shared" si="5"/>
        <v>15</v>
      </c>
      <c r="AL18" s="94">
        <f t="shared" si="5"/>
        <v>15</v>
      </c>
      <c r="AM18" s="95">
        <f t="shared" si="5"/>
        <v>15</v>
      </c>
    </row>
    <row r="19" spans="1:39">
      <c r="A19" s="24" t="s">
        <v>361</v>
      </c>
      <c r="B19" s="16" t="s">
        <v>28</v>
      </c>
      <c r="C19" s="25" t="s">
        <v>357</v>
      </c>
      <c r="D19" s="87">
        <f t="shared" ref="D19:AM19" si="6">(D14+D9)/2</f>
        <v>0</v>
      </c>
      <c r="E19" s="88">
        <f t="shared" si="6"/>
        <v>0</v>
      </c>
      <c r="F19" s="88">
        <f t="shared" si="6"/>
        <v>0</v>
      </c>
      <c r="G19" s="88">
        <f t="shared" si="6"/>
        <v>0</v>
      </c>
      <c r="H19" s="88">
        <f t="shared" si="6"/>
        <v>0</v>
      </c>
      <c r="I19" s="88">
        <f t="shared" si="6"/>
        <v>2.5</v>
      </c>
      <c r="J19" s="88">
        <f t="shared" si="6"/>
        <v>5</v>
      </c>
      <c r="K19" s="88">
        <f t="shared" si="6"/>
        <v>5</v>
      </c>
      <c r="L19" s="88">
        <f t="shared" si="6"/>
        <v>5</v>
      </c>
      <c r="M19" s="88">
        <f t="shared" si="6"/>
        <v>5</v>
      </c>
      <c r="N19" s="88">
        <f t="shared" si="6"/>
        <v>5</v>
      </c>
      <c r="O19" s="88">
        <f t="shared" si="6"/>
        <v>5</v>
      </c>
      <c r="P19" s="88">
        <f t="shared" si="6"/>
        <v>5</v>
      </c>
      <c r="Q19" s="88">
        <f t="shared" si="6"/>
        <v>5</v>
      </c>
      <c r="R19" s="88">
        <f t="shared" si="6"/>
        <v>5</v>
      </c>
      <c r="S19" s="88">
        <f t="shared" si="6"/>
        <v>5</v>
      </c>
      <c r="T19" s="88">
        <f t="shared" si="6"/>
        <v>5</v>
      </c>
      <c r="U19" s="88">
        <f t="shared" si="6"/>
        <v>5</v>
      </c>
      <c r="V19" s="88">
        <f t="shared" si="6"/>
        <v>5</v>
      </c>
      <c r="W19" s="88">
        <f t="shared" si="6"/>
        <v>5</v>
      </c>
      <c r="X19" s="88">
        <f t="shared" si="6"/>
        <v>5</v>
      </c>
      <c r="Y19" s="88">
        <f t="shared" si="6"/>
        <v>5</v>
      </c>
      <c r="Z19" s="88">
        <f t="shared" si="6"/>
        <v>5</v>
      </c>
      <c r="AA19" s="88">
        <f t="shared" si="6"/>
        <v>5</v>
      </c>
      <c r="AB19" s="88">
        <f t="shared" si="6"/>
        <v>5</v>
      </c>
      <c r="AC19" s="88">
        <f t="shared" si="6"/>
        <v>5</v>
      </c>
      <c r="AD19" s="88">
        <f t="shared" si="6"/>
        <v>5</v>
      </c>
      <c r="AE19" s="88">
        <f t="shared" si="6"/>
        <v>5</v>
      </c>
      <c r="AF19" s="88">
        <f t="shared" si="6"/>
        <v>5</v>
      </c>
      <c r="AG19" s="88">
        <f t="shared" si="6"/>
        <v>5</v>
      </c>
      <c r="AH19" s="88">
        <f t="shared" si="6"/>
        <v>5</v>
      </c>
      <c r="AI19" s="88">
        <f t="shared" si="6"/>
        <v>5</v>
      </c>
      <c r="AJ19" s="88">
        <f t="shared" si="6"/>
        <v>5</v>
      </c>
      <c r="AK19" s="88">
        <f t="shared" si="6"/>
        <v>5</v>
      </c>
      <c r="AL19" s="88">
        <f t="shared" si="6"/>
        <v>5</v>
      </c>
      <c r="AM19" s="89">
        <f t="shared" si="6"/>
        <v>5</v>
      </c>
    </row>
    <row r="20" spans="1:39">
      <c r="A20" s="24" t="s">
        <v>362</v>
      </c>
      <c r="B20" s="16" t="s">
        <v>28</v>
      </c>
      <c r="C20" s="25" t="s">
        <v>357</v>
      </c>
      <c r="D20" s="87">
        <f t="shared" ref="D20:AM20" si="7">(D15+D10)/2</f>
        <v>0</v>
      </c>
      <c r="E20" s="88">
        <f t="shared" si="7"/>
        <v>0</v>
      </c>
      <c r="F20" s="88">
        <f t="shared" si="7"/>
        <v>0</v>
      </c>
      <c r="G20" s="88">
        <f t="shared" si="7"/>
        <v>0</v>
      </c>
      <c r="H20" s="88">
        <f t="shared" si="7"/>
        <v>5</v>
      </c>
      <c r="I20" s="88">
        <f t="shared" si="7"/>
        <v>10</v>
      </c>
      <c r="J20" s="88">
        <f t="shared" si="7"/>
        <v>10</v>
      </c>
      <c r="K20" s="88">
        <f t="shared" si="7"/>
        <v>10</v>
      </c>
      <c r="L20" s="88">
        <f t="shared" si="7"/>
        <v>10</v>
      </c>
      <c r="M20" s="88">
        <f t="shared" si="7"/>
        <v>10</v>
      </c>
      <c r="N20" s="88">
        <f t="shared" si="7"/>
        <v>10</v>
      </c>
      <c r="O20" s="88">
        <f t="shared" si="7"/>
        <v>10</v>
      </c>
      <c r="P20" s="88">
        <f t="shared" si="7"/>
        <v>10</v>
      </c>
      <c r="Q20" s="88">
        <f t="shared" si="7"/>
        <v>10</v>
      </c>
      <c r="R20" s="88">
        <f t="shared" si="7"/>
        <v>10</v>
      </c>
      <c r="S20" s="88">
        <f t="shared" si="7"/>
        <v>10</v>
      </c>
      <c r="T20" s="88">
        <f t="shared" si="7"/>
        <v>10</v>
      </c>
      <c r="U20" s="88">
        <f t="shared" si="7"/>
        <v>10</v>
      </c>
      <c r="V20" s="88">
        <f t="shared" si="7"/>
        <v>10</v>
      </c>
      <c r="W20" s="88">
        <f t="shared" si="7"/>
        <v>10</v>
      </c>
      <c r="X20" s="88">
        <f t="shared" si="7"/>
        <v>10</v>
      </c>
      <c r="Y20" s="88">
        <f t="shared" si="7"/>
        <v>10</v>
      </c>
      <c r="Z20" s="88">
        <f t="shared" si="7"/>
        <v>10</v>
      </c>
      <c r="AA20" s="88">
        <f t="shared" si="7"/>
        <v>10</v>
      </c>
      <c r="AB20" s="88">
        <f t="shared" si="7"/>
        <v>10</v>
      </c>
      <c r="AC20" s="88">
        <f t="shared" si="7"/>
        <v>10</v>
      </c>
      <c r="AD20" s="88">
        <f t="shared" si="7"/>
        <v>10</v>
      </c>
      <c r="AE20" s="88">
        <f t="shared" si="7"/>
        <v>10</v>
      </c>
      <c r="AF20" s="88">
        <f t="shared" si="7"/>
        <v>10</v>
      </c>
      <c r="AG20" s="88">
        <f t="shared" si="7"/>
        <v>10</v>
      </c>
      <c r="AH20" s="88">
        <f t="shared" si="7"/>
        <v>10</v>
      </c>
      <c r="AI20" s="88">
        <f t="shared" si="7"/>
        <v>10</v>
      </c>
      <c r="AJ20" s="88">
        <f t="shared" si="7"/>
        <v>10</v>
      </c>
      <c r="AK20" s="88">
        <f t="shared" si="7"/>
        <v>10</v>
      </c>
      <c r="AL20" s="88">
        <f t="shared" si="7"/>
        <v>10</v>
      </c>
      <c r="AM20" s="89">
        <f t="shared" si="7"/>
        <v>10</v>
      </c>
    </row>
    <row r="21" spans="1:39">
      <c r="A21" s="24" t="s">
        <v>363</v>
      </c>
      <c r="B21" s="16" t="s">
        <v>28</v>
      </c>
      <c r="C21" s="25" t="s">
        <v>357</v>
      </c>
      <c r="D21" s="87">
        <f t="shared" ref="D21:AM21" si="8">D18+D19</f>
        <v>0</v>
      </c>
      <c r="E21" s="88">
        <f t="shared" si="8"/>
        <v>0</v>
      </c>
      <c r="F21" s="88">
        <f t="shared" si="8"/>
        <v>2.5</v>
      </c>
      <c r="G21" s="88">
        <f t="shared" si="8"/>
        <v>7.5</v>
      </c>
      <c r="H21" s="88">
        <f t="shared" si="8"/>
        <v>12.5</v>
      </c>
      <c r="I21" s="88">
        <f t="shared" si="8"/>
        <v>17.5</v>
      </c>
      <c r="J21" s="88">
        <f t="shared" si="8"/>
        <v>20</v>
      </c>
      <c r="K21" s="88">
        <f t="shared" si="8"/>
        <v>20</v>
      </c>
      <c r="L21" s="88">
        <f t="shared" si="8"/>
        <v>20</v>
      </c>
      <c r="M21" s="88">
        <f t="shared" si="8"/>
        <v>20</v>
      </c>
      <c r="N21" s="88">
        <f t="shared" si="8"/>
        <v>20</v>
      </c>
      <c r="O21" s="88">
        <f t="shared" si="8"/>
        <v>20</v>
      </c>
      <c r="P21" s="88">
        <f t="shared" si="8"/>
        <v>20</v>
      </c>
      <c r="Q21" s="88">
        <f t="shared" si="8"/>
        <v>20</v>
      </c>
      <c r="R21" s="88">
        <f t="shared" si="8"/>
        <v>20</v>
      </c>
      <c r="S21" s="88">
        <f t="shared" si="8"/>
        <v>20</v>
      </c>
      <c r="T21" s="88">
        <f t="shared" si="8"/>
        <v>20</v>
      </c>
      <c r="U21" s="88">
        <f t="shared" si="8"/>
        <v>20</v>
      </c>
      <c r="V21" s="88">
        <f t="shared" si="8"/>
        <v>20</v>
      </c>
      <c r="W21" s="88">
        <f t="shared" si="8"/>
        <v>20</v>
      </c>
      <c r="X21" s="88">
        <f t="shared" si="8"/>
        <v>20</v>
      </c>
      <c r="Y21" s="88">
        <f t="shared" si="8"/>
        <v>20</v>
      </c>
      <c r="Z21" s="88">
        <f t="shared" si="8"/>
        <v>20</v>
      </c>
      <c r="AA21" s="88">
        <f t="shared" si="8"/>
        <v>20</v>
      </c>
      <c r="AB21" s="88">
        <f t="shared" si="8"/>
        <v>20</v>
      </c>
      <c r="AC21" s="88">
        <f t="shared" si="8"/>
        <v>20</v>
      </c>
      <c r="AD21" s="88">
        <f t="shared" si="8"/>
        <v>20</v>
      </c>
      <c r="AE21" s="88">
        <f t="shared" si="8"/>
        <v>20</v>
      </c>
      <c r="AF21" s="88">
        <f t="shared" si="8"/>
        <v>20</v>
      </c>
      <c r="AG21" s="88">
        <f t="shared" si="8"/>
        <v>20</v>
      </c>
      <c r="AH21" s="88">
        <f t="shared" si="8"/>
        <v>20</v>
      </c>
      <c r="AI21" s="88">
        <f t="shared" si="8"/>
        <v>20</v>
      </c>
      <c r="AJ21" s="88">
        <f t="shared" si="8"/>
        <v>20</v>
      </c>
      <c r="AK21" s="88">
        <f t="shared" si="8"/>
        <v>20</v>
      </c>
      <c r="AL21" s="88">
        <f t="shared" si="8"/>
        <v>20</v>
      </c>
      <c r="AM21" s="89">
        <f t="shared" si="8"/>
        <v>20</v>
      </c>
    </row>
    <row r="22" spans="1:39">
      <c r="A22" s="24"/>
      <c r="B22" s="16"/>
      <c r="C22" s="25"/>
      <c r="D22" s="87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9"/>
    </row>
    <row r="23" spans="1:39">
      <c r="A23" s="24"/>
      <c r="B23" s="16"/>
      <c r="C23" s="25"/>
      <c r="D23" s="87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9"/>
    </row>
    <row r="24" spans="1:39">
      <c r="A24" s="31" t="s">
        <v>364</v>
      </c>
      <c r="B24" s="32" t="s">
        <v>28</v>
      </c>
      <c r="C24" s="33" t="s">
        <v>357</v>
      </c>
      <c r="D24" s="93">
        <f t="shared" ref="D24:AM24" si="9">MAX(0,D8-D13)</f>
        <v>0</v>
      </c>
      <c r="E24" s="94">
        <f t="shared" si="9"/>
        <v>0</v>
      </c>
      <c r="F24" s="94">
        <f t="shared" si="9"/>
        <v>5</v>
      </c>
      <c r="G24" s="94">
        <f t="shared" si="9"/>
        <v>5</v>
      </c>
      <c r="H24" s="94">
        <f t="shared" si="9"/>
        <v>5</v>
      </c>
      <c r="I24" s="94">
        <f t="shared" si="9"/>
        <v>0</v>
      </c>
      <c r="J24" s="94">
        <f t="shared" si="9"/>
        <v>0</v>
      </c>
      <c r="K24" s="94">
        <f t="shared" si="9"/>
        <v>0</v>
      </c>
      <c r="L24" s="94">
        <f t="shared" si="9"/>
        <v>0</v>
      </c>
      <c r="M24" s="94">
        <f t="shared" si="9"/>
        <v>0</v>
      </c>
      <c r="N24" s="94">
        <f t="shared" si="9"/>
        <v>0</v>
      </c>
      <c r="O24" s="94">
        <f t="shared" si="9"/>
        <v>0</v>
      </c>
      <c r="P24" s="94">
        <f t="shared" si="9"/>
        <v>0</v>
      </c>
      <c r="Q24" s="94">
        <f t="shared" si="9"/>
        <v>0</v>
      </c>
      <c r="R24" s="94">
        <f t="shared" si="9"/>
        <v>0</v>
      </c>
      <c r="S24" s="94">
        <f t="shared" si="9"/>
        <v>0</v>
      </c>
      <c r="T24" s="94">
        <f t="shared" si="9"/>
        <v>0</v>
      </c>
      <c r="U24" s="94">
        <f t="shared" si="9"/>
        <v>0</v>
      </c>
      <c r="V24" s="94">
        <f t="shared" si="9"/>
        <v>0</v>
      </c>
      <c r="W24" s="94">
        <f t="shared" si="9"/>
        <v>0</v>
      </c>
      <c r="X24" s="94">
        <f t="shared" si="9"/>
        <v>0</v>
      </c>
      <c r="Y24" s="94">
        <f t="shared" si="9"/>
        <v>0</v>
      </c>
      <c r="Z24" s="94">
        <f t="shared" si="9"/>
        <v>0</v>
      </c>
      <c r="AA24" s="94">
        <f t="shared" si="9"/>
        <v>0</v>
      </c>
      <c r="AB24" s="94">
        <f t="shared" si="9"/>
        <v>0</v>
      </c>
      <c r="AC24" s="94">
        <f t="shared" si="9"/>
        <v>0</v>
      </c>
      <c r="AD24" s="94">
        <f t="shared" si="9"/>
        <v>0</v>
      </c>
      <c r="AE24" s="94">
        <f t="shared" si="9"/>
        <v>0</v>
      </c>
      <c r="AF24" s="94">
        <f t="shared" si="9"/>
        <v>0</v>
      </c>
      <c r="AG24" s="94">
        <f t="shared" si="9"/>
        <v>0</v>
      </c>
      <c r="AH24" s="94">
        <f t="shared" si="9"/>
        <v>0</v>
      </c>
      <c r="AI24" s="94">
        <f t="shared" si="9"/>
        <v>0</v>
      </c>
      <c r="AJ24" s="94">
        <f t="shared" si="9"/>
        <v>0</v>
      </c>
      <c r="AK24" s="94">
        <f t="shared" si="9"/>
        <v>0</v>
      </c>
      <c r="AL24" s="94">
        <f t="shared" si="9"/>
        <v>0</v>
      </c>
      <c r="AM24" s="95">
        <f t="shared" si="9"/>
        <v>0</v>
      </c>
    </row>
    <row r="25" spans="1:39">
      <c r="A25" s="24" t="s">
        <v>365</v>
      </c>
      <c r="B25" s="16" t="s">
        <v>28</v>
      </c>
      <c r="C25" s="25" t="s">
        <v>357</v>
      </c>
      <c r="D25" s="87">
        <f t="shared" ref="D25:AM25" si="10">MAX(0,D9-D14)</f>
        <v>0</v>
      </c>
      <c r="E25" s="88">
        <f t="shared" si="10"/>
        <v>0</v>
      </c>
      <c r="F25" s="88">
        <f t="shared" si="10"/>
        <v>0</v>
      </c>
      <c r="G25" s="88">
        <f t="shared" si="10"/>
        <v>0</v>
      </c>
      <c r="H25" s="88">
        <f t="shared" si="10"/>
        <v>0</v>
      </c>
      <c r="I25" s="88">
        <f t="shared" si="10"/>
        <v>5</v>
      </c>
      <c r="J25" s="88">
        <f t="shared" si="10"/>
        <v>0</v>
      </c>
      <c r="K25" s="88">
        <f t="shared" si="10"/>
        <v>0</v>
      </c>
      <c r="L25" s="88">
        <f t="shared" si="10"/>
        <v>0</v>
      </c>
      <c r="M25" s="88">
        <f t="shared" si="10"/>
        <v>0</v>
      </c>
      <c r="N25" s="88">
        <f t="shared" si="10"/>
        <v>0</v>
      </c>
      <c r="O25" s="88">
        <f t="shared" si="10"/>
        <v>0</v>
      </c>
      <c r="P25" s="88">
        <f t="shared" si="10"/>
        <v>0</v>
      </c>
      <c r="Q25" s="88">
        <f t="shared" si="10"/>
        <v>0</v>
      </c>
      <c r="R25" s="88">
        <f t="shared" si="10"/>
        <v>0</v>
      </c>
      <c r="S25" s="88">
        <f t="shared" si="10"/>
        <v>0</v>
      </c>
      <c r="T25" s="88">
        <f t="shared" si="10"/>
        <v>0</v>
      </c>
      <c r="U25" s="88">
        <f t="shared" si="10"/>
        <v>0</v>
      </c>
      <c r="V25" s="88">
        <f t="shared" si="10"/>
        <v>0</v>
      </c>
      <c r="W25" s="88">
        <f t="shared" si="10"/>
        <v>0</v>
      </c>
      <c r="X25" s="88">
        <f t="shared" si="10"/>
        <v>0</v>
      </c>
      <c r="Y25" s="88">
        <f t="shared" si="10"/>
        <v>0</v>
      </c>
      <c r="Z25" s="88">
        <f t="shared" si="10"/>
        <v>0</v>
      </c>
      <c r="AA25" s="88">
        <f t="shared" si="10"/>
        <v>0</v>
      </c>
      <c r="AB25" s="88">
        <f t="shared" si="10"/>
        <v>0</v>
      </c>
      <c r="AC25" s="88">
        <f t="shared" si="10"/>
        <v>0</v>
      </c>
      <c r="AD25" s="88">
        <f t="shared" si="10"/>
        <v>0</v>
      </c>
      <c r="AE25" s="88">
        <f t="shared" si="10"/>
        <v>0</v>
      </c>
      <c r="AF25" s="88">
        <f t="shared" si="10"/>
        <v>0</v>
      </c>
      <c r="AG25" s="88">
        <f t="shared" si="10"/>
        <v>0</v>
      </c>
      <c r="AH25" s="88">
        <f t="shared" si="10"/>
        <v>0</v>
      </c>
      <c r="AI25" s="88">
        <f t="shared" si="10"/>
        <v>0</v>
      </c>
      <c r="AJ25" s="88">
        <f t="shared" si="10"/>
        <v>0</v>
      </c>
      <c r="AK25" s="88">
        <f t="shared" si="10"/>
        <v>0</v>
      </c>
      <c r="AL25" s="88">
        <f t="shared" si="10"/>
        <v>0</v>
      </c>
      <c r="AM25" s="89">
        <f t="shared" si="10"/>
        <v>0</v>
      </c>
    </row>
    <row r="26" spans="1:39">
      <c r="A26" s="24" t="s">
        <v>366</v>
      </c>
      <c r="B26" s="16" t="s">
        <v>28</v>
      </c>
      <c r="C26" s="25" t="s">
        <v>357</v>
      </c>
      <c r="D26" s="87">
        <f t="shared" ref="D26:AM26" si="11">MAX(0,D10-D15)</f>
        <v>0</v>
      </c>
      <c r="E26" s="88">
        <f t="shared" si="11"/>
        <v>0</v>
      </c>
      <c r="F26" s="88">
        <f t="shared" si="11"/>
        <v>0</v>
      </c>
      <c r="G26" s="88">
        <f t="shared" si="11"/>
        <v>0</v>
      </c>
      <c r="H26" s="88">
        <f t="shared" si="11"/>
        <v>10</v>
      </c>
      <c r="I26" s="88">
        <f t="shared" si="11"/>
        <v>0</v>
      </c>
      <c r="J26" s="88">
        <f t="shared" si="11"/>
        <v>0</v>
      </c>
      <c r="K26" s="88">
        <f t="shared" si="11"/>
        <v>0</v>
      </c>
      <c r="L26" s="88">
        <f t="shared" si="11"/>
        <v>0</v>
      </c>
      <c r="M26" s="88">
        <f t="shared" si="11"/>
        <v>0</v>
      </c>
      <c r="N26" s="88">
        <f t="shared" si="11"/>
        <v>0</v>
      </c>
      <c r="O26" s="88">
        <f t="shared" si="11"/>
        <v>0</v>
      </c>
      <c r="P26" s="88">
        <f t="shared" si="11"/>
        <v>0</v>
      </c>
      <c r="Q26" s="88">
        <f t="shared" si="11"/>
        <v>0</v>
      </c>
      <c r="R26" s="88">
        <f t="shared" si="11"/>
        <v>0</v>
      </c>
      <c r="S26" s="88">
        <f t="shared" si="11"/>
        <v>0</v>
      </c>
      <c r="T26" s="88">
        <f t="shared" si="11"/>
        <v>0</v>
      </c>
      <c r="U26" s="88">
        <f t="shared" si="11"/>
        <v>0</v>
      </c>
      <c r="V26" s="88">
        <f t="shared" si="11"/>
        <v>0</v>
      </c>
      <c r="W26" s="88">
        <f t="shared" si="11"/>
        <v>0</v>
      </c>
      <c r="X26" s="88">
        <f t="shared" si="11"/>
        <v>0</v>
      </c>
      <c r="Y26" s="88">
        <f t="shared" si="11"/>
        <v>0</v>
      </c>
      <c r="Z26" s="88">
        <f t="shared" si="11"/>
        <v>0</v>
      </c>
      <c r="AA26" s="88">
        <f t="shared" si="11"/>
        <v>0</v>
      </c>
      <c r="AB26" s="88">
        <f t="shared" si="11"/>
        <v>0</v>
      </c>
      <c r="AC26" s="88">
        <f t="shared" si="11"/>
        <v>0</v>
      </c>
      <c r="AD26" s="88">
        <f t="shared" si="11"/>
        <v>0</v>
      </c>
      <c r="AE26" s="88">
        <f t="shared" si="11"/>
        <v>0</v>
      </c>
      <c r="AF26" s="88">
        <f t="shared" si="11"/>
        <v>0</v>
      </c>
      <c r="AG26" s="88">
        <f t="shared" si="11"/>
        <v>0</v>
      </c>
      <c r="AH26" s="88">
        <f t="shared" si="11"/>
        <v>0</v>
      </c>
      <c r="AI26" s="88">
        <f t="shared" si="11"/>
        <v>0</v>
      </c>
      <c r="AJ26" s="88">
        <f t="shared" si="11"/>
        <v>0</v>
      </c>
      <c r="AK26" s="88">
        <f t="shared" si="11"/>
        <v>0</v>
      </c>
      <c r="AL26" s="88">
        <f t="shared" si="11"/>
        <v>0</v>
      </c>
      <c r="AM26" s="89">
        <f t="shared" si="11"/>
        <v>0</v>
      </c>
    </row>
    <row r="27" spans="1:39">
      <c r="A27" s="24" t="s">
        <v>367</v>
      </c>
      <c r="B27" s="16" t="s">
        <v>28</v>
      </c>
      <c r="C27" s="25" t="s">
        <v>357</v>
      </c>
      <c r="D27" s="87">
        <f t="shared" ref="D27:AM27" si="12">D24+D25</f>
        <v>0</v>
      </c>
      <c r="E27" s="88">
        <f t="shared" si="12"/>
        <v>0</v>
      </c>
      <c r="F27" s="88">
        <f t="shared" si="12"/>
        <v>5</v>
      </c>
      <c r="G27" s="88">
        <f t="shared" si="12"/>
        <v>5</v>
      </c>
      <c r="H27" s="88">
        <f t="shared" si="12"/>
        <v>5</v>
      </c>
      <c r="I27" s="88">
        <f t="shared" si="12"/>
        <v>5</v>
      </c>
      <c r="J27" s="88">
        <f t="shared" si="12"/>
        <v>0</v>
      </c>
      <c r="K27" s="88">
        <f t="shared" si="12"/>
        <v>0</v>
      </c>
      <c r="L27" s="88">
        <f t="shared" si="12"/>
        <v>0</v>
      </c>
      <c r="M27" s="88">
        <f t="shared" si="12"/>
        <v>0</v>
      </c>
      <c r="N27" s="88">
        <f t="shared" si="12"/>
        <v>0</v>
      </c>
      <c r="O27" s="88">
        <f t="shared" si="12"/>
        <v>0</v>
      </c>
      <c r="P27" s="88">
        <f t="shared" si="12"/>
        <v>0</v>
      </c>
      <c r="Q27" s="88">
        <f t="shared" si="12"/>
        <v>0</v>
      </c>
      <c r="R27" s="88">
        <f t="shared" si="12"/>
        <v>0</v>
      </c>
      <c r="S27" s="88">
        <f t="shared" si="12"/>
        <v>0</v>
      </c>
      <c r="T27" s="88">
        <f t="shared" si="12"/>
        <v>0</v>
      </c>
      <c r="U27" s="88">
        <f t="shared" si="12"/>
        <v>0</v>
      </c>
      <c r="V27" s="88">
        <f t="shared" si="12"/>
        <v>0</v>
      </c>
      <c r="W27" s="88">
        <f t="shared" si="12"/>
        <v>0</v>
      </c>
      <c r="X27" s="88">
        <f t="shared" si="12"/>
        <v>0</v>
      </c>
      <c r="Y27" s="88">
        <f t="shared" si="12"/>
        <v>0</v>
      </c>
      <c r="Z27" s="88">
        <f t="shared" si="12"/>
        <v>0</v>
      </c>
      <c r="AA27" s="88">
        <f t="shared" si="12"/>
        <v>0</v>
      </c>
      <c r="AB27" s="88">
        <f t="shared" si="12"/>
        <v>0</v>
      </c>
      <c r="AC27" s="88">
        <f t="shared" si="12"/>
        <v>0</v>
      </c>
      <c r="AD27" s="88">
        <f t="shared" si="12"/>
        <v>0</v>
      </c>
      <c r="AE27" s="88">
        <f t="shared" si="12"/>
        <v>0</v>
      </c>
      <c r="AF27" s="88">
        <f t="shared" si="12"/>
        <v>0</v>
      </c>
      <c r="AG27" s="88">
        <f t="shared" si="12"/>
        <v>0</v>
      </c>
      <c r="AH27" s="88">
        <f t="shared" si="12"/>
        <v>0</v>
      </c>
      <c r="AI27" s="88">
        <f t="shared" si="12"/>
        <v>0</v>
      </c>
      <c r="AJ27" s="88">
        <f t="shared" si="12"/>
        <v>0</v>
      </c>
      <c r="AK27" s="88">
        <f t="shared" si="12"/>
        <v>0</v>
      </c>
      <c r="AL27" s="88">
        <f t="shared" si="12"/>
        <v>0</v>
      </c>
      <c r="AM27" s="89">
        <f t="shared" si="12"/>
        <v>0</v>
      </c>
    </row>
    <row r="28" spans="1:39">
      <c r="A28" s="24"/>
      <c r="B28" s="16"/>
      <c r="C28" s="25"/>
      <c r="D28" s="87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9"/>
    </row>
    <row r="29" spans="1:39">
      <c r="A29" s="24"/>
      <c r="B29" s="16"/>
      <c r="C29" s="25"/>
      <c r="D29" s="87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9"/>
    </row>
    <row r="30" spans="1:39">
      <c r="A30" s="31" t="s">
        <v>368</v>
      </c>
      <c r="B30" s="32" t="s">
        <v>369</v>
      </c>
      <c r="C30" s="33" t="s">
        <v>357</v>
      </c>
      <c r="D30" s="99">
        <f t="shared" ref="D30:AM30" si="13">IF(D8&gt;0,1,0)</f>
        <v>0</v>
      </c>
      <c r="E30" s="100">
        <f t="shared" si="13"/>
        <v>0</v>
      </c>
      <c r="F30" s="100">
        <f t="shared" si="13"/>
        <v>1</v>
      </c>
      <c r="G30" s="100">
        <f t="shared" si="13"/>
        <v>1</v>
      </c>
      <c r="H30" s="100">
        <f t="shared" si="13"/>
        <v>1</v>
      </c>
      <c r="I30" s="100">
        <f t="shared" si="13"/>
        <v>1</v>
      </c>
      <c r="J30" s="100">
        <f t="shared" si="13"/>
        <v>1</v>
      </c>
      <c r="K30" s="100">
        <f t="shared" si="13"/>
        <v>1</v>
      </c>
      <c r="L30" s="100">
        <f t="shared" si="13"/>
        <v>1</v>
      </c>
      <c r="M30" s="100">
        <f t="shared" si="13"/>
        <v>1</v>
      </c>
      <c r="N30" s="100">
        <f t="shared" si="13"/>
        <v>1</v>
      </c>
      <c r="O30" s="100">
        <f t="shared" si="13"/>
        <v>1</v>
      </c>
      <c r="P30" s="100">
        <f t="shared" si="13"/>
        <v>1</v>
      </c>
      <c r="Q30" s="100">
        <f t="shared" si="13"/>
        <v>1</v>
      </c>
      <c r="R30" s="100">
        <f t="shared" si="13"/>
        <v>1</v>
      </c>
      <c r="S30" s="100">
        <f t="shared" si="13"/>
        <v>1</v>
      </c>
      <c r="T30" s="100">
        <f t="shared" si="13"/>
        <v>1</v>
      </c>
      <c r="U30" s="100">
        <f t="shared" si="13"/>
        <v>1</v>
      </c>
      <c r="V30" s="100">
        <f t="shared" si="13"/>
        <v>1</v>
      </c>
      <c r="W30" s="100">
        <f t="shared" si="13"/>
        <v>1</v>
      </c>
      <c r="X30" s="100">
        <f t="shared" si="13"/>
        <v>1</v>
      </c>
      <c r="Y30" s="100">
        <f t="shared" si="13"/>
        <v>1</v>
      </c>
      <c r="Z30" s="100">
        <f t="shared" si="13"/>
        <v>1</v>
      </c>
      <c r="AA30" s="100">
        <f t="shared" si="13"/>
        <v>1</v>
      </c>
      <c r="AB30" s="100">
        <f t="shared" si="13"/>
        <v>1</v>
      </c>
      <c r="AC30" s="100">
        <f t="shared" si="13"/>
        <v>1</v>
      </c>
      <c r="AD30" s="100">
        <f t="shared" si="13"/>
        <v>1</v>
      </c>
      <c r="AE30" s="100">
        <f t="shared" si="13"/>
        <v>1</v>
      </c>
      <c r="AF30" s="100">
        <f t="shared" si="13"/>
        <v>1</v>
      </c>
      <c r="AG30" s="100">
        <f t="shared" si="13"/>
        <v>1</v>
      </c>
      <c r="AH30" s="100">
        <f t="shared" si="13"/>
        <v>1</v>
      </c>
      <c r="AI30" s="100">
        <f t="shared" si="13"/>
        <v>1</v>
      </c>
      <c r="AJ30" s="100">
        <f t="shared" si="13"/>
        <v>1</v>
      </c>
      <c r="AK30" s="100">
        <f t="shared" si="13"/>
        <v>1</v>
      </c>
      <c r="AL30" s="100">
        <f t="shared" si="13"/>
        <v>1</v>
      </c>
      <c r="AM30" s="101">
        <f t="shared" si="13"/>
        <v>1</v>
      </c>
    </row>
    <row r="31" spans="1:39">
      <c r="A31" s="24" t="s">
        <v>370</v>
      </c>
      <c r="B31" s="16" t="s">
        <v>369</v>
      </c>
      <c r="C31" s="25" t="s">
        <v>357</v>
      </c>
      <c r="D31" s="102">
        <f t="shared" ref="D31:AM31" si="14">IF(D9&gt;0,1,0)</f>
        <v>0</v>
      </c>
      <c r="E31" s="103">
        <f t="shared" si="14"/>
        <v>0</v>
      </c>
      <c r="F31" s="103">
        <f t="shared" si="14"/>
        <v>0</v>
      </c>
      <c r="G31" s="103">
        <f t="shared" si="14"/>
        <v>0</v>
      </c>
      <c r="H31" s="103">
        <f t="shared" si="14"/>
        <v>0</v>
      </c>
      <c r="I31" s="103">
        <f t="shared" si="14"/>
        <v>1</v>
      </c>
      <c r="J31" s="103">
        <f t="shared" si="14"/>
        <v>1</v>
      </c>
      <c r="K31" s="103">
        <f t="shared" si="14"/>
        <v>1</v>
      </c>
      <c r="L31" s="103">
        <f t="shared" si="14"/>
        <v>1</v>
      </c>
      <c r="M31" s="103">
        <f t="shared" si="14"/>
        <v>1</v>
      </c>
      <c r="N31" s="103">
        <f t="shared" si="14"/>
        <v>1</v>
      </c>
      <c r="O31" s="103">
        <f t="shared" si="14"/>
        <v>1</v>
      </c>
      <c r="P31" s="103">
        <f t="shared" si="14"/>
        <v>1</v>
      </c>
      <c r="Q31" s="103">
        <f t="shared" si="14"/>
        <v>1</v>
      </c>
      <c r="R31" s="103">
        <f t="shared" si="14"/>
        <v>1</v>
      </c>
      <c r="S31" s="103">
        <f t="shared" si="14"/>
        <v>1</v>
      </c>
      <c r="T31" s="103">
        <f t="shared" si="14"/>
        <v>1</v>
      </c>
      <c r="U31" s="103">
        <f t="shared" si="14"/>
        <v>1</v>
      </c>
      <c r="V31" s="103">
        <f t="shared" si="14"/>
        <v>1</v>
      </c>
      <c r="W31" s="103">
        <f t="shared" si="14"/>
        <v>1</v>
      </c>
      <c r="X31" s="103">
        <f t="shared" si="14"/>
        <v>1</v>
      </c>
      <c r="Y31" s="103">
        <f t="shared" si="14"/>
        <v>1</v>
      </c>
      <c r="Z31" s="103">
        <f t="shared" si="14"/>
        <v>1</v>
      </c>
      <c r="AA31" s="103">
        <f t="shared" si="14"/>
        <v>1</v>
      </c>
      <c r="AB31" s="103">
        <f t="shared" si="14"/>
        <v>1</v>
      </c>
      <c r="AC31" s="103">
        <f t="shared" si="14"/>
        <v>1</v>
      </c>
      <c r="AD31" s="103">
        <f t="shared" si="14"/>
        <v>1</v>
      </c>
      <c r="AE31" s="103">
        <f t="shared" si="14"/>
        <v>1</v>
      </c>
      <c r="AF31" s="103">
        <f t="shared" si="14"/>
        <v>1</v>
      </c>
      <c r="AG31" s="103">
        <f t="shared" si="14"/>
        <v>1</v>
      </c>
      <c r="AH31" s="103">
        <f t="shared" si="14"/>
        <v>1</v>
      </c>
      <c r="AI31" s="103">
        <f t="shared" si="14"/>
        <v>1</v>
      </c>
      <c r="AJ31" s="103">
        <f t="shared" si="14"/>
        <v>1</v>
      </c>
      <c r="AK31" s="103">
        <f t="shared" si="14"/>
        <v>1</v>
      </c>
      <c r="AL31" s="103">
        <f t="shared" si="14"/>
        <v>1</v>
      </c>
      <c r="AM31" s="104">
        <f t="shared" si="14"/>
        <v>1</v>
      </c>
    </row>
    <row r="32" spans="1:39">
      <c r="A32" s="24" t="s">
        <v>371</v>
      </c>
      <c r="B32" s="16" t="s">
        <v>372</v>
      </c>
      <c r="C32" s="25" t="s">
        <v>357</v>
      </c>
      <c r="D32" s="102">
        <f t="shared" ref="D32:AM32" si="15">D30+D31</f>
        <v>0</v>
      </c>
      <c r="E32" s="103">
        <f t="shared" si="15"/>
        <v>0</v>
      </c>
      <c r="F32" s="103">
        <f t="shared" si="15"/>
        <v>1</v>
      </c>
      <c r="G32" s="103">
        <f t="shared" si="15"/>
        <v>1</v>
      </c>
      <c r="H32" s="103">
        <f t="shared" si="15"/>
        <v>1</v>
      </c>
      <c r="I32" s="103">
        <f t="shared" si="15"/>
        <v>2</v>
      </c>
      <c r="J32" s="103">
        <f t="shared" si="15"/>
        <v>2</v>
      </c>
      <c r="K32" s="103">
        <f t="shared" si="15"/>
        <v>2</v>
      </c>
      <c r="L32" s="103">
        <f t="shared" si="15"/>
        <v>2</v>
      </c>
      <c r="M32" s="103">
        <f t="shared" si="15"/>
        <v>2</v>
      </c>
      <c r="N32" s="103">
        <f t="shared" si="15"/>
        <v>2</v>
      </c>
      <c r="O32" s="103">
        <f t="shared" si="15"/>
        <v>2</v>
      </c>
      <c r="P32" s="103">
        <f t="shared" si="15"/>
        <v>2</v>
      </c>
      <c r="Q32" s="103">
        <f t="shared" si="15"/>
        <v>2</v>
      </c>
      <c r="R32" s="103">
        <f t="shared" si="15"/>
        <v>2</v>
      </c>
      <c r="S32" s="103">
        <f t="shared" si="15"/>
        <v>2</v>
      </c>
      <c r="T32" s="103">
        <f t="shared" si="15"/>
        <v>2</v>
      </c>
      <c r="U32" s="103">
        <f t="shared" si="15"/>
        <v>2</v>
      </c>
      <c r="V32" s="103">
        <f t="shared" si="15"/>
        <v>2</v>
      </c>
      <c r="W32" s="103">
        <f t="shared" si="15"/>
        <v>2</v>
      </c>
      <c r="X32" s="103">
        <f t="shared" si="15"/>
        <v>2</v>
      </c>
      <c r="Y32" s="103">
        <f t="shared" si="15"/>
        <v>2</v>
      </c>
      <c r="Z32" s="103">
        <f t="shared" si="15"/>
        <v>2</v>
      </c>
      <c r="AA32" s="103">
        <f t="shared" si="15"/>
        <v>2</v>
      </c>
      <c r="AB32" s="103">
        <f t="shared" si="15"/>
        <v>2</v>
      </c>
      <c r="AC32" s="103">
        <f t="shared" si="15"/>
        <v>2</v>
      </c>
      <c r="AD32" s="103">
        <f t="shared" si="15"/>
        <v>2</v>
      </c>
      <c r="AE32" s="103">
        <f t="shared" si="15"/>
        <v>2</v>
      </c>
      <c r="AF32" s="103">
        <f t="shared" si="15"/>
        <v>2</v>
      </c>
      <c r="AG32" s="103">
        <f t="shared" si="15"/>
        <v>2</v>
      </c>
      <c r="AH32" s="103">
        <f t="shared" si="15"/>
        <v>2</v>
      </c>
      <c r="AI32" s="103">
        <f t="shared" si="15"/>
        <v>2</v>
      </c>
      <c r="AJ32" s="103">
        <f t="shared" si="15"/>
        <v>2</v>
      </c>
      <c r="AK32" s="103">
        <f t="shared" si="15"/>
        <v>2</v>
      </c>
      <c r="AL32" s="103">
        <f t="shared" si="15"/>
        <v>2</v>
      </c>
      <c r="AM32" s="104">
        <f t="shared" si="15"/>
        <v>2</v>
      </c>
    </row>
    <row r="33" spans="1:39">
      <c r="A33" s="24"/>
      <c r="B33" s="16"/>
      <c r="C33" s="25"/>
      <c r="D33" s="87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9"/>
    </row>
    <row r="34" spans="1:39">
      <c r="A34" s="24"/>
      <c r="B34" s="16"/>
      <c r="C34" s="25"/>
      <c r="D34" s="87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9"/>
    </row>
    <row r="35" spans="1:39">
      <c r="A35" s="31" t="s">
        <v>373</v>
      </c>
      <c r="B35" s="32" t="s">
        <v>369</v>
      </c>
      <c r="C35" s="33" t="s">
        <v>357</v>
      </c>
      <c r="D35" s="99">
        <f t="shared" ref="D35:AM35" si="16">IF(AND(D8&gt;0,D13=0),1,0)</f>
        <v>0</v>
      </c>
      <c r="E35" s="100">
        <f t="shared" si="16"/>
        <v>0</v>
      </c>
      <c r="F35" s="100">
        <f t="shared" si="16"/>
        <v>1</v>
      </c>
      <c r="G35" s="100">
        <f t="shared" si="16"/>
        <v>0</v>
      </c>
      <c r="H35" s="100">
        <f t="shared" si="16"/>
        <v>0</v>
      </c>
      <c r="I35" s="100">
        <f t="shared" si="16"/>
        <v>0</v>
      </c>
      <c r="J35" s="100">
        <f t="shared" si="16"/>
        <v>0</v>
      </c>
      <c r="K35" s="100">
        <f t="shared" si="16"/>
        <v>0</v>
      </c>
      <c r="L35" s="100">
        <f t="shared" si="16"/>
        <v>0</v>
      </c>
      <c r="M35" s="100">
        <f t="shared" si="16"/>
        <v>0</v>
      </c>
      <c r="N35" s="100">
        <f t="shared" si="16"/>
        <v>0</v>
      </c>
      <c r="O35" s="100">
        <f t="shared" si="16"/>
        <v>0</v>
      </c>
      <c r="P35" s="100">
        <f t="shared" si="16"/>
        <v>0</v>
      </c>
      <c r="Q35" s="100">
        <f t="shared" si="16"/>
        <v>0</v>
      </c>
      <c r="R35" s="100">
        <f t="shared" si="16"/>
        <v>0</v>
      </c>
      <c r="S35" s="100">
        <f t="shared" si="16"/>
        <v>0</v>
      </c>
      <c r="T35" s="100">
        <f t="shared" si="16"/>
        <v>0</v>
      </c>
      <c r="U35" s="100">
        <f t="shared" si="16"/>
        <v>0</v>
      </c>
      <c r="V35" s="100">
        <f t="shared" si="16"/>
        <v>0</v>
      </c>
      <c r="W35" s="100">
        <f t="shared" si="16"/>
        <v>0</v>
      </c>
      <c r="X35" s="100">
        <f t="shared" si="16"/>
        <v>0</v>
      </c>
      <c r="Y35" s="100">
        <f t="shared" si="16"/>
        <v>0</v>
      </c>
      <c r="Z35" s="100">
        <f t="shared" si="16"/>
        <v>0</v>
      </c>
      <c r="AA35" s="100">
        <f t="shared" si="16"/>
        <v>0</v>
      </c>
      <c r="AB35" s="100">
        <f t="shared" si="16"/>
        <v>0</v>
      </c>
      <c r="AC35" s="100">
        <f t="shared" si="16"/>
        <v>0</v>
      </c>
      <c r="AD35" s="100">
        <f t="shared" si="16"/>
        <v>0</v>
      </c>
      <c r="AE35" s="100">
        <f t="shared" si="16"/>
        <v>0</v>
      </c>
      <c r="AF35" s="100">
        <f t="shared" si="16"/>
        <v>0</v>
      </c>
      <c r="AG35" s="100">
        <f t="shared" si="16"/>
        <v>0</v>
      </c>
      <c r="AH35" s="100">
        <f t="shared" si="16"/>
        <v>0</v>
      </c>
      <c r="AI35" s="100">
        <f t="shared" si="16"/>
        <v>0</v>
      </c>
      <c r="AJ35" s="100">
        <f t="shared" si="16"/>
        <v>0</v>
      </c>
      <c r="AK35" s="100">
        <f t="shared" si="16"/>
        <v>0</v>
      </c>
      <c r="AL35" s="100">
        <f t="shared" si="16"/>
        <v>0</v>
      </c>
      <c r="AM35" s="101">
        <f t="shared" si="16"/>
        <v>0</v>
      </c>
    </row>
    <row r="36" spans="1:39">
      <c r="A36" s="24" t="s">
        <v>374</v>
      </c>
      <c r="B36" s="16" t="s">
        <v>369</v>
      </c>
      <c r="C36" s="25" t="s">
        <v>357</v>
      </c>
      <c r="D36" s="102">
        <f t="shared" ref="D36:AM36" si="17">IF(AND(D9&gt;0,D14=0),1,0)</f>
        <v>0</v>
      </c>
      <c r="E36" s="103">
        <f t="shared" si="17"/>
        <v>0</v>
      </c>
      <c r="F36" s="103">
        <f t="shared" si="17"/>
        <v>0</v>
      </c>
      <c r="G36" s="103">
        <f t="shared" si="17"/>
        <v>0</v>
      </c>
      <c r="H36" s="103">
        <f t="shared" si="17"/>
        <v>0</v>
      </c>
      <c r="I36" s="103">
        <f t="shared" si="17"/>
        <v>1</v>
      </c>
      <c r="J36" s="103">
        <f t="shared" si="17"/>
        <v>0</v>
      </c>
      <c r="K36" s="103">
        <f t="shared" si="17"/>
        <v>0</v>
      </c>
      <c r="L36" s="103">
        <f t="shared" si="17"/>
        <v>0</v>
      </c>
      <c r="M36" s="103">
        <f t="shared" si="17"/>
        <v>0</v>
      </c>
      <c r="N36" s="103">
        <f t="shared" si="17"/>
        <v>0</v>
      </c>
      <c r="O36" s="103">
        <f t="shared" si="17"/>
        <v>0</v>
      </c>
      <c r="P36" s="103">
        <f t="shared" si="17"/>
        <v>0</v>
      </c>
      <c r="Q36" s="103">
        <f t="shared" si="17"/>
        <v>0</v>
      </c>
      <c r="R36" s="103">
        <f t="shared" si="17"/>
        <v>0</v>
      </c>
      <c r="S36" s="103">
        <f t="shared" si="17"/>
        <v>0</v>
      </c>
      <c r="T36" s="103">
        <f t="shared" si="17"/>
        <v>0</v>
      </c>
      <c r="U36" s="103">
        <f t="shared" si="17"/>
        <v>0</v>
      </c>
      <c r="V36" s="103">
        <f t="shared" si="17"/>
        <v>0</v>
      </c>
      <c r="W36" s="103">
        <f t="shared" si="17"/>
        <v>0</v>
      </c>
      <c r="X36" s="103">
        <f t="shared" si="17"/>
        <v>0</v>
      </c>
      <c r="Y36" s="103">
        <f t="shared" si="17"/>
        <v>0</v>
      </c>
      <c r="Z36" s="103">
        <f t="shared" si="17"/>
        <v>0</v>
      </c>
      <c r="AA36" s="103">
        <f t="shared" si="17"/>
        <v>0</v>
      </c>
      <c r="AB36" s="103">
        <f t="shared" si="17"/>
        <v>0</v>
      </c>
      <c r="AC36" s="103">
        <f t="shared" si="17"/>
        <v>0</v>
      </c>
      <c r="AD36" s="103">
        <f t="shared" si="17"/>
        <v>0</v>
      </c>
      <c r="AE36" s="103">
        <f t="shared" si="17"/>
        <v>0</v>
      </c>
      <c r="AF36" s="103">
        <f t="shared" si="17"/>
        <v>0</v>
      </c>
      <c r="AG36" s="103">
        <f t="shared" si="17"/>
        <v>0</v>
      </c>
      <c r="AH36" s="103">
        <f t="shared" si="17"/>
        <v>0</v>
      </c>
      <c r="AI36" s="103">
        <f t="shared" si="17"/>
        <v>0</v>
      </c>
      <c r="AJ36" s="103">
        <f t="shared" si="17"/>
        <v>0</v>
      </c>
      <c r="AK36" s="103">
        <f t="shared" si="17"/>
        <v>0</v>
      </c>
      <c r="AL36" s="103">
        <f t="shared" si="17"/>
        <v>0</v>
      </c>
      <c r="AM36" s="104">
        <f t="shared" si="17"/>
        <v>0</v>
      </c>
    </row>
    <row r="37" spans="1:39">
      <c r="A37" s="24" t="s">
        <v>375</v>
      </c>
      <c r="B37" s="16" t="s">
        <v>372</v>
      </c>
      <c r="C37" s="25" t="s">
        <v>357</v>
      </c>
      <c r="D37" s="102">
        <f t="shared" ref="D37:AM37" si="18">D35+D36</f>
        <v>0</v>
      </c>
      <c r="E37" s="103">
        <f t="shared" si="18"/>
        <v>0</v>
      </c>
      <c r="F37" s="103">
        <f t="shared" si="18"/>
        <v>1</v>
      </c>
      <c r="G37" s="103">
        <f t="shared" si="18"/>
        <v>0</v>
      </c>
      <c r="H37" s="103">
        <f t="shared" si="18"/>
        <v>0</v>
      </c>
      <c r="I37" s="103">
        <f t="shared" si="18"/>
        <v>1</v>
      </c>
      <c r="J37" s="103">
        <f t="shared" si="18"/>
        <v>0</v>
      </c>
      <c r="K37" s="103">
        <f t="shared" si="18"/>
        <v>0</v>
      </c>
      <c r="L37" s="103">
        <f t="shared" si="18"/>
        <v>0</v>
      </c>
      <c r="M37" s="103">
        <f t="shared" si="18"/>
        <v>0</v>
      </c>
      <c r="N37" s="103">
        <f t="shared" si="18"/>
        <v>0</v>
      </c>
      <c r="O37" s="103">
        <f t="shared" si="18"/>
        <v>0</v>
      </c>
      <c r="P37" s="103">
        <f t="shared" si="18"/>
        <v>0</v>
      </c>
      <c r="Q37" s="103">
        <f t="shared" si="18"/>
        <v>0</v>
      </c>
      <c r="R37" s="103">
        <f t="shared" si="18"/>
        <v>0</v>
      </c>
      <c r="S37" s="103">
        <f t="shared" si="18"/>
        <v>0</v>
      </c>
      <c r="T37" s="103">
        <f t="shared" si="18"/>
        <v>0</v>
      </c>
      <c r="U37" s="103">
        <f t="shared" si="18"/>
        <v>0</v>
      </c>
      <c r="V37" s="103">
        <f t="shared" si="18"/>
        <v>0</v>
      </c>
      <c r="W37" s="103">
        <f t="shared" si="18"/>
        <v>0</v>
      </c>
      <c r="X37" s="103">
        <f t="shared" si="18"/>
        <v>0</v>
      </c>
      <c r="Y37" s="103">
        <f t="shared" si="18"/>
        <v>0</v>
      </c>
      <c r="Z37" s="103">
        <f t="shared" si="18"/>
        <v>0</v>
      </c>
      <c r="AA37" s="103">
        <f t="shared" si="18"/>
        <v>0</v>
      </c>
      <c r="AB37" s="103">
        <f t="shared" si="18"/>
        <v>0</v>
      </c>
      <c r="AC37" s="103">
        <f t="shared" si="18"/>
        <v>0</v>
      </c>
      <c r="AD37" s="103">
        <f t="shared" si="18"/>
        <v>0</v>
      </c>
      <c r="AE37" s="103">
        <f t="shared" si="18"/>
        <v>0</v>
      </c>
      <c r="AF37" s="103">
        <f t="shared" si="18"/>
        <v>0</v>
      </c>
      <c r="AG37" s="103">
        <f t="shared" si="18"/>
        <v>0</v>
      </c>
      <c r="AH37" s="103">
        <f t="shared" si="18"/>
        <v>0</v>
      </c>
      <c r="AI37" s="103">
        <f t="shared" si="18"/>
        <v>0</v>
      </c>
      <c r="AJ37" s="103">
        <f t="shared" si="18"/>
        <v>0</v>
      </c>
      <c r="AK37" s="103">
        <f t="shared" si="18"/>
        <v>0</v>
      </c>
      <c r="AL37" s="103">
        <f t="shared" si="18"/>
        <v>0</v>
      </c>
      <c r="AM37" s="104">
        <f t="shared" si="18"/>
        <v>0</v>
      </c>
    </row>
    <row r="38" spans="1:39">
      <c r="A38" s="24"/>
      <c r="B38" s="16"/>
      <c r="C38" s="25"/>
      <c r="D38" s="87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9"/>
    </row>
    <row r="39" spans="1:39">
      <c r="A39" s="24"/>
      <c r="B39" s="16"/>
      <c r="C39" s="25"/>
      <c r="D39" s="87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9"/>
    </row>
    <row r="40" spans="1:39">
      <c r="A40" s="31" t="s">
        <v>376</v>
      </c>
      <c r="B40" s="32" t="s">
        <v>377</v>
      </c>
      <c r="C40" s="33" t="s">
        <v>357</v>
      </c>
      <c r="D40" s="99">
        <f>ROUNDUP(D8/Inputs!C45,0)</f>
        <v>0</v>
      </c>
      <c r="E40" s="100">
        <f>ROUNDUP(E8/Inputs!C45,0)</f>
        <v>0</v>
      </c>
      <c r="F40" s="100">
        <f>ROUNDUP(F8/Inputs!C45,0)</f>
        <v>3</v>
      </c>
      <c r="G40" s="100">
        <f>ROUNDUP(G8/Inputs!C45,0)</f>
        <v>5</v>
      </c>
      <c r="H40" s="100">
        <f>ROUNDUP(H8/Inputs!C45,0)</f>
        <v>7</v>
      </c>
      <c r="I40" s="100">
        <f>ROUNDUP(I8/Inputs!C45,0)</f>
        <v>7</v>
      </c>
      <c r="J40" s="100">
        <f>ROUNDUP(J8/Inputs!C45,0)</f>
        <v>7</v>
      </c>
      <c r="K40" s="100">
        <f>ROUNDUP(K8/Inputs!C45,0)</f>
        <v>7</v>
      </c>
      <c r="L40" s="100">
        <f>ROUNDUP(L8/Inputs!C45,0)</f>
        <v>7</v>
      </c>
      <c r="M40" s="100">
        <f>ROUNDUP(M8/Inputs!C45,0)</f>
        <v>7</v>
      </c>
      <c r="N40" s="100">
        <f>ROUNDUP(N8/Inputs!C45,0)</f>
        <v>7</v>
      </c>
      <c r="O40" s="100">
        <f>ROUNDUP(O8/Inputs!C45,0)</f>
        <v>7</v>
      </c>
      <c r="P40" s="100">
        <f>ROUNDUP(P8/Inputs!C45,0)</f>
        <v>7</v>
      </c>
      <c r="Q40" s="100">
        <f>ROUNDUP(Q8/Inputs!C45,0)</f>
        <v>7</v>
      </c>
      <c r="R40" s="100">
        <f>ROUNDUP(R8/Inputs!C45,0)</f>
        <v>7</v>
      </c>
      <c r="S40" s="100">
        <f>ROUNDUP(S8/Inputs!C45,0)</f>
        <v>7</v>
      </c>
      <c r="T40" s="100">
        <f>ROUNDUP(T8/Inputs!C45,0)</f>
        <v>7</v>
      </c>
      <c r="U40" s="100">
        <f>ROUNDUP(U8/Inputs!C45,0)</f>
        <v>7</v>
      </c>
      <c r="V40" s="100">
        <f>ROUNDUP(V8/Inputs!C45,0)</f>
        <v>7</v>
      </c>
      <c r="W40" s="100">
        <f>ROUNDUP(W8/Inputs!C45,0)</f>
        <v>7</v>
      </c>
      <c r="X40" s="100">
        <f>ROUNDUP(X8/Inputs!C45,0)</f>
        <v>7</v>
      </c>
      <c r="Y40" s="100">
        <f>ROUNDUP(Y8/Inputs!C45,0)</f>
        <v>7</v>
      </c>
      <c r="Z40" s="100">
        <f>ROUNDUP(Z8/Inputs!C45,0)</f>
        <v>7</v>
      </c>
      <c r="AA40" s="100">
        <f>ROUNDUP(AA8/Inputs!C45,0)</f>
        <v>7</v>
      </c>
      <c r="AB40" s="100">
        <f>ROUNDUP(AB8/Inputs!C45,0)</f>
        <v>7</v>
      </c>
      <c r="AC40" s="100">
        <f>ROUNDUP(AC8/Inputs!C45,0)</f>
        <v>7</v>
      </c>
      <c r="AD40" s="100">
        <f>ROUNDUP(AD8/Inputs!C45,0)</f>
        <v>7</v>
      </c>
      <c r="AE40" s="100">
        <f>ROUNDUP(AE8/Inputs!C45,0)</f>
        <v>7</v>
      </c>
      <c r="AF40" s="100">
        <f>ROUNDUP(AF8/Inputs!C45,0)</f>
        <v>7</v>
      </c>
      <c r="AG40" s="100">
        <f>ROUNDUP(AG8/Inputs!C45,0)</f>
        <v>7</v>
      </c>
      <c r="AH40" s="100">
        <f>ROUNDUP(AH8/Inputs!C45,0)</f>
        <v>7</v>
      </c>
      <c r="AI40" s="100">
        <f>ROUNDUP(AI8/Inputs!C45,0)</f>
        <v>7</v>
      </c>
      <c r="AJ40" s="100">
        <f>ROUNDUP(AJ8/Inputs!C45,0)</f>
        <v>7</v>
      </c>
      <c r="AK40" s="100">
        <f>ROUNDUP(AK8/Inputs!C45,0)</f>
        <v>7</v>
      </c>
      <c r="AL40" s="100">
        <f>ROUNDUP(AL8/Inputs!C45,0)</f>
        <v>7</v>
      </c>
      <c r="AM40" s="101">
        <f>ROUNDUP(AM8/Inputs!C45,0)</f>
        <v>7</v>
      </c>
    </row>
    <row r="41" spans="1:39">
      <c r="A41" s="24" t="s">
        <v>378</v>
      </c>
      <c r="B41" s="16" t="s">
        <v>377</v>
      </c>
      <c r="C41" s="25" t="s">
        <v>357</v>
      </c>
      <c r="D41" s="102">
        <f>ROUNDUP(D9/Inputs!C45,0)</f>
        <v>0</v>
      </c>
      <c r="E41" s="103">
        <f>ROUNDUP(E9/Inputs!C45,0)</f>
        <v>0</v>
      </c>
      <c r="F41" s="103">
        <f>ROUNDUP(F9/Inputs!C45,0)</f>
        <v>0</v>
      </c>
      <c r="G41" s="103">
        <f>ROUNDUP(G9/Inputs!C45,0)</f>
        <v>0</v>
      </c>
      <c r="H41" s="103">
        <f>ROUNDUP(H9/Inputs!C45,0)</f>
        <v>0</v>
      </c>
      <c r="I41" s="103">
        <f>ROUNDUP(I9/Inputs!C45,0)</f>
        <v>3</v>
      </c>
      <c r="J41" s="103">
        <f>ROUNDUP(J9/Inputs!C45,0)</f>
        <v>3</v>
      </c>
      <c r="K41" s="103">
        <f>ROUNDUP(K9/Inputs!C45,0)</f>
        <v>3</v>
      </c>
      <c r="L41" s="103">
        <f>ROUNDUP(L9/Inputs!C45,0)</f>
        <v>3</v>
      </c>
      <c r="M41" s="103">
        <f>ROUNDUP(M9/Inputs!C45,0)</f>
        <v>3</v>
      </c>
      <c r="N41" s="103">
        <f>ROUNDUP(N9/Inputs!C45,0)</f>
        <v>3</v>
      </c>
      <c r="O41" s="103">
        <f>ROUNDUP(O9/Inputs!C45,0)</f>
        <v>3</v>
      </c>
      <c r="P41" s="103">
        <f>ROUNDUP(P9/Inputs!C45,0)</f>
        <v>3</v>
      </c>
      <c r="Q41" s="103">
        <f>ROUNDUP(Q9/Inputs!C45,0)</f>
        <v>3</v>
      </c>
      <c r="R41" s="103">
        <f>ROUNDUP(R9/Inputs!C45,0)</f>
        <v>3</v>
      </c>
      <c r="S41" s="103">
        <f>ROUNDUP(S9/Inputs!C45,0)</f>
        <v>3</v>
      </c>
      <c r="T41" s="103">
        <f>ROUNDUP(T9/Inputs!C45,0)</f>
        <v>3</v>
      </c>
      <c r="U41" s="103">
        <f>ROUNDUP(U9/Inputs!C45,0)</f>
        <v>3</v>
      </c>
      <c r="V41" s="103">
        <f>ROUNDUP(V9/Inputs!C45,0)</f>
        <v>3</v>
      </c>
      <c r="W41" s="103">
        <f>ROUNDUP(W9/Inputs!C45,0)</f>
        <v>3</v>
      </c>
      <c r="X41" s="103">
        <f>ROUNDUP(X9/Inputs!C45,0)</f>
        <v>3</v>
      </c>
      <c r="Y41" s="103">
        <f>ROUNDUP(Y9/Inputs!C45,0)</f>
        <v>3</v>
      </c>
      <c r="Z41" s="103">
        <f>ROUNDUP(Z9/Inputs!C45,0)</f>
        <v>3</v>
      </c>
      <c r="AA41" s="103">
        <f>ROUNDUP(AA9/Inputs!C45,0)</f>
        <v>3</v>
      </c>
      <c r="AB41" s="103">
        <f>ROUNDUP(AB9/Inputs!C45,0)</f>
        <v>3</v>
      </c>
      <c r="AC41" s="103">
        <f>ROUNDUP(AC9/Inputs!C45,0)</f>
        <v>3</v>
      </c>
      <c r="AD41" s="103">
        <f>ROUNDUP(AD9/Inputs!C45,0)</f>
        <v>3</v>
      </c>
      <c r="AE41" s="103">
        <f>ROUNDUP(AE9/Inputs!C45,0)</f>
        <v>3</v>
      </c>
      <c r="AF41" s="103">
        <f>ROUNDUP(AF9/Inputs!C45,0)</f>
        <v>3</v>
      </c>
      <c r="AG41" s="103">
        <f>ROUNDUP(AG9/Inputs!C45,0)</f>
        <v>3</v>
      </c>
      <c r="AH41" s="103">
        <f>ROUNDUP(AH9/Inputs!C45,0)</f>
        <v>3</v>
      </c>
      <c r="AI41" s="103">
        <f>ROUNDUP(AI9/Inputs!C45,0)</f>
        <v>3</v>
      </c>
      <c r="AJ41" s="103">
        <f>ROUNDUP(AJ9/Inputs!C45,0)</f>
        <v>3</v>
      </c>
      <c r="AK41" s="103">
        <f>ROUNDUP(AK9/Inputs!C45,0)</f>
        <v>3</v>
      </c>
      <c r="AL41" s="103">
        <f>ROUNDUP(AL9/Inputs!C45,0)</f>
        <v>3</v>
      </c>
      <c r="AM41" s="104">
        <f>ROUNDUP(AM9/Inputs!C45,0)</f>
        <v>3</v>
      </c>
    </row>
    <row r="42" spans="1:39">
      <c r="A42" s="24" t="s">
        <v>379</v>
      </c>
      <c r="B42" s="16" t="s">
        <v>377</v>
      </c>
      <c r="C42" s="25" t="s">
        <v>357</v>
      </c>
      <c r="D42" s="102">
        <f t="shared" ref="D42:AM42" si="19">D40+D41</f>
        <v>0</v>
      </c>
      <c r="E42" s="103">
        <f t="shared" si="19"/>
        <v>0</v>
      </c>
      <c r="F42" s="103">
        <f t="shared" si="19"/>
        <v>3</v>
      </c>
      <c r="G42" s="103">
        <f t="shared" si="19"/>
        <v>5</v>
      </c>
      <c r="H42" s="103">
        <f t="shared" si="19"/>
        <v>7</v>
      </c>
      <c r="I42" s="103">
        <f t="shared" si="19"/>
        <v>10</v>
      </c>
      <c r="J42" s="103">
        <f t="shared" si="19"/>
        <v>10</v>
      </c>
      <c r="K42" s="103">
        <f t="shared" si="19"/>
        <v>10</v>
      </c>
      <c r="L42" s="103">
        <f t="shared" si="19"/>
        <v>10</v>
      </c>
      <c r="M42" s="103">
        <f t="shared" si="19"/>
        <v>10</v>
      </c>
      <c r="N42" s="103">
        <f t="shared" si="19"/>
        <v>10</v>
      </c>
      <c r="O42" s="103">
        <f t="shared" si="19"/>
        <v>10</v>
      </c>
      <c r="P42" s="103">
        <f t="shared" si="19"/>
        <v>10</v>
      </c>
      <c r="Q42" s="103">
        <f t="shared" si="19"/>
        <v>10</v>
      </c>
      <c r="R42" s="103">
        <f t="shared" si="19"/>
        <v>10</v>
      </c>
      <c r="S42" s="103">
        <f t="shared" si="19"/>
        <v>10</v>
      </c>
      <c r="T42" s="103">
        <f t="shared" si="19"/>
        <v>10</v>
      </c>
      <c r="U42" s="103">
        <f t="shared" si="19"/>
        <v>10</v>
      </c>
      <c r="V42" s="103">
        <f t="shared" si="19"/>
        <v>10</v>
      </c>
      <c r="W42" s="103">
        <f t="shared" si="19"/>
        <v>10</v>
      </c>
      <c r="X42" s="103">
        <f t="shared" si="19"/>
        <v>10</v>
      </c>
      <c r="Y42" s="103">
        <f t="shared" si="19"/>
        <v>10</v>
      </c>
      <c r="Z42" s="103">
        <f t="shared" si="19"/>
        <v>10</v>
      </c>
      <c r="AA42" s="103">
        <f t="shared" si="19"/>
        <v>10</v>
      </c>
      <c r="AB42" s="103">
        <f t="shared" si="19"/>
        <v>10</v>
      </c>
      <c r="AC42" s="103">
        <f t="shared" si="19"/>
        <v>10</v>
      </c>
      <c r="AD42" s="103">
        <f t="shared" si="19"/>
        <v>10</v>
      </c>
      <c r="AE42" s="103">
        <f t="shared" si="19"/>
        <v>10</v>
      </c>
      <c r="AF42" s="103">
        <f t="shared" si="19"/>
        <v>10</v>
      </c>
      <c r="AG42" s="103">
        <f t="shared" si="19"/>
        <v>10</v>
      </c>
      <c r="AH42" s="103">
        <f t="shared" si="19"/>
        <v>10</v>
      </c>
      <c r="AI42" s="103">
        <f t="shared" si="19"/>
        <v>10</v>
      </c>
      <c r="AJ42" s="103">
        <f t="shared" si="19"/>
        <v>10</v>
      </c>
      <c r="AK42" s="103">
        <f t="shared" si="19"/>
        <v>10</v>
      </c>
      <c r="AL42" s="103">
        <f t="shared" si="19"/>
        <v>10</v>
      </c>
      <c r="AM42" s="104">
        <f t="shared" si="19"/>
        <v>10</v>
      </c>
    </row>
    <row r="43" spans="1:39">
      <c r="A43" s="24"/>
      <c r="B43" s="16"/>
      <c r="C43" s="25"/>
      <c r="D43" s="87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9"/>
    </row>
    <row r="44" spans="1:39">
      <c r="A44" s="24"/>
      <c r="B44" s="16"/>
      <c r="C44" s="25"/>
      <c r="D44" s="87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9"/>
    </row>
    <row r="45" spans="1:39">
      <c r="A45" s="31" t="s">
        <v>380</v>
      </c>
      <c r="B45" s="32" t="s">
        <v>377</v>
      </c>
      <c r="C45" s="33" t="s">
        <v>357</v>
      </c>
      <c r="D45" s="99">
        <f>0</f>
        <v>0</v>
      </c>
      <c r="E45" s="100">
        <f t="shared" ref="E45:AM45" si="20">D40</f>
        <v>0</v>
      </c>
      <c r="F45" s="100">
        <f t="shared" si="20"/>
        <v>0</v>
      </c>
      <c r="G45" s="100">
        <f t="shared" si="20"/>
        <v>3</v>
      </c>
      <c r="H45" s="100">
        <f t="shared" si="20"/>
        <v>5</v>
      </c>
      <c r="I45" s="100">
        <f t="shared" si="20"/>
        <v>7</v>
      </c>
      <c r="J45" s="100">
        <f t="shared" si="20"/>
        <v>7</v>
      </c>
      <c r="K45" s="100">
        <f t="shared" si="20"/>
        <v>7</v>
      </c>
      <c r="L45" s="100">
        <f t="shared" si="20"/>
        <v>7</v>
      </c>
      <c r="M45" s="100">
        <f t="shared" si="20"/>
        <v>7</v>
      </c>
      <c r="N45" s="100">
        <f t="shared" si="20"/>
        <v>7</v>
      </c>
      <c r="O45" s="100">
        <f t="shared" si="20"/>
        <v>7</v>
      </c>
      <c r="P45" s="100">
        <f t="shared" si="20"/>
        <v>7</v>
      </c>
      <c r="Q45" s="100">
        <f t="shared" si="20"/>
        <v>7</v>
      </c>
      <c r="R45" s="100">
        <f t="shared" si="20"/>
        <v>7</v>
      </c>
      <c r="S45" s="100">
        <f t="shared" si="20"/>
        <v>7</v>
      </c>
      <c r="T45" s="100">
        <f t="shared" si="20"/>
        <v>7</v>
      </c>
      <c r="U45" s="100">
        <f t="shared" si="20"/>
        <v>7</v>
      </c>
      <c r="V45" s="100">
        <f t="shared" si="20"/>
        <v>7</v>
      </c>
      <c r="W45" s="100">
        <f t="shared" si="20"/>
        <v>7</v>
      </c>
      <c r="X45" s="100">
        <f t="shared" si="20"/>
        <v>7</v>
      </c>
      <c r="Y45" s="100">
        <f t="shared" si="20"/>
        <v>7</v>
      </c>
      <c r="Z45" s="100">
        <f t="shared" si="20"/>
        <v>7</v>
      </c>
      <c r="AA45" s="100">
        <f t="shared" si="20"/>
        <v>7</v>
      </c>
      <c r="AB45" s="100">
        <f t="shared" si="20"/>
        <v>7</v>
      </c>
      <c r="AC45" s="100">
        <f t="shared" si="20"/>
        <v>7</v>
      </c>
      <c r="AD45" s="100">
        <f t="shared" si="20"/>
        <v>7</v>
      </c>
      <c r="AE45" s="100">
        <f t="shared" si="20"/>
        <v>7</v>
      </c>
      <c r="AF45" s="100">
        <f t="shared" si="20"/>
        <v>7</v>
      </c>
      <c r="AG45" s="100">
        <f t="shared" si="20"/>
        <v>7</v>
      </c>
      <c r="AH45" s="100">
        <f t="shared" si="20"/>
        <v>7</v>
      </c>
      <c r="AI45" s="100">
        <f t="shared" si="20"/>
        <v>7</v>
      </c>
      <c r="AJ45" s="100">
        <f t="shared" si="20"/>
        <v>7</v>
      </c>
      <c r="AK45" s="100">
        <f t="shared" si="20"/>
        <v>7</v>
      </c>
      <c r="AL45" s="100">
        <f t="shared" si="20"/>
        <v>7</v>
      </c>
      <c r="AM45" s="101">
        <f t="shared" si="20"/>
        <v>7</v>
      </c>
    </row>
    <row r="46" spans="1:39">
      <c r="A46" s="24" t="s">
        <v>381</v>
      </c>
      <c r="B46" s="16" t="s">
        <v>377</v>
      </c>
      <c r="C46" s="25" t="s">
        <v>357</v>
      </c>
      <c r="D46" s="102">
        <f>0</f>
        <v>0</v>
      </c>
      <c r="E46" s="103">
        <f t="shared" ref="E46:AM46" si="21">D41</f>
        <v>0</v>
      </c>
      <c r="F46" s="103">
        <f t="shared" si="21"/>
        <v>0</v>
      </c>
      <c r="G46" s="103">
        <f t="shared" si="21"/>
        <v>0</v>
      </c>
      <c r="H46" s="103">
        <f t="shared" si="21"/>
        <v>0</v>
      </c>
      <c r="I46" s="103">
        <f t="shared" si="21"/>
        <v>0</v>
      </c>
      <c r="J46" s="103">
        <f t="shared" si="21"/>
        <v>3</v>
      </c>
      <c r="K46" s="103">
        <f t="shared" si="21"/>
        <v>3</v>
      </c>
      <c r="L46" s="103">
        <f t="shared" si="21"/>
        <v>3</v>
      </c>
      <c r="M46" s="103">
        <f t="shared" si="21"/>
        <v>3</v>
      </c>
      <c r="N46" s="103">
        <f t="shared" si="21"/>
        <v>3</v>
      </c>
      <c r="O46" s="103">
        <f t="shared" si="21"/>
        <v>3</v>
      </c>
      <c r="P46" s="103">
        <f t="shared" si="21"/>
        <v>3</v>
      </c>
      <c r="Q46" s="103">
        <f t="shared" si="21"/>
        <v>3</v>
      </c>
      <c r="R46" s="103">
        <f t="shared" si="21"/>
        <v>3</v>
      </c>
      <c r="S46" s="103">
        <f t="shared" si="21"/>
        <v>3</v>
      </c>
      <c r="T46" s="103">
        <f t="shared" si="21"/>
        <v>3</v>
      </c>
      <c r="U46" s="103">
        <f t="shared" si="21"/>
        <v>3</v>
      </c>
      <c r="V46" s="103">
        <f t="shared" si="21"/>
        <v>3</v>
      </c>
      <c r="W46" s="103">
        <f t="shared" si="21"/>
        <v>3</v>
      </c>
      <c r="X46" s="103">
        <f t="shared" si="21"/>
        <v>3</v>
      </c>
      <c r="Y46" s="103">
        <f t="shared" si="21"/>
        <v>3</v>
      </c>
      <c r="Z46" s="103">
        <f t="shared" si="21"/>
        <v>3</v>
      </c>
      <c r="AA46" s="103">
        <f t="shared" si="21"/>
        <v>3</v>
      </c>
      <c r="AB46" s="103">
        <f t="shared" si="21"/>
        <v>3</v>
      </c>
      <c r="AC46" s="103">
        <f t="shared" si="21"/>
        <v>3</v>
      </c>
      <c r="AD46" s="103">
        <f t="shared" si="21"/>
        <v>3</v>
      </c>
      <c r="AE46" s="103">
        <f t="shared" si="21"/>
        <v>3</v>
      </c>
      <c r="AF46" s="103">
        <f t="shared" si="21"/>
        <v>3</v>
      </c>
      <c r="AG46" s="103">
        <f t="shared" si="21"/>
        <v>3</v>
      </c>
      <c r="AH46" s="103">
        <f t="shared" si="21"/>
        <v>3</v>
      </c>
      <c r="AI46" s="103">
        <f t="shared" si="21"/>
        <v>3</v>
      </c>
      <c r="AJ46" s="103">
        <f t="shared" si="21"/>
        <v>3</v>
      </c>
      <c r="AK46" s="103">
        <f t="shared" si="21"/>
        <v>3</v>
      </c>
      <c r="AL46" s="103">
        <f t="shared" si="21"/>
        <v>3</v>
      </c>
      <c r="AM46" s="104">
        <f t="shared" si="21"/>
        <v>3</v>
      </c>
    </row>
    <row r="47" spans="1:39">
      <c r="A47" s="24" t="s">
        <v>382</v>
      </c>
      <c r="B47" s="16" t="s">
        <v>377</v>
      </c>
      <c r="C47" s="25" t="s">
        <v>357</v>
      </c>
      <c r="D47" s="102">
        <f>0</f>
        <v>0</v>
      </c>
      <c r="E47" s="103">
        <f t="shared" ref="E47:AM47" si="22">D42</f>
        <v>0</v>
      </c>
      <c r="F47" s="103">
        <f t="shared" si="22"/>
        <v>0</v>
      </c>
      <c r="G47" s="103">
        <f t="shared" si="22"/>
        <v>3</v>
      </c>
      <c r="H47" s="103">
        <f t="shared" si="22"/>
        <v>5</v>
      </c>
      <c r="I47" s="103">
        <f t="shared" si="22"/>
        <v>7</v>
      </c>
      <c r="J47" s="103">
        <f t="shared" si="22"/>
        <v>10</v>
      </c>
      <c r="K47" s="103">
        <f t="shared" si="22"/>
        <v>10</v>
      </c>
      <c r="L47" s="103">
        <f t="shared" si="22"/>
        <v>10</v>
      </c>
      <c r="M47" s="103">
        <f t="shared" si="22"/>
        <v>10</v>
      </c>
      <c r="N47" s="103">
        <f t="shared" si="22"/>
        <v>10</v>
      </c>
      <c r="O47" s="103">
        <f t="shared" si="22"/>
        <v>10</v>
      </c>
      <c r="P47" s="103">
        <f t="shared" si="22"/>
        <v>10</v>
      </c>
      <c r="Q47" s="103">
        <f t="shared" si="22"/>
        <v>10</v>
      </c>
      <c r="R47" s="103">
        <f t="shared" si="22"/>
        <v>10</v>
      </c>
      <c r="S47" s="103">
        <f t="shared" si="22"/>
        <v>10</v>
      </c>
      <c r="T47" s="103">
        <f t="shared" si="22"/>
        <v>10</v>
      </c>
      <c r="U47" s="103">
        <f t="shared" si="22"/>
        <v>10</v>
      </c>
      <c r="V47" s="103">
        <f t="shared" si="22"/>
        <v>10</v>
      </c>
      <c r="W47" s="103">
        <f t="shared" si="22"/>
        <v>10</v>
      </c>
      <c r="X47" s="103">
        <f t="shared" si="22"/>
        <v>10</v>
      </c>
      <c r="Y47" s="103">
        <f t="shared" si="22"/>
        <v>10</v>
      </c>
      <c r="Z47" s="103">
        <f t="shared" si="22"/>
        <v>10</v>
      </c>
      <c r="AA47" s="103">
        <f t="shared" si="22"/>
        <v>10</v>
      </c>
      <c r="AB47" s="103">
        <f t="shared" si="22"/>
        <v>10</v>
      </c>
      <c r="AC47" s="103">
        <f t="shared" si="22"/>
        <v>10</v>
      </c>
      <c r="AD47" s="103">
        <f t="shared" si="22"/>
        <v>10</v>
      </c>
      <c r="AE47" s="103">
        <f t="shared" si="22"/>
        <v>10</v>
      </c>
      <c r="AF47" s="103">
        <f t="shared" si="22"/>
        <v>10</v>
      </c>
      <c r="AG47" s="103">
        <f t="shared" si="22"/>
        <v>10</v>
      </c>
      <c r="AH47" s="103">
        <f t="shared" si="22"/>
        <v>10</v>
      </c>
      <c r="AI47" s="103">
        <f t="shared" si="22"/>
        <v>10</v>
      </c>
      <c r="AJ47" s="103">
        <f t="shared" si="22"/>
        <v>10</v>
      </c>
      <c r="AK47" s="103">
        <f t="shared" si="22"/>
        <v>10</v>
      </c>
      <c r="AL47" s="103">
        <f t="shared" si="22"/>
        <v>10</v>
      </c>
      <c r="AM47" s="104">
        <f t="shared" si="22"/>
        <v>10</v>
      </c>
    </row>
    <row r="48" spans="1:39">
      <c r="A48" s="24"/>
      <c r="B48" s="16"/>
      <c r="C48" s="25"/>
      <c r="D48" s="87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9"/>
    </row>
    <row r="49" spans="1:39">
      <c r="A49" s="24"/>
      <c r="B49" s="16"/>
      <c r="C49" s="25"/>
      <c r="D49" s="87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9"/>
    </row>
    <row r="50" spans="1:39">
      <c r="A50" s="31" t="s">
        <v>383</v>
      </c>
      <c r="B50" s="32" t="s">
        <v>377</v>
      </c>
      <c r="C50" s="33" t="s">
        <v>357</v>
      </c>
      <c r="D50" s="99">
        <f t="shared" ref="D50:AM50" si="23">MAX(0,D40-D45)</f>
        <v>0</v>
      </c>
      <c r="E50" s="100">
        <f t="shared" si="23"/>
        <v>0</v>
      </c>
      <c r="F50" s="100">
        <f t="shared" si="23"/>
        <v>3</v>
      </c>
      <c r="G50" s="100">
        <f t="shared" si="23"/>
        <v>2</v>
      </c>
      <c r="H50" s="100">
        <f t="shared" si="23"/>
        <v>2</v>
      </c>
      <c r="I50" s="100">
        <f t="shared" si="23"/>
        <v>0</v>
      </c>
      <c r="J50" s="100">
        <f t="shared" si="23"/>
        <v>0</v>
      </c>
      <c r="K50" s="100">
        <f t="shared" si="23"/>
        <v>0</v>
      </c>
      <c r="L50" s="100">
        <f t="shared" si="23"/>
        <v>0</v>
      </c>
      <c r="M50" s="100">
        <f t="shared" si="23"/>
        <v>0</v>
      </c>
      <c r="N50" s="100">
        <f t="shared" si="23"/>
        <v>0</v>
      </c>
      <c r="O50" s="100">
        <f t="shared" si="23"/>
        <v>0</v>
      </c>
      <c r="P50" s="100">
        <f t="shared" si="23"/>
        <v>0</v>
      </c>
      <c r="Q50" s="100">
        <f t="shared" si="23"/>
        <v>0</v>
      </c>
      <c r="R50" s="100">
        <f t="shared" si="23"/>
        <v>0</v>
      </c>
      <c r="S50" s="100">
        <f t="shared" si="23"/>
        <v>0</v>
      </c>
      <c r="T50" s="100">
        <f t="shared" si="23"/>
        <v>0</v>
      </c>
      <c r="U50" s="100">
        <f t="shared" si="23"/>
        <v>0</v>
      </c>
      <c r="V50" s="100">
        <f t="shared" si="23"/>
        <v>0</v>
      </c>
      <c r="W50" s="100">
        <f t="shared" si="23"/>
        <v>0</v>
      </c>
      <c r="X50" s="100">
        <f t="shared" si="23"/>
        <v>0</v>
      </c>
      <c r="Y50" s="100">
        <f t="shared" si="23"/>
        <v>0</v>
      </c>
      <c r="Z50" s="100">
        <f t="shared" si="23"/>
        <v>0</v>
      </c>
      <c r="AA50" s="100">
        <f t="shared" si="23"/>
        <v>0</v>
      </c>
      <c r="AB50" s="100">
        <f t="shared" si="23"/>
        <v>0</v>
      </c>
      <c r="AC50" s="100">
        <f t="shared" si="23"/>
        <v>0</v>
      </c>
      <c r="AD50" s="100">
        <f t="shared" si="23"/>
        <v>0</v>
      </c>
      <c r="AE50" s="100">
        <f t="shared" si="23"/>
        <v>0</v>
      </c>
      <c r="AF50" s="100">
        <f t="shared" si="23"/>
        <v>0</v>
      </c>
      <c r="AG50" s="100">
        <f t="shared" si="23"/>
        <v>0</v>
      </c>
      <c r="AH50" s="100">
        <f t="shared" si="23"/>
        <v>0</v>
      </c>
      <c r="AI50" s="100">
        <f t="shared" si="23"/>
        <v>0</v>
      </c>
      <c r="AJ50" s="100">
        <f t="shared" si="23"/>
        <v>0</v>
      </c>
      <c r="AK50" s="100">
        <f t="shared" si="23"/>
        <v>0</v>
      </c>
      <c r="AL50" s="100">
        <f t="shared" si="23"/>
        <v>0</v>
      </c>
      <c r="AM50" s="101">
        <f t="shared" si="23"/>
        <v>0</v>
      </c>
    </row>
    <row r="51" spans="1:39">
      <c r="A51" s="26" t="s">
        <v>384</v>
      </c>
      <c r="B51" t="s">
        <v>377</v>
      </c>
      <c r="C51" s="27" t="s">
        <v>357</v>
      </c>
      <c r="D51" s="102">
        <f t="shared" ref="D51:AM51" si="24">MAX(0,D41-D46)</f>
        <v>0</v>
      </c>
      <c r="E51" s="103">
        <f t="shared" si="24"/>
        <v>0</v>
      </c>
      <c r="F51" s="103">
        <f t="shared" si="24"/>
        <v>0</v>
      </c>
      <c r="G51" s="103">
        <f t="shared" si="24"/>
        <v>0</v>
      </c>
      <c r="H51" s="103">
        <f t="shared" si="24"/>
        <v>0</v>
      </c>
      <c r="I51" s="103">
        <f t="shared" si="24"/>
        <v>3</v>
      </c>
      <c r="J51" s="103">
        <f t="shared" si="24"/>
        <v>0</v>
      </c>
      <c r="K51" s="103">
        <f t="shared" si="24"/>
        <v>0</v>
      </c>
      <c r="L51" s="103">
        <f t="shared" si="24"/>
        <v>0</v>
      </c>
      <c r="M51" s="103">
        <f t="shared" si="24"/>
        <v>0</v>
      </c>
      <c r="N51" s="103">
        <f t="shared" si="24"/>
        <v>0</v>
      </c>
      <c r="O51" s="103">
        <f t="shared" si="24"/>
        <v>0</v>
      </c>
      <c r="P51" s="103">
        <f t="shared" si="24"/>
        <v>0</v>
      </c>
      <c r="Q51" s="103">
        <f t="shared" si="24"/>
        <v>0</v>
      </c>
      <c r="R51" s="103">
        <f t="shared" si="24"/>
        <v>0</v>
      </c>
      <c r="S51" s="103">
        <f t="shared" si="24"/>
        <v>0</v>
      </c>
      <c r="T51" s="103">
        <f t="shared" si="24"/>
        <v>0</v>
      </c>
      <c r="U51" s="103">
        <f t="shared" si="24"/>
        <v>0</v>
      </c>
      <c r="V51" s="103">
        <f t="shared" si="24"/>
        <v>0</v>
      </c>
      <c r="W51" s="103">
        <f t="shared" si="24"/>
        <v>0</v>
      </c>
      <c r="X51" s="103">
        <f t="shared" si="24"/>
        <v>0</v>
      </c>
      <c r="Y51" s="103">
        <f t="shared" si="24"/>
        <v>0</v>
      </c>
      <c r="Z51" s="103">
        <f t="shared" si="24"/>
        <v>0</v>
      </c>
      <c r="AA51" s="103">
        <f t="shared" si="24"/>
        <v>0</v>
      </c>
      <c r="AB51" s="103">
        <f t="shared" si="24"/>
        <v>0</v>
      </c>
      <c r="AC51" s="103">
        <f t="shared" si="24"/>
        <v>0</v>
      </c>
      <c r="AD51" s="103">
        <f t="shared" si="24"/>
        <v>0</v>
      </c>
      <c r="AE51" s="103">
        <f t="shared" si="24"/>
        <v>0</v>
      </c>
      <c r="AF51" s="103">
        <f t="shared" si="24"/>
        <v>0</v>
      </c>
      <c r="AG51" s="103">
        <f t="shared" si="24"/>
        <v>0</v>
      </c>
      <c r="AH51" s="103">
        <f t="shared" si="24"/>
        <v>0</v>
      </c>
      <c r="AI51" s="103">
        <f t="shared" si="24"/>
        <v>0</v>
      </c>
      <c r="AJ51" s="103">
        <f t="shared" si="24"/>
        <v>0</v>
      </c>
      <c r="AK51" s="103">
        <f t="shared" si="24"/>
        <v>0</v>
      </c>
      <c r="AL51" s="103">
        <f t="shared" si="24"/>
        <v>0</v>
      </c>
      <c r="AM51" s="104">
        <f t="shared" si="24"/>
        <v>0</v>
      </c>
    </row>
    <row r="52" spans="1:39">
      <c r="A52" s="26" t="s">
        <v>385</v>
      </c>
      <c r="B52" t="s">
        <v>377</v>
      </c>
      <c r="C52" s="27" t="s">
        <v>357</v>
      </c>
      <c r="D52" s="102">
        <f t="shared" ref="D52:AM52" si="25">D50+D51</f>
        <v>0</v>
      </c>
      <c r="E52" s="103">
        <f t="shared" si="25"/>
        <v>0</v>
      </c>
      <c r="F52" s="103">
        <f t="shared" si="25"/>
        <v>3</v>
      </c>
      <c r="G52" s="103">
        <f t="shared" si="25"/>
        <v>2</v>
      </c>
      <c r="H52" s="103">
        <f t="shared" si="25"/>
        <v>2</v>
      </c>
      <c r="I52" s="103">
        <f t="shared" si="25"/>
        <v>3</v>
      </c>
      <c r="J52" s="103">
        <f t="shared" si="25"/>
        <v>0</v>
      </c>
      <c r="K52" s="103">
        <f t="shared" si="25"/>
        <v>0</v>
      </c>
      <c r="L52" s="103">
        <f t="shared" si="25"/>
        <v>0</v>
      </c>
      <c r="M52" s="103">
        <f t="shared" si="25"/>
        <v>0</v>
      </c>
      <c r="N52" s="103">
        <f t="shared" si="25"/>
        <v>0</v>
      </c>
      <c r="O52" s="103">
        <f t="shared" si="25"/>
        <v>0</v>
      </c>
      <c r="P52" s="103">
        <f t="shared" si="25"/>
        <v>0</v>
      </c>
      <c r="Q52" s="103">
        <f t="shared" si="25"/>
        <v>0</v>
      </c>
      <c r="R52" s="103">
        <f t="shared" si="25"/>
        <v>0</v>
      </c>
      <c r="S52" s="103">
        <f t="shared" si="25"/>
        <v>0</v>
      </c>
      <c r="T52" s="103">
        <f t="shared" si="25"/>
        <v>0</v>
      </c>
      <c r="U52" s="103">
        <f t="shared" si="25"/>
        <v>0</v>
      </c>
      <c r="V52" s="103">
        <f t="shared" si="25"/>
        <v>0</v>
      </c>
      <c r="W52" s="103">
        <f t="shared" si="25"/>
        <v>0</v>
      </c>
      <c r="X52" s="103">
        <f t="shared" si="25"/>
        <v>0</v>
      </c>
      <c r="Y52" s="103">
        <f t="shared" si="25"/>
        <v>0</v>
      </c>
      <c r="Z52" s="103">
        <f t="shared" si="25"/>
        <v>0</v>
      </c>
      <c r="AA52" s="103">
        <f t="shared" si="25"/>
        <v>0</v>
      </c>
      <c r="AB52" s="103">
        <f t="shared" si="25"/>
        <v>0</v>
      </c>
      <c r="AC52" s="103">
        <f t="shared" si="25"/>
        <v>0</v>
      </c>
      <c r="AD52" s="103">
        <f t="shared" si="25"/>
        <v>0</v>
      </c>
      <c r="AE52" s="103">
        <f t="shared" si="25"/>
        <v>0</v>
      </c>
      <c r="AF52" s="103">
        <f t="shared" si="25"/>
        <v>0</v>
      </c>
      <c r="AG52" s="103">
        <f t="shared" si="25"/>
        <v>0</v>
      </c>
      <c r="AH52" s="103">
        <f t="shared" si="25"/>
        <v>0</v>
      </c>
      <c r="AI52" s="103">
        <f t="shared" si="25"/>
        <v>0</v>
      </c>
      <c r="AJ52" s="103">
        <f t="shared" si="25"/>
        <v>0</v>
      </c>
      <c r="AK52" s="103">
        <f t="shared" si="25"/>
        <v>0</v>
      </c>
      <c r="AL52" s="103">
        <f t="shared" si="25"/>
        <v>0</v>
      </c>
      <c r="AM52" s="104">
        <f t="shared" si="25"/>
        <v>0</v>
      </c>
    </row>
    <row r="53" spans="1:39">
      <c r="A53" s="26"/>
      <c r="C53" s="27"/>
      <c r="D53" s="87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9"/>
    </row>
    <row r="54" spans="1:39">
      <c r="A54" s="26"/>
      <c r="C54" s="27"/>
      <c r="D54" s="87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9"/>
    </row>
    <row r="55" spans="1:39">
      <c r="A55" s="31" t="s">
        <v>386</v>
      </c>
      <c r="B55" s="32" t="s">
        <v>243</v>
      </c>
      <c r="C55" s="33" t="s">
        <v>357</v>
      </c>
      <c r="D55" s="93">
        <f>(D37*Inputs!C64)+(D27*(Inputs!C66+Inputs!C68))</f>
        <v>0</v>
      </c>
      <c r="E55" s="94">
        <f>(E37*Inputs!C64)+(E27*(Inputs!C66+Inputs!C68))</f>
        <v>0</v>
      </c>
      <c r="F55" s="94">
        <f>(F37*Inputs!C64)+(F27*(Inputs!C66+Inputs!C68))</f>
        <v>4.1500000000000004</v>
      </c>
      <c r="G55" s="94">
        <f>(G37*Inputs!C64)+(G27*(Inputs!C66+Inputs!C68))</f>
        <v>2.15</v>
      </c>
      <c r="H55" s="94">
        <f>(H37*Inputs!C64)+(H27*(Inputs!C66+Inputs!C68))</f>
        <v>2.15</v>
      </c>
      <c r="I55" s="94">
        <f>(I37*Inputs!C64)+(I27*(Inputs!C66+Inputs!C68))</f>
        <v>4.1500000000000004</v>
      </c>
      <c r="J55" s="94">
        <f>(J37*Inputs!C64)+(J27*(Inputs!C66+Inputs!C68))</f>
        <v>0</v>
      </c>
      <c r="K55" s="94">
        <f>(K37*Inputs!C64)+(K27*(Inputs!C66+Inputs!C68))</f>
        <v>0</v>
      </c>
      <c r="L55" s="94">
        <f>(L37*Inputs!C64)+(L27*(Inputs!C66+Inputs!C68))</f>
        <v>0</v>
      </c>
      <c r="M55" s="94">
        <f>(M37*Inputs!C64)+(M27*(Inputs!C66+Inputs!C68))</f>
        <v>0</v>
      </c>
      <c r="N55" s="94">
        <f>(N37*Inputs!C64)+(N27*(Inputs!C66+Inputs!C68))</f>
        <v>0</v>
      </c>
      <c r="O55" s="94">
        <f>(O37*Inputs!C64)+(O27*(Inputs!C66+Inputs!C68))</f>
        <v>0</v>
      </c>
      <c r="P55" s="94">
        <f>(P37*Inputs!C64)+(P27*(Inputs!C66+Inputs!C68))</f>
        <v>0</v>
      </c>
      <c r="Q55" s="94">
        <f>(Q37*Inputs!C64)+(Q27*(Inputs!C66+Inputs!C68))</f>
        <v>0</v>
      </c>
      <c r="R55" s="94">
        <f>(R37*Inputs!C64)+(R27*(Inputs!C66+Inputs!C68))</f>
        <v>0</v>
      </c>
      <c r="S55" s="94">
        <f>(S37*Inputs!C64)+(S27*(Inputs!C66+Inputs!C68))</f>
        <v>0</v>
      </c>
      <c r="T55" s="94">
        <f>(T37*Inputs!C64)+(T27*(Inputs!C66+Inputs!C68))</f>
        <v>0</v>
      </c>
      <c r="U55" s="94">
        <f>(U37*Inputs!C64)+(U27*(Inputs!C66+Inputs!C68))</f>
        <v>0</v>
      </c>
      <c r="V55" s="94">
        <f>(V37*Inputs!C64)+(V27*(Inputs!C66+Inputs!C68))</f>
        <v>0</v>
      </c>
      <c r="W55" s="94">
        <f>(W37*Inputs!C64)+(W27*(Inputs!C66+Inputs!C68))</f>
        <v>0</v>
      </c>
      <c r="X55" s="94">
        <f>(X37*Inputs!C64)+(X27*(Inputs!C66+Inputs!C68))</f>
        <v>0</v>
      </c>
      <c r="Y55" s="94">
        <f>(Y37*Inputs!C64)+(Y27*(Inputs!C66+Inputs!C68))</f>
        <v>0</v>
      </c>
      <c r="Z55" s="94">
        <f>(Z37*Inputs!C64)+(Z27*(Inputs!C66+Inputs!C68))</f>
        <v>0</v>
      </c>
      <c r="AA55" s="94">
        <f>(AA37*Inputs!C64)+(AA27*(Inputs!C66+Inputs!C68))</f>
        <v>0</v>
      </c>
      <c r="AB55" s="94">
        <f>(AB37*Inputs!C64)+(AB27*(Inputs!C66+Inputs!C68))</f>
        <v>0</v>
      </c>
      <c r="AC55" s="94">
        <f>(AC37*Inputs!C64)+(AC27*(Inputs!C66+Inputs!C68))</f>
        <v>0</v>
      </c>
      <c r="AD55" s="94">
        <f>(AD37*Inputs!C64)+(AD27*(Inputs!C66+Inputs!C68))</f>
        <v>0</v>
      </c>
      <c r="AE55" s="94">
        <f>(AE37*Inputs!C64)+(AE27*(Inputs!C66+Inputs!C68))</f>
        <v>0</v>
      </c>
      <c r="AF55" s="94">
        <f>(AF37*Inputs!C64)+(AF27*(Inputs!C66+Inputs!C68))</f>
        <v>0</v>
      </c>
      <c r="AG55" s="94">
        <f>(AG37*Inputs!C64)+(AG27*(Inputs!C66+Inputs!C68))</f>
        <v>0</v>
      </c>
      <c r="AH55" s="94">
        <f>(AH37*Inputs!C64)+(AH27*(Inputs!C66+Inputs!C68))</f>
        <v>0</v>
      </c>
      <c r="AI55" s="94">
        <f>(AI37*Inputs!C64)+(AI27*(Inputs!C66+Inputs!C68))</f>
        <v>0</v>
      </c>
      <c r="AJ55" s="94">
        <f>(AJ37*Inputs!C64)+(AJ27*(Inputs!C66+Inputs!C68))</f>
        <v>0</v>
      </c>
      <c r="AK55" s="94">
        <f>(AK37*Inputs!C64)+(AK27*(Inputs!C66+Inputs!C68))</f>
        <v>0</v>
      </c>
      <c r="AL55" s="94">
        <f>(AL37*Inputs!C64)+(AL27*(Inputs!C66+Inputs!C68))</f>
        <v>0</v>
      </c>
      <c r="AM55" s="95">
        <f>(AM37*Inputs!C64)+(AM27*(Inputs!C66+Inputs!C68))</f>
        <v>0</v>
      </c>
    </row>
    <row r="56" spans="1:39">
      <c r="A56" s="28" t="s">
        <v>387</v>
      </c>
      <c r="B56" s="29" t="s">
        <v>243</v>
      </c>
      <c r="C56" s="30" t="s">
        <v>357</v>
      </c>
      <c r="D56" s="96">
        <f>D55</f>
        <v>0</v>
      </c>
      <c r="E56" s="97">
        <f t="shared" ref="E56:AM56" si="26">D56+E55</f>
        <v>0</v>
      </c>
      <c r="F56" s="97">
        <f t="shared" si="26"/>
        <v>4.1500000000000004</v>
      </c>
      <c r="G56" s="97">
        <f t="shared" si="26"/>
        <v>6.3000000000000007</v>
      </c>
      <c r="H56" s="97">
        <f t="shared" si="26"/>
        <v>8.4500000000000011</v>
      </c>
      <c r="I56" s="97">
        <f t="shared" si="26"/>
        <v>12.600000000000001</v>
      </c>
      <c r="J56" s="97">
        <f t="shared" si="26"/>
        <v>12.600000000000001</v>
      </c>
      <c r="K56" s="97">
        <f t="shared" si="26"/>
        <v>12.600000000000001</v>
      </c>
      <c r="L56" s="97">
        <f t="shared" si="26"/>
        <v>12.600000000000001</v>
      </c>
      <c r="M56" s="97">
        <f t="shared" si="26"/>
        <v>12.600000000000001</v>
      </c>
      <c r="N56" s="97">
        <f t="shared" si="26"/>
        <v>12.600000000000001</v>
      </c>
      <c r="O56" s="97">
        <f t="shared" si="26"/>
        <v>12.600000000000001</v>
      </c>
      <c r="P56" s="97">
        <f t="shared" si="26"/>
        <v>12.600000000000001</v>
      </c>
      <c r="Q56" s="97">
        <f t="shared" si="26"/>
        <v>12.600000000000001</v>
      </c>
      <c r="R56" s="97">
        <f t="shared" si="26"/>
        <v>12.600000000000001</v>
      </c>
      <c r="S56" s="97">
        <f t="shared" si="26"/>
        <v>12.600000000000001</v>
      </c>
      <c r="T56" s="97">
        <f t="shared" si="26"/>
        <v>12.600000000000001</v>
      </c>
      <c r="U56" s="97">
        <f t="shared" si="26"/>
        <v>12.600000000000001</v>
      </c>
      <c r="V56" s="97">
        <f t="shared" si="26"/>
        <v>12.600000000000001</v>
      </c>
      <c r="W56" s="97">
        <f t="shared" si="26"/>
        <v>12.600000000000001</v>
      </c>
      <c r="X56" s="97">
        <f t="shared" si="26"/>
        <v>12.600000000000001</v>
      </c>
      <c r="Y56" s="97">
        <f t="shared" si="26"/>
        <v>12.600000000000001</v>
      </c>
      <c r="Z56" s="97">
        <f t="shared" si="26"/>
        <v>12.600000000000001</v>
      </c>
      <c r="AA56" s="97">
        <f t="shared" si="26"/>
        <v>12.600000000000001</v>
      </c>
      <c r="AB56" s="97">
        <f t="shared" si="26"/>
        <v>12.600000000000001</v>
      </c>
      <c r="AC56" s="97">
        <f t="shared" si="26"/>
        <v>12.600000000000001</v>
      </c>
      <c r="AD56" s="97">
        <f t="shared" si="26"/>
        <v>12.600000000000001</v>
      </c>
      <c r="AE56" s="97">
        <f t="shared" si="26"/>
        <v>12.600000000000001</v>
      </c>
      <c r="AF56" s="97">
        <f t="shared" si="26"/>
        <v>12.600000000000001</v>
      </c>
      <c r="AG56" s="97">
        <f t="shared" si="26"/>
        <v>12.600000000000001</v>
      </c>
      <c r="AH56" s="97">
        <f t="shared" si="26"/>
        <v>12.600000000000001</v>
      </c>
      <c r="AI56" s="97">
        <f t="shared" si="26"/>
        <v>12.600000000000001</v>
      </c>
      <c r="AJ56" s="97">
        <f t="shared" si="26"/>
        <v>12.600000000000001</v>
      </c>
      <c r="AK56" s="97">
        <f t="shared" si="26"/>
        <v>12.600000000000001</v>
      </c>
      <c r="AL56" s="97">
        <f t="shared" si="26"/>
        <v>12.600000000000001</v>
      </c>
      <c r="AM56" s="98">
        <f t="shared" si="26"/>
        <v>12.600000000000001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1"/>
  <sheetViews>
    <sheetView workbookViewId="0">
      <selection activeCell="D30" sqref="D30"/>
    </sheetView>
  </sheetViews>
  <sheetFormatPr defaultRowHeight="13.8"/>
  <cols>
    <col min="1" max="1" width="32.09765625" customWidth="1"/>
    <col min="2" max="2" width="10.69921875" customWidth="1"/>
    <col min="3" max="3" width="27.8984375" customWidth="1"/>
    <col min="4" max="17" width="10.8984375" bestFit="1" customWidth="1"/>
    <col min="18" max="39" width="12.3984375" bestFit="1" customWidth="1"/>
  </cols>
  <sheetData>
    <row r="1" spans="1:39" ht="17.399999999999999">
      <c r="A1" s="146" t="s">
        <v>388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>
      <c r="A2" s="147" t="s">
        <v>389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</row>
    <row r="4" spans="1:39">
      <c r="A4" s="19" t="s">
        <v>17</v>
      </c>
      <c r="B4" s="20" t="s">
        <v>84</v>
      </c>
      <c r="C4" s="21" t="s">
        <v>118</v>
      </c>
    </row>
    <row r="5" spans="1:39">
      <c r="A5" s="22" t="s">
        <v>347</v>
      </c>
      <c r="B5" s="18" t="s">
        <v>122</v>
      </c>
      <c r="C5" s="23" t="s">
        <v>390</v>
      </c>
      <c r="D5" s="105">
        <f>Deployment_36M!D5</f>
        <v>46204</v>
      </c>
      <c r="E5" s="106">
        <f>Deployment_36M!E5</f>
        <v>46235</v>
      </c>
      <c r="F5" s="106">
        <f>Deployment_36M!F5</f>
        <v>46266</v>
      </c>
      <c r="G5" s="106">
        <f>Deployment_36M!G5</f>
        <v>46296</v>
      </c>
      <c r="H5" s="106">
        <f>Deployment_36M!H5</f>
        <v>46327</v>
      </c>
      <c r="I5" s="106">
        <f>Deployment_36M!I5</f>
        <v>46357</v>
      </c>
      <c r="J5" s="106">
        <f>Deployment_36M!J5</f>
        <v>46388</v>
      </c>
      <c r="K5" s="106">
        <f>Deployment_36M!K5</f>
        <v>46419</v>
      </c>
      <c r="L5" s="106">
        <f>Deployment_36M!L5</f>
        <v>46447</v>
      </c>
      <c r="M5" s="106">
        <f>Deployment_36M!M5</f>
        <v>46478</v>
      </c>
      <c r="N5" s="106">
        <f>Deployment_36M!N5</f>
        <v>46508</v>
      </c>
      <c r="O5" s="106">
        <f>Deployment_36M!O5</f>
        <v>46539</v>
      </c>
      <c r="P5" s="106">
        <f>Deployment_36M!P5</f>
        <v>46569</v>
      </c>
      <c r="Q5" s="106">
        <f>Deployment_36M!Q5</f>
        <v>46600</v>
      </c>
      <c r="R5" s="106">
        <f>Deployment_36M!R5</f>
        <v>46631</v>
      </c>
      <c r="S5" s="106">
        <f>Deployment_36M!S5</f>
        <v>46661</v>
      </c>
      <c r="T5" s="106">
        <f>Deployment_36M!T5</f>
        <v>46692</v>
      </c>
      <c r="U5" s="106">
        <f>Deployment_36M!U5</f>
        <v>46722</v>
      </c>
      <c r="V5" s="106">
        <f>Deployment_36M!V5</f>
        <v>46753</v>
      </c>
      <c r="W5" s="106">
        <f>Deployment_36M!W5</f>
        <v>46784</v>
      </c>
      <c r="X5" s="106">
        <f>Deployment_36M!X5</f>
        <v>46813</v>
      </c>
      <c r="Y5" s="106">
        <f>Deployment_36M!Y5</f>
        <v>46844</v>
      </c>
      <c r="Z5" s="106">
        <f>Deployment_36M!Z5</f>
        <v>46874</v>
      </c>
      <c r="AA5" s="106">
        <f>Deployment_36M!AA5</f>
        <v>46905</v>
      </c>
      <c r="AB5" s="106">
        <f>Deployment_36M!AB5</f>
        <v>46935</v>
      </c>
      <c r="AC5" s="106">
        <f>Deployment_36M!AC5</f>
        <v>46966</v>
      </c>
      <c r="AD5" s="106">
        <f>Deployment_36M!AD5</f>
        <v>46997</v>
      </c>
      <c r="AE5" s="106">
        <f>Deployment_36M!AE5</f>
        <v>47027</v>
      </c>
      <c r="AF5" s="106">
        <f>Deployment_36M!AF5</f>
        <v>47058</v>
      </c>
      <c r="AG5" s="106">
        <f>Deployment_36M!AG5</f>
        <v>47088</v>
      </c>
      <c r="AH5" s="106">
        <f>Deployment_36M!AH5</f>
        <v>47119</v>
      </c>
      <c r="AI5" s="106">
        <f>Deployment_36M!AI5</f>
        <v>47150</v>
      </c>
      <c r="AJ5" s="106">
        <f>Deployment_36M!AJ5</f>
        <v>47178</v>
      </c>
      <c r="AK5" s="106">
        <f>Deployment_36M!AK5</f>
        <v>47209</v>
      </c>
      <c r="AL5" s="106">
        <f>Deployment_36M!AL5</f>
        <v>47239</v>
      </c>
      <c r="AM5" s="107">
        <f>Deployment_36M!AM5</f>
        <v>47270</v>
      </c>
    </row>
    <row r="6" spans="1:39">
      <c r="A6" s="22" t="s">
        <v>349</v>
      </c>
      <c r="B6" s="18" t="s">
        <v>350</v>
      </c>
      <c r="C6" s="23" t="s">
        <v>390</v>
      </c>
      <c r="D6" s="108">
        <f>Deployment_36M!D6</f>
        <v>31</v>
      </c>
      <c r="E6" s="109">
        <f>Deployment_36M!E6</f>
        <v>31</v>
      </c>
      <c r="F6" s="109">
        <f>Deployment_36M!F6</f>
        <v>30</v>
      </c>
      <c r="G6" s="109">
        <f>Deployment_36M!G6</f>
        <v>31</v>
      </c>
      <c r="H6" s="109">
        <f>Deployment_36M!H6</f>
        <v>30</v>
      </c>
      <c r="I6" s="109">
        <f>Deployment_36M!I6</f>
        <v>31</v>
      </c>
      <c r="J6" s="109">
        <f>Deployment_36M!J6</f>
        <v>31</v>
      </c>
      <c r="K6" s="109">
        <f>Deployment_36M!K6</f>
        <v>28</v>
      </c>
      <c r="L6" s="109">
        <f>Deployment_36M!L6</f>
        <v>31</v>
      </c>
      <c r="M6" s="109">
        <f>Deployment_36M!M6</f>
        <v>30</v>
      </c>
      <c r="N6" s="109">
        <f>Deployment_36M!N6</f>
        <v>31</v>
      </c>
      <c r="O6" s="109">
        <f>Deployment_36M!O6</f>
        <v>30</v>
      </c>
      <c r="P6" s="109">
        <f>Deployment_36M!P6</f>
        <v>31</v>
      </c>
      <c r="Q6" s="109">
        <f>Deployment_36M!Q6</f>
        <v>31</v>
      </c>
      <c r="R6" s="109">
        <f>Deployment_36M!R6</f>
        <v>30</v>
      </c>
      <c r="S6" s="109">
        <f>Deployment_36M!S6</f>
        <v>31</v>
      </c>
      <c r="T6" s="109">
        <f>Deployment_36M!T6</f>
        <v>30</v>
      </c>
      <c r="U6" s="109">
        <f>Deployment_36M!U6</f>
        <v>31</v>
      </c>
      <c r="V6" s="109">
        <f>Deployment_36M!V6</f>
        <v>31</v>
      </c>
      <c r="W6" s="109">
        <f>Deployment_36M!W6</f>
        <v>29</v>
      </c>
      <c r="X6" s="109">
        <f>Deployment_36M!X6</f>
        <v>31</v>
      </c>
      <c r="Y6" s="109">
        <f>Deployment_36M!Y6</f>
        <v>30</v>
      </c>
      <c r="Z6" s="109">
        <f>Deployment_36M!Z6</f>
        <v>31</v>
      </c>
      <c r="AA6" s="109">
        <f>Deployment_36M!AA6</f>
        <v>30</v>
      </c>
      <c r="AB6" s="109">
        <f>Deployment_36M!AB6</f>
        <v>31</v>
      </c>
      <c r="AC6" s="109">
        <f>Deployment_36M!AC6</f>
        <v>31</v>
      </c>
      <c r="AD6" s="109">
        <f>Deployment_36M!AD6</f>
        <v>30</v>
      </c>
      <c r="AE6" s="109">
        <f>Deployment_36M!AE6</f>
        <v>31</v>
      </c>
      <c r="AF6" s="109">
        <f>Deployment_36M!AF6</f>
        <v>30</v>
      </c>
      <c r="AG6" s="109">
        <f>Deployment_36M!AG6</f>
        <v>31</v>
      </c>
      <c r="AH6" s="109">
        <f>Deployment_36M!AH6</f>
        <v>31</v>
      </c>
      <c r="AI6" s="109">
        <f>Deployment_36M!AI6</f>
        <v>28</v>
      </c>
      <c r="AJ6" s="109">
        <f>Deployment_36M!AJ6</f>
        <v>31</v>
      </c>
      <c r="AK6" s="109">
        <f>Deployment_36M!AK6</f>
        <v>30</v>
      </c>
      <c r="AL6" s="109">
        <f>Deployment_36M!AL6</f>
        <v>31</v>
      </c>
      <c r="AM6" s="110">
        <f>Deployment_36M!AM6</f>
        <v>30</v>
      </c>
    </row>
    <row r="7" spans="1:39">
      <c r="A7" s="26"/>
      <c r="C7" s="27"/>
      <c r="D7" s="81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3"/>
    </row>
    <row r="8" spans="1:39">
      <c r="A8" s="26" t="s">
        <v>391</v>
      </c>
      <c r="B8" t="s">
        <v>105</v>
      </c>
      <c r="C8" s="27" t="s">
        <v>392</v>
      </c>
      <c r="D8" s="111">
        <f>Inputs!C21</f>
        <v>75000</v>
      </c>
      <c r="E8" s="112">
        <f>D8*POWER(1+Inputs!C22,1/12)</f>
        <v>75878.618768989007</v>
      </c>
      <c r="F8" s="112">
        <f>E8*POWER(1+Inputs!C22,1/12)</f>
        <v>76767.530483860945</v>
      </c>
      <c r="G8" s="112">
        <f>F8*POWER(1+Inputs!C22,1/12)</f>
        <v>77666.855725621688</v>
      </c>
      <c r="H8" s="112">
        <f>G8*POWER(1+Inputs!C22,1/12)</f>
        <v>78576.716487873578</v>
      </c>
      <c r="I8" s="112">
        <f>H8*POWER(1+Inputs!C22,1/12)</f>
        <v>79497.236193363889</v>
      </c>
      <c r="J8" s="112">
        <f>I8*POWER(1+Inputs!C22,1/12)</f>
        <v>80428.539710727113</v>
      </c>
      <c r="K8" s="112">
        <f>J8*POWER(1+Inputs!C22,1/12)</f>
        <v>81370.753371423416</v>
      </c>
      <c r="L8" s="112">
        <f>K8*POWER(1+Inputs!C22,1/12)</f>
        <v>82324.004986875516</v>
      </c>
      <c r="M8" s="112">
        <f>L8*POWER(1+Inputs!C22,1/12)</f>
        <v>83288.423865806355</v>
      </c>
      <c r="N8" s="112">
        <f>M8*POWER(1+Inputs!C22,1/12)</f>
        <v>84264.140831779805</v>
      </c>
      <c r="O8" s="112">
        <f>N8*POWER(1+Inputs!C22,1/12)</f>
        <v>85251.288240946931</v>
      </c>
      <c r="P8" s="112">
        <f>O8*POWER(1+Inputs!C22,1/12)</f>
        <v>86250.000000000102</v>
      </c>
      <c r="Q8" s="112">
        <f>P8*POWER(1+Inputs!C22,1/12)</f>
        <v>87260.41158433746</v>
      </c>
      <c r="R8" s="112">
        <f>Q8*POWER(1+Inputs!C22,1/12)</f>
        <v>88282.660056440189</v>
      </c>
      <c r="S8" s="112">
        <f>R8*POWER(1+Inputs!C22,1/12)</f>
        <v>89316.88408446504</v>
      </c>
      <c r="T8" s="112">
        <f>S8*POWER(1+Inputs!C22,1/12)</f>
        <v>90363.223961054726</v>
      </c>
      <c r="U8" s="112">
        <f>T8*POWER(1+Inputs!C22,1/12)</f>
        <v>91421.821622368589</v>
      </c>
      <c r="V8" s="112">
        <f>U8*POWER(1+Inputs!C22,1/12)</f>
        <v>92492.820667336287</v>
      </c>
      <c r="W8" s="112">
        <f>V8*POWER(1+Inputs!C22,1/12)</f>
        <v>93576.366377137034</v>
      </c>
      <c r="X8" s="112">
        <f>W8*POWER(1+Inputs!C22,1/12)</f>
        <v>94672.60573490696</v>
      </c>
      <c r="Y8" s="112">
        <f>X8*POWER(1+Inputs!C22,1/12)</f>
        <v>95781.687445677424</v>
      </c>
      <c r="Z8" s="112">
        <f>Y8*POWER(1+Inputs!C22,1/12)</f>
        <v>96903.761956546892</v>
      </c>
      <c r="AA8" s="112">
        <f>Z8*POWER(1+Inputs!C22,1/12)</f>
        <v>98038.981477089081</v>
      </c>
      <c r="AB8" s="112">
        <f>AA8*POWER(1+Inputs!C22,1/12)</f>
        <v>99187.500000000218</v>
      </c>
      <c r="AC8" s="112">
        <f>AB8*POWER(1+Inputs!C22,1/12)</f>
        <v>100349.47332198817</v>
      </c>
      <c r="AD8" s="112">
        <f>AC8*POWER(1+Inputs!C22,1/12)</f>
        <v>101525.05906490631</v>
      </c>
      <c r="AE8" s="112">
        <f>AD8*POWER(1+Inputs!C22,1/12)</f>
        <v>102714.41669713489</v>
      </c>
      <c r="AF8" s="112">
        <f>AE8*POWER(1+Inputs!C22,1/12)</f>
        <v>103917.70755521303</v>
      </c>
      <c r="AG8" s="112">
        <f>AF8*POWER(1+Inputs!C22,1/12)</f>
        <v>105135.09486572396</v>
      </c>
      <c r="AH8" s="112">
        <f>AG8*POWER(1+Inputs!C22,1/12)</f>
        <v>106366.74376743683</v>
      </c>
      <c r="AI8" s="112">
        <f>AH8*POWER(1+Inputs!C22,1/12)</f>
        <v>107612.82133370767</v>
      </c>
      <c r="AJ8" s="112">
        <f>AI8*POWER(1+Inputs!C22,1/12)</f>
        <v>108873.49659514308</v>
      </c>
      <c r="AK8" s="112">
        <f>AJ8*POWER(1+Inputs!C22,1/12)</f>
        <v>110148.94056252913</v>
      </c>
      <c r="AL8" s="112">
        <f>AK8*POWER(1+Inputs!C22,1/12)</f>
        <v>111439.32625002903</v>
      </c>
      <c r="AM8" s="113">
        <f>AL8*POWER(1+Inputs!C22,1/12)</f>
        <v>112744.82869865255</v>
      </c>
    </row>
    <row r="9" spans="1:39">
      <c r="A9" s="26" t="s">
        <v>393</v>
      </c>
      <c r="B9" t="s">
        <v>394</v>
      </c>
      <c r="C9" s="27" t="s">
        <v>395</v>
      </c>
      <c r="D9" s="111">
        <f>D8*Inputs!C20</f>
        <v>1275000</v>
      </c>
      <c r="E9" s="112">
        <f>E8*Inputs!C20</f>
        <v>1289936.5190728132</v>
      </c>
      <c r="F9" s="112">
        <f>F8*Inputs!C20</f>
        <v>1305048.0182256361</v>
      </c>
      <c r="G9" s="112">
        <f>G8*Inputs!C20</f>
        <v>1320336.5473355688</v>
      </c>
      <c r="H9" s="112">
        <f>H8*Inputs!C20</f>
        <v>1335804.1802938508</v>
      </c>
      <c r="I9" s="112">
        <f>I8*Inputs!C20</f>
        <v>1351453.015287186</v>
      </c>
      <c r="J9" s="112">
        <f>J8*Inputs!C20</f>
        <v>1367285.1750823609</v>
      </c>
      <c r="K9" s="112">
        <f>K8*Inputs!C20</f>
        <v>1383302.807314198</v>
      </c>
      <c r="L9" s="112">
        <f>L8*Inputs!C20</f>
        <v>1399508.0847768837</v>
      </c>
      <c r="M9" s="112">
        <f>M8*Inputs!C20</f>
        <v>1415903.205718708</v>
      </c>
      <c r="N9" s="112">
        <f>N8*Inputs!C20</f>
        <v>1432490.3941402566</v>
      </c>
      <c r="O9" s="112">
        <f>O8*Inputs!C20</f>
        <v>1449271.9000960977</v>
      </c>
      <c r="P9" s="112">
        <f>P8*Inputs!C20</f>
        <v>1466250.0000000016</v>
      </c>
      <c r="Q9" s="112">
        <f>Q8*Inputs!C20</f>
        <v>1483426.9969337368</v>
      </c>
      <c r="R9" s="112">
        <f>R8*Inputs!C20</f>
        <v>1500805.2209594832</v>
      </c>
      <c r="S9" s="112">
        <f>S8*Inputs!C20</f>
        <v>1518387.0294359056</v>
      </c>
      <c r="T9" s="112">
        <f>T8*Inputs!C20</f>
        <v>1536174.8073379304</v>
      </c>
      <c r="U9" s="112">
        <f>U8*Inputs!C20</f>
        <v>1554170.9675802661</v>
      </c>
      <c r="V9" s="112">
        <f>V8*Inputs!C20</f>
        <v>1572377.9513447168</v>
      </c>
      <c r="W9" s="112">
        <f>W8*Inputs!C20</f>
        <v>1590798.2284113297</v>
      </c>
      <c r="X9" s="112">
        <f>X8*Inputs!C20</f>
        <v>1609434.2974934182</v>
      </c>
      <c r="Y9" s="112">
        <f>Y8*Inputs!C20</f>
        <v>1628288.6865765161</v>
      </c>
      <c r="Z9" s="112">
        <f>Z8*Inputs!C20</f>
        <v>1647363.9532612972</v>
      </c>
      <c r="AA9" s="112">
        <f>AA8*Inputs!C20</f>
        <v>1666662.6851105143</v>
      </c>
      <c r="AB9" s="112">
        <f>AB8*Inputs!C20</f>
        <v>1686187.5000000037</v>
      </c>
      <c r="AC9" s="112">
        <f>AC8*Inputs!C20</f>
        <v>1705941.046473799</v>
      </c>
      <c r="AD9" s="112">
        <f>AD8*Inputs!C20</f>
        <v>1725926.0041034073</v>
      </c>
      <c r="AE9" s="112">
        <f>AE8*Inputs!C20</f>
        <v>1746145.0838512932</v>
      </c>
      <c r="AF9" s="112">
        <f>AF8*Inputs!C20</f>
        <v>1766601.0284386214</v>
      </c>
      <c r="AG9" s="112">
        <f>AG8*Inputs!C20</f>
        <v>1787296.6127173074</v>
      </c>
      <c r="AH9" s="112">
        <f>AH8*Inputs!C20</f>
        <v>1808234.6440464261</v>
      </c>
      <c r="AI9" s="112">
        <f>AI8*Inputs!C20</f>
        <v>1829417.9626730306</v>
      </c>
      <c r="AJ9" s="112">
        <f>AJ8*Inputs!C20</f>
        <v>1850849.4421174324</v>
      </c>
      <c r="AK9" s="112">
        <f>AK8*Inputs!C20</f>
        <v>1872531.989562995</v>
      </c>
      <c r="AL9" s="112">
        <f>AL8*Inputs!C20</f>
        <v>1894468.5462504935</v>
      </c>
      <c r="AM9" s="113">
        <f>AM8*Inputs!C20</f>
        <v>1916662.0878770933</v>
      </c>
    </row>
    <row r="10" spans="1:39">
      <c r="A10" s="26" t="s">
        <v>396</v>
      </c>
      <c r="B10" t="s">
        <v>156</v>
      </c>
      <c r="C10" s="27" t="s">
        <v>392</v>
      </c>
      <c r="D10" s="111">
        <f>Inputs!C23</f>
        <v>900000000</v>
      </c>
      <c r="E10" s="112">
        <f>D10*POWER(1+Inputs!C24,1/12)</f>
        <v>907176726.38601339</v>
      </c>
      <c r="F10" s="112">
        <f>E10*POWER(1+Inputs!C24,1/12)</f>
        <v>914410680.99604869</v>
      </c>
      <c r="G10" s="112">
        <f>F10*POWER(1+Inputs!C24,1/12)</f>
        <v>921702320.17600071</v>
      </c>
      <c r="H10" s="112">
        <f>G10*POWER(1+Inputs!C24,1/12)</f>
        <v>929052103.9107306</v>
      </c>
      <c r="I10" s="112">
        <f>H10*POWER(1+Inputs!C24,1/12)</f>
        <v>936460495.85308325</v>
      </c>
      <c r="J10" s="112">
        <f>I10*POWER(1+Inputs!C24,1/12)</f>
        <v>943927963.35313654</v>
      </c>
      <c r="K10" s="112">
        <f>J10*POWER(1+Inputs!C24,1/12)</f>
        <v>951454977.48768353</v>
      </c>
      <c r="L10" s="112">
        <f>K10*POWER(1+Inputs!C24,1/12)</f>
        <v>959042013.08994985</v>
      </c>
      <c r="M10" s="112">
        <f>L10*POWER(1+Inputs!C24,1/12)</f>
        <v>966689548.77954769</v>
      </c>
      <c r="N10" s="112">
        <f>M10*POWER(1+Inputs!C24,1/12)</f>
        <v>974398066.99266946</v>
      </c>
      <c r="O10" s="112">
        <f>N10*POWER(1+Inputs!C24,1/12)</f>
        <v>982168054.01252139</v>
      </c>
      <c r="P10" s="112">
        <f>O10*POWER(1+Inputs!C24,1/12)</f>
        <v>990000000.00000036</v>
      </c>
      <c r="Q10" s="112">
        <f>P10*POWER(1+Inputs!C24,1/12)</f>
        <v>997894399.02461505</v>
      </c>
      <c r="R10" s="112">
        <f>Q10*POWER(1+Inputs!C24,1/12)</f>
        <v>1005851749.0956539</v>
      </c>
      <c r="S10" s="112">
        <f>R10*POWER(1+Inputs!C24,1/12)</f>
        <v>1013872552.1936011</v>
      </c>
      <c r="T10" s="112">
        <f>S10*POWER(1+Inputs!C24,1/12)</f>
        <v>1021957314.3018039</v>
      </c>
      <c r="U10" s="112">
        <f>T10*POWER(1+Inputs!C24,1/12)</f>
        <v>1030106545.4383919</v>
      </c>
      <c r="V10" s="112">
        <f>U10*POWER(1+Inputs!C24,1/12)</f>
        <v>1038320759.6884506</v>
      </c>
      <c r="W10" s="112">
        <f>V10*POWER(1+Inputs!C24,1/12)</f>
        <v>1046600475.2364523</v>
      </c>
      <c r="X10" s="112">
        <f>W10*POWER(1+Inputs!C24,1/12)</f>
        <v>1054946214.3989452</v>
      </c>
      <c r="Y10" s="112">
        <f>X10*POWER(1+Inputs!C24,1/12)</f>
        <v>1063358503.6575028</v>
      </c>
      <c r="Z10" s="112">
        <f>Y10*POWER(1+Inputs!C24,1/12)</f>
        <v>1071837873.6919367</v>
      </c>
      <c r="AA10" s="112">
        <f>Z10*POWER(1+Inputs!C24,1/12)</f>
        <v>1080384859.4137738</v>
      </c>
      <c r="AB10" s="112">
        <f>AA10*POWER(1+Inputs!C24,1/12)</f>
        <v>1089000000.0000007</v>
      </c>
      <c r="AC10" s="112">
        <f>AB10*POWER(1+Inputs!C24,1/12)</f>
        <v>1097683838.9270768</v>
      </c>
      <c r="AD10" s="112">
        <f>AC10*POWER(1+Inputs!C24,1/12)</f>
        <v>1106436924.0052195</v>
      </c>
      <c r="AE10" s="112">
        <f>AD10*POWER(1+Inputs!C24,1/12)</f>
        <v>1115259807.4129615</v>
      </c>
      <c r="AF10" s="112">
        <f>AE10*POWER(1+Inputs!C24,1/12)</f>
        <v>1124153045.7319846</v>
      </c>
      <c r="AG10" s="112">
        <f>AF10*POWER(1+Inputs!C24,1/12)</f>
        <v>1133117199.9822314</v>
      </c>
      <c r="AH10" s="112">
        <f>AG10*POWER(1+Inputs!C24,1/12)</f>
        <v>1142152835.6572959</v>
      </c>
      <c r="AI10" s="112">
        <f>AH10*POWER(1+Inputs!C24,1/12)</f>
        <v>1151260522.760098</v>
      </c>
      <c r="AJ10" s="112">
        <f>AI10*POWER(1+Inputs!C24,1/12)</f>
        <v>1160440835.8388402</v>
      </c>
      <c r="AK10" s="112">
        <f>AJ10*POWER(1+Inputs!C24,1/12)</f>
        <v>1169694354.0232537</v>
      </c>
      <c r="AL10" s="112">
        <f>AK10*POWER(1+Inputs!C24,1/12)</f>
        <v>1179021661.061131</v>
      </c>
      <c r="AM10" s="113">
        <f>AL10*POWER(1+Inputs!C24,1/12)</f>
        <v>1188423345.3551519</v>
      </c>
    </row>
    <row r="11" spans="1:39">
      <c r="A11" s="26" t="s">
        <v>397</v>
      </c>
      <c r="B11" t="s">
        <v>398</v>
      </c>
      <c r="C11" s="27" t="s">
        <v>399</v>
      </c>
      <c r="D11" s="87">
        <f>D6*Inputs!C25*Inputs!C26*(1+Inputs!C27)</f>
        <v>16042.499999999998</v>
      </c>
      <c r="E11" s="88">
        <f>E6*Inputs!C25*Inputs!C26*(1+Inputs!C27)</f>
        <v>16042.499999999998</v>
      </c>
      <c r="F11" s="88">
        <f>F6*Inputs!C25*Inputs!C26*(1+Inputs!C27)</f>
        <v>15524.999999999998</v>
      </c>
      <c r="G11" s="88">
        <f>G6*Inputs!C25*Inputs!C26*(1+Inputs!C27)</f>
        <v>16042.499999999998</v>
      </c>
      <c r="H11" s="88">
        <f>H6*Inputs!C25*Inputs!C26*(1+Inputs!C27)</f>
        <v>15524.999999999998</v>
      </c>
      <c r="I11" s="88">
        <f>I6*Inputs!C25*Inputs!C26*(1+Inputs!C27)</f>
        <v>16042.499999999998</v>
      </c>
      <c r="J11" s="88">
        <f>J6*Inputs!C25*Inputs!C26*(1+Inputs!C27)</f>
        <v>16042.499999999998</v>
      </c>
      <c r="K11" s="88">
        <f>K6*Inputs!C25*Inputs!C26*(1+Inputs!C27)</f>
        <v>14489.999999999998</v>
      </c>
      <c r="L11" s="88">
        <f>L6*Inputs!C25*Inputs!C26*(1+Inputs!C27)</f>
        <v>16042.499999999998</v>
      </c>
      <c r="M11" s="88">
        <f>M6*Inputs!C25*Inputs!C26*(1+Inputs!C27)</f>
        <v>15524.999999999998</v>
      </c>
      <c r="N11" s="88">
        <f>N6*Inputs!C25*Inputs!C26*(1+Inputs!C27)</f>
        <v>16042.499999999998</v>
      </c>
      <c r="O11" s="88">
        <f>O6*Inputs!C25*Inputs!C26*(1+Inputs!C27)</f>
        <v>15524.999999999998</v>
      </c>
      <c r="P11" s="88">
        <f>P6*Inputs!C25*Inputs!C26*(1+Inputs!C27)</f>
        <v>16042.499999999998</v>
      </c>
      <c r="Q11" s="88">
        <f>Q6*Inputs!C25*Inputs!C26*(1+Inputs!C27)</f>
        <v>16042.499999999998</v>
      </c>
      <c r="R11" s="88">
        <f>R6*Inputs!C25*Inputs!C26*(1+Inputs!C27)</f>
        <v>15524.999999999998</v>
      </c>
      <c r="S11" s="88">
        <f>S6*Inputs!C25*Inputs!C26*(1+Inputs!C27)</f>
        <v>16042.499999999998</v>
      </c>
      <c r="T11" s="88">
        <f>T6*Inputs!C25*Inputs!C26*(1+Inputs!C27)</f>
        <v>15524.999999999998</v>
      </c>
      <c r="U11" s="88">
        <f>U6*Inputs!C25*Inputs!C26*(1+Inputs!C27)</f>
        <v>16042.499999999998</v>
      </c>
      <c r="V11" s="88">
        <f>V6*Inputs!C25*Inputs!C26*(1+Inputs!C27)</f>
        <v>16042.499999999998</v>
      </c>
      <c r="W11" s="88">
        <f>W6*Inputs!C25*Inputs!C26*(1+Inputs!C27)</f>
        <v>15007.499999999998</v>
      </c>
      <c r="X11" s="88">
        <f>X6*Inputs!C25*Inputs!C26*(1+Inputs!C27)</f>
        <v>16042.499999999998</v>
      </c>
      <c r="Y11" s="88">
        <f>Y6*Inputs!C25*Inputs!C26*(1+Inputs!C27)</f>
        <v>15524.999999999998</v>
      </c>
      <c r="Z11" s="88">
        <f>Z6*Inputs!C25*Inputs!C26*(1+Inputs!C27)</f>
        <v>16042.499999999998</v>
      </c>
      <c r="AA11" s="88">
        <f>AA6*Inputs!C25*Inputs!C26*(1+Inputs!C27)</f>
        <v>15524.999999999998</v>
      </c>
      <c r="AB11" s="88">
        <f>AB6*Inputs!C25*Inputs!C26*(1+Inputs!C27)</f>
        <v>16042.499999999998</v>
      </c>
      <c r="AC11" s="88">
        <f>AC6*Inputs!C25*Inputs!C26*(1+Inputs!C27)</f>
        <v>16042.499999999998</v>
      </c>
      <c r="AD11" s="88">
        <f>AD6*Inputs!C25*Inputs!C26*(1+Inputs!C27)</f>
        <v>15524.999999999998</v>
      </c>
      <c r="AE11" s="88">
        <f>AE6*Inputs!C25*Inputs!C26*(1+Inputs!C27)</f>
        <v>16042.499999999998</v>
      </c>
      <c r="AF11" s="88">
        <f>AF6*Inputs!C25*Inputs!C26*(1+Inputs!C27)</f>
        <v>15524.999999999998</v>
      </c>
      <c r="AG11" s="88">
        <f>AG6*Inputs!C25*Inputs!C26*(1+Inputs!C27)</f>
        <v>16042.499999999998</v>
      </c>
      <c r="AH11" s="88">
        <f>AH6*Inputs!C25*Inputs!C26*(1+Inputs!C27)</f>
        <v>16042.499999999998</v>
      </c>
      <c r="AI11" s="88">
        <f>AI6*Inputs!C25*Inputs!C26*(1+Inputs!C27)</f>
        <v>14489.999999999998</v>
      </c>
      <c r="AJ11" s="88">
        <f>AJ6*Inputs!C25*Inputs!C26*(1+Inputs!C27)</f>
        <v>16042.499999999998</v>
      </c>
      <c r="AK11" s="88">
        <f>AK6*Inputs!C25*Inputs!C26*(1+Inputs!C27)</f>
        <v>15524.999999999998</v>
      </c>
      <c r="AL11" s="88">
        <f>AL6*Inputs!C25*Inputs!C26*(1+Inputs!C27)</f>
        <v>16042.499999999998</v>
      </c>
      <c r="AM11" s="89">
        <f>AM6*Inputs!C25*Inputs!C26*(1+Inputs!C27)</f>
        <v>15524.999999999998</v>
      </c>
    </row>
    <row r="12" spans="1:39">
      <c r="A12" s="26"/>
      <c r="C12" s="27"/>
      <c r="D12" s="81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3"/>
    </row>
    <row r="13" spans="1:39">
      <c r="A13" s="26"/>
      <c r="C13" s="27"/>
      <c r="D13" s="81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3"/>
    </row>
    <row r="14" spans="1:39">
      <c r="A14" s="34" t="s">
        <v>400</v>
      </c>
      <c r="B14" s="35" t="s">
        <v>398</v>
      </c>
      <c r="C14" s="36" t="s">
        <v>401</v>
      </c>
      <c r="D14" s="114">
        <f>IF(Deployment_36M!D18=0,0,(Deployment_36M!D18*(1-Inputs!C11)*1000000/Inputs!C40*Inputs!C38*Inputs!C10*Inputs!C12/24/D10*D11) )</f>
        <v>0</v>
      </c>
      <c r="E14" s="115">
        <f>IF(Deployment_36M!E18=0,0,(Deployment_36M!E18*(1-Inputs!C11)*1000000/Inputs!C40*Inputs!C38*Inputs!C10*Inputs!C12/24/E10*E11) )</f>
        <v>0</v>
      </c>
      <c r="F14" s="115">
        <f>IF(Deployment_36M!F18=0,0,(Deployment_36M!F18*(1-Inputs!C11)*1000000/Inputs!C40*Inputs!C38*Inputs!C10*Inputs!C12/24/F10*F11) )</f>
        <v>2.8978869178491697</v>
      </c>
      <c r="G14" s="115">
        <f>IF(Deployment_36M!G18=0,0,(Deployment_36M!G18*(1-Inputs!C11)*1000000/Inputs!C40*Inputs!C38*Inputs!C10*Inputs!C12/24/G10*G11) )</f>
        <v>8.9123808687293025</v>
      </c>
      <c r="H14" s="115">
        <f>IF(Deployment_36M!H18=0,0,(Deployment_36M!H18*(1-Inputs!C11)*1000000/Inputs!C40*Inputs!C38*Inputs!C10*Inputs!C12/24/H10*H11) )</f>
        <v>14.261087934927142</v>
      </c>
      <c r="I14" s="115">
        <f>IF(Deployment_36M!I18=0,0,(Deployment_36M!I18*(1-Inputs!C11)*1000000/Inputs!C40*Inputs!C38*Inputs!C10*Inputs!C12/24/I10*I11) )</f>
        <v>17.543851900590461</v>
      </c>
      <c r="J14" s="115">
        <f>IF(Deployment_36M!J18=0,0,(Deployment_36M!J18*(1-Inputs!C11)*1000000/Inputs!C40*Inputs!C38*Inputs!C10*Inputs!C12/24/J10*J11) )</f>
        <v>17.405061496047274</v>
      </c>
      <c r="K14" s="115">
        <f>IF(Deployment_36M!K18=0,0,(Deployment_36M!K18*(1-Inputs!C11)*1000000/Inputs!C40*Inputs!C38*Inputs!C10*Inputs!C12/24/K10*K11) )</f>
        <v>15.596333353768273</v>
      </c>
      <c r="L14" s="115">
        <f>IF(Deployment_36M!L18=0,0,(Deployment_36M!L18*(1-Inputs!C11)*1000000/Inputs!C40*Inputs!C38*Inputs!C10*Inputs!C12/24/L10*L11) )</f>
        <v>17.130765937007066</v>
      </c>
      <c r="M14" s="115">
        <f>IF(Deployment_36M!M18=0,0,(Deployment_36M!M18*(1-Inputs!C11)*1000000/Inputs!C40*Inputs!C38*Inputs!C10*Inputs!C12/24/M10*M11) )</f>
        <v>16.447009818273909</v>
      </c>
      <c r="N14" s="115">
        <f>IF(Deployment_36M!N18=0,0,(Deployment_36M!N18*(1-Inputs!C11)*1000000/Inputs!C40*Inputs!C38*Inputs!C10*Inputs!C12/24/N10*N11) )</f>
        <v>16.86079314658944</v>
      </c>
      <c r="O14" s="115">
        <f>IF(Deployment_36M!O18=0,0,(Deployment_36M!O18*(1-Inputs!C11)*1000000/Inputs!C40*Inputs!C38*Inputs!C10*Inputs!C12/24/O10*O11) )</f>
        <v>16.187812701753082</v>
      </c>
      <c r="P14" s="115">
        <f>IF(Deployment_36M!P18=0,0,(Deployment_36M!P18*(1-Inputs!C11)*1000000/Inputs!C40*Inputs!C38*Inputs!C10*Inputs!C12/24/P10*P11) )</f>
        <v>16.595074999999994</v>
      </c>
      <c r="Q14" s="115">
        <f>IF(Deployment_36M!Q18=0,0,(Deployment_36M!Q18*(1-Inputs!C11)*1000000/Inputs!C40*Inputs!C38*Inputs!C10*Inputs!C12/24/Q10*Q11) )</f>
        <v>16.463790423173563</v>
      </c>
      <c r="R14" s="115">
        <f>IF(Deployment_36M!R18=0,0,(Deployment_36M!R18*(1-Inputs!C11)*1000000/Inputs!C40*Inputs!C38*Inputs!C10*Inputs!C12/24/R10*R11) )</f>
        <v>15.806655915540917</v>
      </c>
      <c r="S14" s="115">
        <f>IF(Deployment_36M!S18=0,0,(Deployment_36M!S18*(1-Inputs!C11)*1000000/Inputs!C40*Inputs!C38*Inputs!C10*Inputs!C12/24/S10*S11) )</f>
        <v>16.20432885223509</v>
      </c>
      <c r="T14" s="115">
        <f>IF(Deployment_36M!T18=0,0,(Deployment_36M!T18*(1-Inputs!C11)*1000000/Inputs!C40*Inputs!C38*Inputs!C10*Inputs!C12/24/T10*T11) )</f>
        <v>15.557550474465971</v>
      </c>
      <c r="U14" s="115">
        <f>IF(Deployment_36M!U18=0,0,(Deployment_36M!U18*(1-Inputs!C11)*1000000/Inputs!C40*Inputs!C38*Inputs!C10*Inputs!C12/24/U10*U11) )</f>
        <v>15.948956273264047</v>
      </c>
      <c r="V14" s="115">
        <f>IF(Deployment_36M!V18=0,0,(Deployment_36M!V18*(1-Inputs!C11)*1000000/Inputs!C40*Inputs!C38*Inputs!C10*Inputs!C12/24/V10*V11) )</f>
        <v>15.822783178224789</v>
      </c>
      <c r="W14" s="115">
        <f>IF(Deployment_36M!W18=0,0,(Deployment_36M!W18*(1-Inputs!C11)*1000000/Inputs!C40*Inputs!C38*Inputs!C10*Inputs!C12/24/W10*W11) )</f>
        <v>14.684859326599989</v>
      </c>
      <c r="X14" s="115">
        <f>IF(Deployment_36M!X18=0,0,(Deployment_36M!X18*(1-Inputs!C11)*1000000/Inputs!C40*Inputs!C38*Inputs!C10*Inputs!C12/24/X10*X11) )</f>
        <v>15.573423579097327</v>
      </c>
      <c r="Y14" s="115">
        <f>IF(Deployment_36M!Y18=0,0,(Deployment_36M!Y18*(1-Inputs!C11)*1000000/Inputs!C40*Inputs!C38*Inputs!C10*Inputs!C12/24/Y10*Y11) )</f>
        <v>14.951827107521733</v>
      </c>
      <c r="Z14" s="115">
        <f>IF(Deployment_36M!Z18=0,0,(Deployment_36M!Z18*(1-Inputs!C11)*1000000/Inputs!C40*Inputs!C38*Inputs!C10*Inputs!C12/24/Z10*Z11) )</f>
        <v>15.327993769626758</v>
      </c>
      <c r="AA14" s="115">
        <f>IF(Deployment_36M!AA18=0,0,(Deployment_36M!AA18*(1-Inputs!C11)*1000000/Inputs!C40*Inputs!C38*Inputs!C10*Inputs!C12/24/AA10*AA11) )</f>
        <v>14.716193365230069</v>
      </c>
      <c r="AB14" s="115">
        <f>IF(Deployment_36M!AB18=0,0,(Deployment_36M!AB18*(1-Inputs!C11)*1000000/Inputs!C40*Inputs!C38*Inputs!C10*Inputs!C12/24/AB10*AB11) )</f>
        <v>15.086431818181806</v>
      </c>
      <c r="AC14" s="115">
        <f>IF(Deployment_36M!AC18=0,0,(Deployment_36M!AC18*(1-Inputs!C11)*1000000/Inputs!C40*Inputs!C38*Inputs!C10*Inputs!C12/24/AC10*AC11) )</f>
        <v>14.967082202885056</v>
      </c>
      <c r="AD14" s="115">
        <f>IF(Deployment_36M!AD18=0,0,(Deployment_36M!AD18*(1-Inputs!C11)*1000000/Inputs!C40*Inputs!C38*Inputs!C10*Inputs!C12/24/AD10*AD11) )</f>
        <v>14.369687195946288</v>
      </c>
      <c r="AE14" s="115">
        <f>IF(Deployment_36M!AE18=0,0,(Deployment_36M!AE18*(1-Inputs!C11)*1000000/Inputs!C40*Inputs!C38*Inputs!C10*Inputs!C12/24/AE10*AE11) )</f>
        <v>14.731208047486442</v>
      </c>
      <c r="AF14" s="115">
        <f>IF(Deployment_36M!AF18=0,0,(Deployment_36M!AF18*(1-Inputs!C11)*1000000/Inputs!C40*Inputs!C38*Inputs!C10*Inputs!C12/24/AF10*AF11) )</f>
        <v>14.143227704059969</v>
      </c>
      <c r="AG14" s="115">
        <f>IF(Deployment_36M!AG18=0,0,(Deployment_36M!AG18*(1-Inputs!C11)*1000000/Inputs!C40*Inputs!C38*Inputs!C10*Inputs!C12/24/AG10*AG11) )</f>
        <v>14.499051157512767</v>
      </c>
      <c r="AH14" s="115">
        <f>IF(Deployment_36M!AH18=0,0,(Deployment_36M!AH18*(1-Inputs!C11)*1000000/Inputs!C40*Inputs!C38*Inputs!C10*Inputs!C12/24/AH10*AH11) )</f>
        <v>14.384348343840712</v>
      </c>
      <c r="AI14" s="115">
        <f>IF(Deployment_36M!AI18=0,0,(Deployment_36M!AI18*(1-Inputs!C11)*1000000/Inputs!C40*Inputs!C38*Inputs!C10*Inputs!C12/24/AI10*AI11) )</f>
        <v>12.88953169732914</v>
      </c>
      <c r="AJ14" s="115">
        <f>IF(Deployment_36M!AJ18=0,0,(Deployment_36M!AJ18*(1-Inputs!C11)*1000000/Inputs!C40*Inputs!C38*Inputs!C10*Inputs!C12/24/AJ10*AJ11) )</f>
        <v>14.157657799179383</v>
      </c>
      <c r="AK14" s="115">
        <f>IF(Deployment_36M!AK18=0,0,(Deployment_36M!AK18*(1-Inputs!C11)*1000000/Inputs!C40*Inputs!C38*Inputs!C10*Inputs!C12/24/AK10*AK11) )</f>
        <v>13.592570097747021</v>
      </c>
      <c r="AL14" s="115">
        <f>IF(Deployment_36M!AL18=0,0,(Deployment_36M!AL18*(1-Inputs!C11)*1000000/Inputs!C40*Inputs!C38*Inputs!C10*Inputs!C12/24/AL10*AL11) )</f>
        <v>13.934539790569774</v>
      </c>
      <c r="AM14" s="116">
        <f>IF(Deployment_36M!AM18=0,0,(Deployment_36M!AM18*(1-Inputs!C11)*1000000/Inputs!C40*Inputs!C38*Inputs!C10*Inputs!C12/24/AM10*AM11) )</f>
        <v>13.3783576047546</v>
      </c>
    </row>
    <row r="15" spans="1:39">
      <c r="A15" s="34" t="s">
        <v>402</v>
      </c>
      <c r="B15" s="35" t="s">
        <v>398</v>
      </c>
      <c r="C15" s="36" t="s">
        <v>403</v>
      </c>
      <c r="D15" s="114">
        <f>IF(Deployment_36M!D19=0,0,(Deployment_36M!D19*(1-Inputs!C11)*1000000/Inputs!C40*Inputs!C38*Inputs!C10*(Inputs!C13+Inputs!C14)/24/D10*D11) )</f>
        <v>0</v>
      </c>
      <c r="E15" s="115">
        <f>IF(Deployment_36M!E19=0,0,(Deployment_36M!E19*(1-Inputs!C11)*1000000/Inputs!C40*Inputs!C38*Inputs!C10*(Inputs!C13+Inputs!C14)/24/E10*E11) )</f>
        <v>0</v>
      </c>
      <c r="F15" s="115">
        <f>IF(Deployment_36M!F19=0,0,(Deployment_36M!F19*(1-Inputs!C11)*1000000/Inputs!C40*Inputs!C38*Inputs!C10*(Inputs!C13+Inputs!C14)/24/F10*F11) )</f>
        <v>0</v>
      </c>
      <c r="G15" s="115">
        <f>IF(Deployment_36M!G19=0,0,(Deployment_36M!G19*(1-Inputs!C11)*1000000/Inputs!C40*Inputs!C38*Inputs!C10*(Inputs!C13+Inputs!C14)/24/G10*G11) )</f>
        <v>0</v>
      </c>
      <c r="H15" s="115">
        <f>IF(Deployment_36M!H19=0,0,(Deployment_36M!H19*(1-Inputs!C11)*1000000/Inputs!C40*Inputs!C38*Inputs!C10*(Inputs!C13+Inputs!C14)/24/H10*H11) )</f>
        <v>0</v>
      </c>
      <c r="I15" s="115">
        <f>IF(Deployment_36M!I19=0,0,(Deployment_36M!I19*(1-Inputs!C11)*1000000/Inputs!C40*Inputs!C38*Inputs!C10*(Inputs!C13+Inputs!C14)/24/I10*I11) )</f>
        <v>2.7910673478212096</v>
      </c>
      <c r="J15" s="115">
        <f>IF(Deployment_36M!J19=0,0,(Deployment_36M!J19*(1-Inputs!C11)*1000000/Inputs!C40*Inputs!C38*Inputs!C10*(Inputs!C13+Inputs!C14)/24/J10*J11) )</f>
        <v>5.5379741123786781</v>
      </c>
      <c r="K15" s="115">
        <f>IF(Deployment_36M!K19=0,0,(Deployment_36M!K19*(1-Inputs!C11)*1000000/Inputs!C40*Inputs!C38*Inputs!C10*(Inputs!C13+Inputs!C14)/24/K10*K11) )</f>
        <v>4.9624697034717231</v>
      </c>
      <c r="L15" s="115">
        <f>IF(Deployment_36M!L19=0,0,(Deployment_36M!L19*(1-Inputs!C11)*1000000/Inputs!C40*Inputs!C38*Inputs!C10*(Inputs!C13+Inputs!C14)/24/L10*L11) )</f>
        <v>5.4506982526840666</v>
      </c>
      <c r="M15" s="115">
        <f>IF(Deployment_36M!M19=0,0,(Deployment_36M!M19*(1-Inputs!C11)*1000000/Inputs!C40*Inputs!C38*Inputs!C10*(Inputs!C13+Inputs!C14)/24/M10*M11) )</f>
        <v>5.2331394876326085</v>
      </c>
      <c r="N15" s="115">
        <f>IF(Deployment_36M!N19=0,0,(Deployment_36M!N19*(1-Inputs!C11)*1000000/Inputs!C40*Inputs!C38*Inputs!C10*(Inputs!C13+Inputs!C14)/24/N10*N11) )</f>
        <v>5.3647978193693664</v>
      </c>
      <c r="O15" s="115">
        <f>IF(Deployment_36M!O19=0,0,(Deployment_36M!O19*(1-Inputs!C11)*1000000/Inputs!C40*Inputs!C38*Inputs!C10*(Inputs!C13+Inputs!C14)/24/O10*O11) )</f>
        <v>5.1506676778305245</v>
      </c>
      <c r="P15" s="115">
        <f>IF(Deployment_36M!P19=0,0,(Deployment_36M!P19*(1-Inputs!C11)*1000000/Inputs!C40*Inputs!C38*Inputs!C10*(Inputs!C13+Inputs!C14)/24/P10*P11) )</f>
        <v>5.280251136363634</v>
      </c>
      <c r="Q15" s="115">
        <f>IF(Deployment_36M!Q19=0,0,(Deployment_36M!Q19*(1-Inputs!C11)*1000000/Inputs!C40*Inputs!C38*Inputs!C10*(Inputs!C13+Inputs!C14)/24/Q10*Q11) )</f>
        <v>5.2384787710097713</v>
      </c>
      <c r="R15" s="115">
        <f>IF(Deployment_36M!R19=0,0,(Deployment_36M!R19*(1-Inputs!C11)*1000000/Inputs!C40*Inputs!C38*Inputs!C10*(Inputs!C13+Inputs!C14)/24/R10*R11) )</f>
        <v>5.0293905185812013</v>
      </c>
      <c r="S15" s="115">
        <f>IF(Deployment_36M!S19=0,0,(Deployment_36M!S19*(1-Inputs!C11)*1000000/Inputs!C40*Inputs!C38*Inputs!C10*(Inputs!C13+Inputs!C14)/24/S10*S11) )</f>
        <v>5.1559228166202562</v>
      </c>
      <c r="T15" s="115">
        <f>IF(Deployment_36M!T19=0,0,(Deployment_36M!T19*(1-Inputs!C11)*1000000/Inputs!C40*Inputs!C38*Inputs!C10*(Inputs!C13+Inputs!C14)/24/T10*T11) )</f>
        <v>4.9501296964209907</v>
      </c>
      <c r="U15" s="115">
        <f>IF(Deployment_36M!U19=0,0,(Deployment_36M!U19*(1-Inputs!C11)*1000000/Inputs!C40*Inputs!C38*Inputs!C10*(Inputs!C13+Inputs!C14)/24/U10*U11) )</f>
        <v>5.0746679051294699</v>
      </c>
      <c r="V15" s="115">
        <f>IF(Deployment_36M!V19=0,0,(Deployment_36M!V19*(1-Inputs!C11)*1000000/Inputs!C40*Inputs!C38*Inputs!C10*(Inputs!C13+Inputs!C14)/24/V10*V11) )</f>
        <v>5.0345219203442513</v>
      </c>
      <c r="W15" s="115">
        <f>IF(Deployment_36M!W19=0,0,(Deployment_36M!W19*(1-Inputs!C11)*1000000/Inputs!C40*Inputs!C38*Inputs!C10*(Inputs!C13+Inputs!C14)/24/W10*W11) )</f>
        <v>4.6724552402818151</v>
      </c>
      <c r="X15" s="115">
        <f>IF(Deployment_36M!X19=0,0,(Deployment_36M!X19*(1-Inputs!C11)*1000000/Inputs!C40*Inputs!C38*Inputs!C10*(Inputs!C13+Inputs!C14)/24/X10*X11) )</f>
        <v>4.955180229712786</v>
      </c>
      <c r="Y15" s="115">
        <f>IF(Deployment_36M!Y19=0,0,(Deployment_36M!Y19*(1-Inputs!C11)*1000000/Inputs!C40*Inputs!C38*Inputs!C10*(Inputs!C13+Inputs!C14)/24/Y10*Y11) )</f>
        <v>4.7573995342114603</v>
      </c>
      <c r="Z15" s="115">
        <f>IF(Deployment_36M!Z19=0,0,(Deployment_36M!Z19*(1-Inputs!C11)*1000000/Inputs!C40*Inputs!C38*Inputs!C10*(Inputs!C13+Inputs!C14)/24/Z10*Z11) )</f>
        <v>4.8770889266994235</v>
      </c>
      <c r="AA15" s="115">
        <f>IF(Deployment_36M!AA19=0,0,(Deployment_36M!AA19*(1-Inputs!C11)*1000000/Inputs!C40*Inputs!C38*Inputs!C10*(Inputs!C13+Inputs!C14)/24/AA10*AA11) )</f>
        <v>4.6824251616641126</v>
      </c>
      <c r="AB15" s="115">
        <f>IF(Deployment_36M!AB19=0,0,(Deployment_36M!AB19*(1-Inputs!C11)*1000000/Inputs!C40*Inputs!C38*Inputs!C10*(Inputs!C13+Inputs!C14)/24/AB10*AB11) )</f>
        <v>4.8002283057851205</v>
      </c>
      <c r="AC15" s="115">
        <f>IF(Deployment_36M!AC19=0,0,(Deployment_36M!AC19*(1-Inputs!C11)*1000000/Inputs!C40*Inputs!C38*Inputs!C10*(Inputs!C13+Inputs!C14)/24/AC10*AC11) )</f>
        <v>4.7622534281907001</v>
      </c>
      <c r="AD15" s="115">
        <f>IF(Deployment_36M!AD19=0,0,(Deployment_36M!AD19*(1-Inputs!C11)*1000000/Inputs!C40*Inputs!C38*Inputs!C10*(Inputs!C13+Inputs!C14)/24/AD10*AD11) )</f>
        <v>4.5721731987101828</v>
      </c>
      <c r="AE15" s="115">
        <f>IF(Deployment_36M!AE19=0,0,(Deployment_36M!AE19*(1-Inputs!C11)*1000000/Inputs!C40*Inputs!C38*Inputs!C10*(Inputs!C13+Inputs!C14)/24/AE10*AE11) )</f>
        <v>4.6872025605638674</v>
      </c>
      <c r="AF15" s="115">
        <f>IF(Deployment_36M!AF19=0,0,(Deployment_36M!AF19*(1-Inputs!C11)*1000000/Inputs!C40*Inputs!C38*Inputs!C10*(Inputs!C13+Inputs!C14)/24/AF10*AF11) )</f>
        <v>4.5001179058372625</v>
      </c>
      <c r="AG15" s="115">
        <f>IF(Deployment_36M!AG19=0,0,(Deployment_36M!AG19*(1-Inputs!C11)*1000000/Inputs!C40*Inputs!C38*Inputs!C10*(Inputs!C13+Inputs!C14)/24/AG10*AG11) )</f>
        <v>4.6133344592086081</v>
      </c>
      <c r="AH15" s="115">
        <f>IF(Deployment_36M!AH19=0,0,(Deployment_36M!AH19*(1-Inputs!C11)*1000000/Inputs!C40*Inputs!C38*Inputs!C10*(Inputs!C13+Inputs!C14)/24/AH10*AH11) )</f>
        <v>4.5768381094038633</v>
      </c>
      <c r="AI15" s="115">
        <f>IF(Deployment_36M!AI19=0,0,(Deployment_36M!AI19*(1-Inputs!C11)*1000000/Inputs!C40*Inputs!C38*Inputs!C10*(Inputs!C13+Inputs!C14)/24/AI10*AI11) )</f>
        <v>4.1012146309683626</v>
      </c>
      <c r="AJ15" s="115">
        <f>IF(Deployment_36M!AJ19=0,0,(Deployment_36M!AJ19*(1-Inputs!C11)*1000000/Inputs!C40*Inputs!C38*Inputs!C10*(Inputs!C13+Inputs!C14)/24/AJ10*AJ11) )</f>
        <v>4.5047092997388951</v>
      </c>
      <c r="AK15" s="115">
        <f>IF(Deployment_36M!AK19=0,0,(Deployment_36M!AK19*(1-Inputs!C11)*1000000/Inputs!C40*Inputs!C38*Inputs!C10*(Inputs!C13+Inputs!C14)/24/AK10*AK11) )</f>
        <v>4.3249086674649613</v>
      </c>
      <c r="AL15" s="115">
        <f>IF(Deployment_36M!AL19=0,0,(Deployment_36M!AL19*(1-Inputs!C11)*1000000/Inputs!C40*Inputs!C38*Inputs!C10*(Inputs!C13+Inputs!C14)/24/AL10*AL11) )</f>
        <v>4.4337172060903818</v>
      </c>
      <c r="AM15" s="116">
        <f>IF(Deployment_36M!AM19=0,0,(Deployment_36M!AM19*(1-Inputs!C11)*1000000/Inputs!C40*Inputs!C38*Inputs!C10*(Inputs!C13+Inputs!C14)/24/AM10*AM11) )</f>
        <v>4.2567501469673727</v>
      </c>
    </row>
    <row r="16" spans="1:39">
      <c r="A16" s="34" t="s">
        <v>404</v>
      </c>
      <c r="B16" s="35" t="s">
        <v>398</v>
      </c>
      <c r="C16" s="36" t="s">
        <v>405</v>
      </c>
      <c r="D16" s="114">
        <f t="shared" ref="D16:AM16" si="0">D14+D15</f>
        <v>0</v>
      </c>
      <c r="E16" s="115">
        <f t="shared" si="0"/>
        <v>0</v>
      </c>
      <c r="F16" s="115">
        <f t="shared" si="0"/>
        <v>2.8978869178491697</v>
      </c>
      <c r="G16" s="115">
        <f t="shared" si="0"/>
        <v>8.9123808687293025</v>
      </c>
      <c r="H16" s="115">
        <f t="shared" si="0"/>
        <v>14.261087934927142</v>
      </c>
      <c r="I16" s="115">
        <f t="shared" si="0"/>
        <v>20.334919248411669</v>
      </c>
      <c r="J16" s="115">
        <f t="shared" si="0"/>
        <v>22.943035608425951</v>
      </c>
      <c r="K16" s="115">
        <f t="shared" si="0"/>
        <v>20.558803057239995</v>
      </c>
      <c r="L16" s="115">
        <f t="shared" si="0"/>
        <v>22.581464189691133</v>
      </c>
      <c r="M16" s="115">
        <f t="shared" si="0"/>
        <v>21.680149305906518</v>
      </c>
      <c r="N16" s="115">
        <f t="shared" si="0"/>
        <v>22.225590965958808</v>
      </c>
      <c r="O16" s="115">
        <f t="shared" si="0"/>
        <v>21.338480379583608</v>
      </c>
      <c r="P16" s="115">
        <f t="shared" si="0"/>
        <v>21.875326136363629</v>
      </c>
      <c r="Q16" s="115">
        <f t="shared" si="0"/>
        <v>21.702269194183334</v>
      </c>
      <c r="R16" s="115">
        <f t="shared" si="0"/>
        <v>20.836046434122117</v>
      </c>
      <c r="S16" s="115">
        <f t="shared" si="0"/>
        <v>21.360251668855348</v>
      </c>
      <c r="T16" s="115">
        <f t="shared" si="0"/>
        <v>20.507680170886964</v>
      </c>
      <c r="U16" s="115">
        <f t="shared" si="0"/>
        <v>21.023624178393518</v>
      </c>
      <c r="V16" s="115">
        <f t="shared" si="0"/>
        <v>20.857305098569039</v>
      </c>
      <c r="W16" s="115">
        <f t="shared" si="0"/>
        <v>19.357314566881804</v>
      </c>
      <c r="X16" s="115">
        <f t="shared" si="0"/>
        <v>20.528603808810111</v>
      </c>
      <c r="Y16" s="115">
        <f t="shared" si="0"/>
        <v>19.709226641733196</v>
      </c>
      <c r="Z16" s="115">
        <f t="shared" si="0"/>
        <v>20.20508269632618</v>
      </c>
      <c r="AA16" s="115">
        <f t="shared" si="0"/>
        <v>19.398618526894182</v>
      </c>
      <c r="AB16" s="115">
        <f t="shared" si="0"/>
        <v>19.886660123966927</v>
      </c>
      <c r="AC16" s="115">
        <f t="shared" si="0"/>
        <v>19.729335631075756</v>
      </c>
      <c r="AD16" s="115">
        <f t="shared" si="0"/>
        <v>18.941860394656469</v>
      </c>
      <c r="AE16" s="115">
        <f t="shared" si="0"/>
        <v>19.418410608050308</v>
      </c>
      <c r="AF16" s="115">
        <f t="shared" si="0"/>
        <v>18.643345609897231</v>
      </c>
      <c r="AG16" s="115">
        <f t="shared" si="0"/>
        <v>19.112385616721376</v>
      </c>
      <c r="AH16" s="115">
        <f t="shared" si="0"/>
        <v>18.961186453244576</v>
      </c>
      <c r="AI16" s="115">
        <f t="shared" si="0"/>
        <v>16.990746328297504</v>
      </c>
      <c r="AJ16" s="115">
        <f t="shared" si="0"/>
        <v>18.662367098918278</v>
      </c>
      <c r="AK16" s="115">
        <f t="shared" si="0"/>
        <v>17.917478765211982</v>
      </c>
      <c r="AL16" s="115">
        <f t="shared" si="0"/>
        <v>18.368256996660158</v>
      </c>
      <c r="AM16" s="116">
        <f t="shared" si="0"/>
        <v>17.635107751721971</v>
      </c>
    </row>
    <row r="17" spans="1:39">
      <c r="A17" s="34" t="s">
        <v>406</v>
      </c>
      <c r="B17" s="35" t="s">
        <v>221</v>
      </c>
      <c r="C17" s="36" t="s">
        <v>407</v>
      </c>
      <c r="D17" s="117">
        <f t="shared" ref="D17:AM17" si="1">D16*D9/1000</f>
        <v>0</v>
      </c>
      <c r="E17" s="118">
        <f t="shared" si="1"/>
        <v>0</v>
      </c>
      <c r="F17" s="118">
        <f t="shared" si="1"/>
        <v>3781.8815791810557</v>
      </c>
      <c r="G17" s="118">
        <f t="shared" si="1"/>
        <v>11767.342184757625</v>
      </c>
      <c r="H17" s="118">
        <f t="shared" si="1"/>
        <v>19050.020879013879</v>
      </c>
      <c r="I17" s="118">
        <f t="shared" si="1"/>
        <v>27481.687933887388</v>
      </c>
      <c r="J17" s="118">
        <f t="shared" si="1"/>
        <v>31369.672458787514</v>
      </c>
      <c r="K17" s="118">
        <f t="shared" si="1"/>
        <v>28439.049984099802</v>
      </c>
      <c r="L17" s="118">
        <f t="shared" si="1"/>
        <v>31602.94169957242</v>
      </c>
      <c r="M17" s="118">
        <f t="shared" si="1"/>
        <v>30696.992902693259</v>
      </c>
      <c r="N17" s="118">
        <f t="shared" si="1"/>
        <v>31837.945562826459</v>
      </c>
      <c r="O17" s="118">
        <f t="shared" si="1"/>
        <v>30925.260004882435</v>
      </c>
      <c r="P17" s="118">
        <f t="shared" si="1"/>
        <v>32074.696947443204</v>
      </c>
      <c r="Q17" s="118">
        <f t="shared" si="1"/>
        <v>32193.732017374932</v>
      </c>
      <c r="R17" s="118">
        <f t="shared" si="1"/>
        <v>31270.847272484698</v>
      </c>
      <c r="S17" s="118">
        <f t="shared" si="1"/>
        <v>32433.129079476617</v>
      </c>
      <c r="T17" s="118">
        <f t="shared" si="1"/>
        <v>31503.38163546018</v>
      </c>
      <c r="U17" s="118">
        <f t="shared" si="1"/>
        <v>32674.306331377731</v>
      </c>
      <c r="V17" s="118">
        <f t="shared" si="1"/>
        <v>32795.566661459699</v>
      </c>
      <c r="W17" s="118">
        <f t="shared" si="1"/>
        <v>30793.581719796399</v>
      </c>
      <c r="X17" s="118">
        <f t="shared" si="1"/>
        <v>33039.43904955301</v>
      </c>
      <c r="Y17" s="118">
        <f t="shared" si="1"/>
        <v>32092.310761906625</v>
      </c>
      <c r="Z17" s="118">
        <f t="shared" si="1"/>
        <v>33285.124906591329</v>
      </c>
      <c r="AA17" s="118">
        <f t="shared" si="1"/>
        <v>32330.953641468026</v>
      </c>
      <c r="AB17" s="118">
        <f t="shared" si="1"/>
        <v>33532.637717781552</v>
      </c>
      <c r="AC17" s="118">
        <f t="shared" si="1"/>
        <v>33657.083472710183</v>
      </c>
      <c r="AD17" s="118">
        <f t="shared" si="1"/>
        <v>32692.249421234032</v>
      </c>
      <c r="AE17" s="118">
        <f t="shared" si="1"/>
        <v>33907.362219452851</v>
      </c>
      <c r="AF17" s="118">
        <f t="shared" si="1"/>
        <v>32935.353527981104</v>
      </c>
      <c r="AG17" s="118">
        <f t="shared" si="1"/>
        <v>34159.502073713098</v>
      </c>
      <c r="AH17" s="118">
        <f t="shared" si="1"/>
        <v>34286.274236980622</v>
      </c>
      <c r="AI17" s="118">
        <f t="shared" si="1"/>
        <v>31083.176532208294</v>
      </c>
      <c r="AJ17" s="118">
        <f t="shared" si="1"/>
        <v>34541.231733623616</v>
      </c>
      <c r="AK17" s="118">
        <f t="shared" si="1"/>
        <v>33551.05216017511</v>
      </c>
      <c r="AL17" s="118">
        <f t="shared" si="1"/>
        <v>34798.08512961823</v>
      </c>
      <c r="AM17" s="119">
        <f t="shared" si="1"/>
        <v>33800.542443352948</v>
      </c>
    </row>
    <row r="18" spans="1:39">
      <c r="A18" s="34" t="s">
        <v>408</v>
      </c>
      <c r="B18" s="35" t="s">
        <v>221</v>
      </c>
      <c r="C18" s="36" t="s">
        <v>409</v>
      </c>
      <c r="D18" s="117">
        <f>IF(AND(Inputs!C82=1,1&gt;=Inputs!C83),Deployment_36M!D21*Inputs!C85*D6*1000*Inputs!C84*Inputs!C86/1000,0)</f>
        <v>0</v>
      </c>
      <c r="E18" s="118">
        <f>IF(AND(Inputs!C82=1,2&gt;=Inputs!C83),Deployment_36M!E21*Inputs!C85*E6*1000*Inputs!C84*Inputs!C86/1000,0)</f>
        <v>0</v>
      </c>
      <c r="F18" s="118">
        <f>IF(AND(Inputs!C82=1,3&gt;=Inputs!C83),Deployment_36M!F21*Inputs!C85*F6*1000*Inputs!C84*Inputs!C86/1000,0)</f>
        <v>0</v>
      </c>
      <c r="G18" s="118">
        <f>IF(AND(Inputs!C82=1,4&gt;=Inputs!C83),Deployment_36M!G21*Inputs!C85*G6*1000*Inputs!C84*Inputs!C86/1000,0)</f>
        <v>0</v>
      </c>
      <c r="H18" s="118">
        <f>IF(AND(Inputs!C82=1,5&gt;=Inputs!C83),Deployment_36M!H21*Inputs!C85*H6*1000*Inputs!C84*Inputs!C86/1000,0)</f>
        <v>0</v>
      </c>
      <c r="I18" s="118">
        <f>IF(AND(Inputs!C82=1,6&gt;=Inputs!C83),Deployment_36M!I21*Inputs!C85*I6*1000*Inputs!C84*Inputs!C86/1000,0)</f>
        <v>0</v>
      </c>
      <c r="J18" s="118">
        <f>IF(AND(Inputs!C82=1,7&gt;=Inputs!C83),Deployment_36M!J21*Inputs!C85*J6*1000*Inputs!C84*Inputs!C86/1000,0)</f>
        <v>0</v>
      </c>
      <c r="K18" s="118">
        <f>IF(AND(Inputs!C82=1,8&gt;=Inputs!C83),Deployment_36M!K21*Inputs!C85*K6*1000*Inputs!C84*Inputs!C86/1000,0)</f>
        <v>0</v>
      </c>
      <c r="L18" s="118">
        <f>IF(AND(Inputs!C82=1,9&gt;=Inputs!C83),Deployment_36M!L21*Inputs!C85*L6*1000*Inputs!C84*Inputs!C86/1000,0)</f>
        <v>0</v>
      </c>
      <c r="M18" s="118">
        <f>IF(AND(Inputs!C82=1,10&gt;=Inputs!C83),Deployment_36M!M21*Inputs!C85*M6*1000*Inputs!C84*Inputs!C86/1000,0)</f>
        <v>0</v>
      </c>
      <c r="N18" s="118">
        <f>IF(AND(Inputs!C82=1,11&gt;=Inputs!C83),Deployment_36M!N21*Inputs!C85*N6*1000*Inputs!C84*Inputs!C86/1000,0)</f>
        <v>0</v>
      </c>
      <c r="O18" s="118">
        <f>IF(AND(Inputs!C82=1,12&gt;=Inputs!C83),Deployment_36M!O21*Inputs!C85*O6*1000*Inputs!C84*Inputs!C86/1000,0)</f>
        <v>0</v>
      </c>
      <c r="P18" s="118">
        <f>IF(AND(Inputs!C82=1,13&gt;=Inputs!C83),Deployment_36M!P21*Inputs!C85*P6*1000*Inputs!C84*Inputs!C86/1000,0)</f>
        <v>0</v>
      </c>
      <c r="Q18" s="118">
        <f>IF(AND(Inputs!C82=1,14&gt;=Inputs!C83),Deployment_36M!Q21*Inputs!C85*Q6*1000*Inputs!C84*Inputs!C86/1000,0)</f>
        <v>0</v>
      </c>
      <c r="R18" s="118">
        <f>IF(AND(Inputs!C82=1,15&gt;=Inputs!C83),Deployment_36M!R21*Inputs!C85*R6*1000*Inputs!C84*Inputs!C86/1000,0)</f>
        <v>0</v>
      </c>
      <c r="S18" s="118">
        <f>IF(AND(Inputs!C82=1,16&gt;=Inputs!C83),Deployment_36M!S21*Inputs!C85*S6*1000*Inputs!C84*Inputs!C86/1000,0)</f>
        <v>0</v>
      </c>
      <c r="T18" s="118">
        <f>IF(AND(Inputs!C82=1,17&gt;=Inputs!C83),Deployment_36M!T21*Inputs!C85*T6*1000*Inputs!C84*Inputs!C86/1000,0)</f>
        <v>0</v>
      </c>
      <c r="U18" s="118">
        <f>IF(AND(Inputs!C82=1,18&gt;=Inputs!C83),Deployment_36M!U21*Inputs!C85*U6*1000*Inputs!C84*Inputs!C86/1000,0)</f>
        <v>0</v>
      </c>
      <c r="V18" s="118">
        <f>IF(AND(Inputs!C82=1,19&gt;=Inputs!C83),Deployment_36M!V21*Inputs!C85*V6*1000*Inputs!C84*Inputs!C86/1000,0)</f>
        <v>0</v>
      </c>
      <c r="W18" s="118">
        <f>IF(AND(Inputs!C82=1,20&gt;=Inputs!C83),Deployment_36M!W21*Inputs!C85*W6*1000*Inputs!C84*Inputs!C86/1000,0)</f>
        <v>0</v>
      </c>
      <c r="X18" s="118">
        <f>IF(AND(Inputs!C82=1,21&gt;=Inputs!C83),Deployment_36M!X21*Inputs!C85*X6*1000*Inputs!C84*Inputs!C86/1000,0)</f>
        <v>0</v>
      </c>
      <c r="Y18" s="118">
        <f>IF(AND(Inputs!C82=1,22&gt;=Inputs!C83),Deployment_36M!Y21*Inputs!C85*Y6*1000*Inputs!C84*Inputs!C86/1000,0)</f>
        <v>0</v>
      </c>
      <c r="Z18" s="118">
        <f>IF(AND(Inputs!C82=1,23&gt;=Inputs!C83),Deployment_36M!Z21*Inputs!C85*Z6*1000*Inputs!C84*Inputs!C86/1000,0)</f>
        <v>0</v>
      </c>
      <c r="AA18" s="118">
        <f>IF(AND(Inputs!C82=1,24&gt;=Inputs!C83),Deployment_36M!AA21*Inputs!C85*AA6*1000*Inputs!C84*Inputs!C86/1000,0)</f>
        <v>0</v>
      </c>
      <c r="AB18" s="118">
        <f>IF(AND(Inputs!C82=1,25&gt;=Inputs!C83),Deployment_36M!AB21*Inputs!C85*AB6*1000*Inputs!C84*Inputs!C86/1000,0)</f>
        <v>0</v>
      </c>
      <c r="AC18" s="118">
        <f>IF(AND(Inputs!C82=1,26&gt;=Inputs!C83),Deployment_36M!AC21*Inputs!C85*AC6*1000*Inputs!C84*Inputs!C86/1000,0)</f>
        <v>0</v>
      </c>
      <c r="AD18" s="118">
        <f>IF(AND(Inputs!C82=1,27&gt;=Inputs!C83),Deployment_36M!AD21*Inputs!C85*AD6*1000*Inputs!C84*Inputs!C86/1000,0)</f>
        <v>0</v>
      </c>
      <c r="AE18" s="118">
        <f>IF(AND(Inputs!C82=1,28&gt;=Inputs!C83),Deployment_36M!AE21*Inputs!C85*AE6*1000*Inputs!C84*Inputs!C86/1000,0)</f>
        <v>0</v>
      </c>
      <c r="AF18" s="118">
        <f>IF(AND(Inputs!C82=1,29&gt;=Inputs!C83),Deployment_36M!AF21*Inputs!C85*AF6*1000*Inputs!C84*Inputs!C86/1000,0)</f>
        <v>0</v>
      </c>
      <c r="AG18" s="118">
        <f>IF(AND(Inputs!C82=1,30&gt;=Inputs!C83),Deployment_36M!AG21*Inputs!C85*AG6*1000*Inputs!C84*Inputs!C86/1000,0)</f>
        <v>0</v>
      </c>
      <c r="AH18" s="118">
        <f>IF(AND(Inputs!C82=1,31&gt;=Inputs!C83),Deployment_36M!AH21*Inputs!C85*AH6*1000*Inputs!C84*Inputs!C86/1000,0)</f>
        <v>0</v>
      </c>
      <c r="AI18" s="118">
        <f>IF(AND(Inputs!C82=1,32&gt;=Inputs!C83),Deployment_36M!AI21*Inputs!C85*AI6*1000*Inputs!C84*Inputs!C86/1000,0)</f>
        <v>0</v>
      </c>
      <c r="AJ18" s="118">
        <f>IF(AND(Inputs!C82=1,33&gt;=Inputs!C83),Deployment_36M!AJ21*Inputs!C85*AJ6*1000*Inputs!C84*Inputs!C86/1000,0)</f>
        <v>0</v>
      </c>
      <c r="AK18" s="118">
        <f>IF(AND(Inputs!C82=1,34&gt;=Inputs!C83),Deployment_36M!AK21*Inputs!C85*AK6*1000*Inputs!C84*Inputs!C86/1000,0)</f>
        <v>0</v>
      </c>
      <c r="AL18" s="118">
        <f>IF(AND(Inputs!C82=1,35&gt;=Inputs!C83),Deployment_36M!AL21*Inputs!C85*AL6*1000*Inputs!C84*Inputs!C86/1000,0)</f>
        <v>0</v>
      </c>
      <c r="AM18" s="119">
        <f>IF(AND(Inputs!C82=1,36&gt;=Inputs!C83),Deployment_36M!AM21*Inputs!C85*AM6*1000*Inputs!C84*Inputs!C86/1000,0)</f>
        <v>0</v>
      </c>
    </row>
    <row r="19" spans="1:39">
      <c r="A19" s="34" t="s">
        <v>410</v>
      </c>
      <c r="B19" s="35" t="s">
        <v>221</v>
      </c>
      <c r="C19" s="36" t="s">
        <v>409</v>
      </c>
      <c r="D19" s="117">
        <f>IF(AND(Inputs!C87=1,1&gt;=Inputs!C88),MIN(Deployment_36M!D21,Inputs!C89)*Inputs!C90*D6*Inputs!C91*Inputs!C20,0)/1000</f>
        <v>0</v>
      </c>
      <c r="E19" s="118">
        <f>IF(AND(Inputs!C87=1,2&gt;=Inputs!C88),MIN(Deployment_36M!E21,Inputs!C89)*Inputs!C90*E6*Inputs!C91*Inputs!C20,0)/1000</f>
        <v>0</v>
      </c>
      <c r="F19" s="118">
        <f>IF(AND(Inputs!C87=1,3&gt;=Inputs!C88),MIN(Deployment_36M!F21,Inputs!C89)*Inputs!C90*F6*Inputs!C91*Inputs!C20,0)/1000</f>
        <v>0</v>
      </c>
      <c r="G19" s="118">
        <f>IF(AND(Inputs!C87=1,4&gt;=Inputs!C88),MIN(Deployment_36M!G21,Inputs!C89)*Inputs!C90*G6*Inputs!C91*Inputs!C20,0)/1000</f>
        <v>0</v>
      </c>
      <c r="H19" s="118">
        <f>IF(AND(Inputs!C87=1,5&gt;=Inputs!C88),MIN(Deployment_36M!H21,Inputs!C89)*Inputs!C90*H6*Inputs!C91*Inputs!C20,0)/1000</f>
        <v>0</v>
      </c>
      <c r="I19" s="118">
        <f>IF(AND(Inputs!C87=1,6&gt;=Inputs!C88),MIN(Deployment_36M!I21,Inputs!C89)*Inputs!C90*I6*Inputs!C91*Inputs!C20,0)/1000</f>
        <v>0</v>
      </c>
      <c r="J19" s="118">
        <f>IF(AND(Inputs!C87=1,7&gt;=Inputs!C88),MIN(Deployment_36M!J21,Inputs!C89)*Inputs!C90*J6*Inputs!C91*Inputs!C20,0)/1000</f>
        <v>0</v>
      </c>
      <c r="K19" s="118">
        <f>IF(AND(Inputs!C87=1,8&gt;=Inputs!C88),MIN(Deployment_36M!K21,Inputs!C89)*Inputs!C90*K6*Inputs!C91*Inputs!C20,0)/1000</f>
        <v>0</v>
      </c>
      <c r="L19" s="118">
        <f>IF(AND(Inputs!C87=1,9&gt;=Inputs!C88),MIN(Deployment_36M!L21,Inputs!C89)*Inputs!C90*L6*Inputs!C91*Inputs!C20,0)/1000</f>
        <v>0</v>
      </c>
      <c r="M19" s="118">
        <f>IF(AND(Inputs!C87=1,10&gt;=Inputs!C88),MIN(Deployment_36M!M21,Inputs!C89)*Inputs!C90*M6*Inputs!C91*Inputs!C20,0)/1000</f>
        <v>0</v>
      </c>
      <c r="N19" s="118">
        <f>IF(AND(Inputs!C87=1,11&gt;=Inputs!C88),MIN(Deployment_36M!N21,Inputs!C89)*Inputs!C90*N6*Inputs!C91*Inputs!C20,0)/1000</f>
        <v>0</v>
      </c>
      <c r="O19" s="118">
        <f>IF(AND(Inputs!C87=1,12&gt;=Inputs!C88),MIN(Deployment_36M!O21,Inputs!C89)*Inputs!C90*O6*Inputs!C91*Inputs!C20,0)/1000</f>
        <v>0</v>
      </c>
      <c r="P19" s="118">
        <f>IF(AND(Inputs!C87=1,13&gt;=Inputs!C88),MIN(Deployment_36M!P21,Inputs!C89)*Inputs!C90*P6*Inputs!C91*Inputs!C20,0)/1000</f>
        <v>0</v>
      </c>
      <c r="Q19" s="118">
        <f>IF(AND(Inputs!C87=1,14&gt;=Inputs!C88),MIN(Deployment_36M!Q21,Inputs!C89)*Inputs!C90*Q6*Inputs!C91*Inputs!C20,0)/1000</f>
        <v>0</v>
      </c>
      <c r="R19" s="118">
        <f>IF(AND(Inputs!C87=1,15&gt;=Inputs!C88),MIN(Deployment_36M!R21,Inputs!C89)*Inputs!C90*R6*Inputs!C91*Inputs!C20,0)/1000</f>
        <v>0</v>
      </c>
      <c r="S19" s="118">
        <f>IF(AND(Inputs!C87=1,16&gt;=Inputs!C88),MIN(Deployment_36M!S21,Inputs!C89)*Inputs!C90*S6*Inputs!C91*Inputs!C20,0)/1000</f>
        <v>0</v>
      </c>
      <c r="T19" s="118">
        <f>IF(AND(Inputs!C87=1,17&gt;=Inputs!C88),MIN(Deployment_36M!T21,Inputs!C89)*Inputs!C90*T6*Inputs!C91*Inputs!C20,0)/1000</f>
        <v>0</v>
      </c>
      <c r="U19" s="118">
        <f>IF(AND(Inputs!C87=1,18&gt;=Inputs!C88),MIN(Deployment_36M!U21,Inputs!C89)*Inputs!C90*U6*Inputs!C91*Inputs!C20,0)/1000</f>
        <v>0</v>
      </c>
      <c r="V19" s="118">
        <f>IF(AND(Inputs!C87=1,19&gt;=Inputs!C88),MIN(Deployment_36M!V21,Inputs!C89)*Inputs!C90*V6*Inputs!C91*Inputs!C20,0)/1000</f>
        <v>0</v>
      </c>
      <c r="W19" s="118">
        <f>IF(AND(Inputs!C87=1,20&gt;=Inputs!C88),MIN(Deployment_36M!W21,Inputs!C89)*Inputs!C90*W6*Inputs!C91*Inputs!C20,0)/1000</f>
        <v>0</v>
      </c>
      <c r="X19" s="118">
        <f>IF(AND(Inputs!C87=1,21&gt;=Inputs!C88),MIN(Deployment_36M!X21,Inputs!C89)*Inputs!C90*X6*Inputs!C91*Inputs!C20,0)/1000</f>
        <v>0</v>
      </c>
      <c r="Y19" s="118">
        <f>IF(AND(Inputs!C87=1,22&gt;=Inputs!C88),MIN(Deployment_36M!Y21,Inputs!C89)*Inputs!C90*Y6*Inputs!C91*Inputs!C20,0)/1000</f>
        <v>0</v>
      </c>
      <c r="Z19" s="118">
        <f>IF(AND(Inputs!C87=1,23&gt;=Inputs!C88),MIN(Deployment_36M!Z21,Inputs!C89)*Inputs!C90*Z6*Inputs!C91*Inputs!C20,0)/1000</f>
        <v>0</v>
      </c>
      <c r="AA19" s="118">
        <f>IF(AND(Inputs!C87=1,24&gt;=Inputs!C88),MIN(Deployment_36M!AA21,Inputs!C89)*Inputs!C90*AA6*Inputs!C91*Inputs!C20,0)/1000</f>
        <v>0</v>
      </c>
      <c r="AB19" s="118">
        <f>IF(AND(Inputs!C87=1,25&gt;=Inputs!C88),MIN(Deployment_36M!AB21,Inputs!C89)*Inputs!C90*AB6*Inputs!C91*Inputs!C20,0)/1000</f>
        <v>0</v>
      </c>
      <c r="AC19" s="118">
        <f>IF(AND(Inputs!C87=1,26&gt;=Inputs!C88),MIN(Deployment_36M!AC21,Inputs!C89)*Inputs!C90*AC6*Inputs!C91*Inputs!C20,0)/1000</f>
        <v>0</v>
      </c>
      <c r="AD19" s="118">
        <f>IF(AND(Inputs!C87=1,27&gt;=Inputs!C88),MIN(Deployment_36M!AD21,Inputs!C89)*Inputs!C90*AD6*Inputs!C91*Inputs!C20,0)/1000</f>
        <v>0</v>
      </c>
      <c r="AE19" s="118">
        <f>IF(AND(Inputs!C87=1,28&gt;=Inputs!C88),MIN(Deployment_36M!AE21,Inputs!C89)*Inputs!C90*AE6*Inputs!C91*Inputs!C20,0)/1000</f>
        <v>0</v>
      </c>
      <c r="AF19" s="118">
        <f>IF(AND(Inputs!C87=1,29&gt;=Inputs!C88),MIN(Deployment_36M!AF21,Inputs!C89)*Inputs!C90*AF6*Inputs!C91*Inputs!C20,0)/1000</f>
        <v>0</v>
      </c>
      <c r="AG19" s="118">
        <f>IF(AND(Inputs!C87=1,30&gt;=Inputs!C88),MIN(Deployment_36M!AG21,Inputs!C89)*Inputs!C90*AG6*Inputs!C91*Inputs!C20,0)/1000</f>
        <v>0</v>
      </c>
      <c r="AH19" s="118">
        <f>IF(AND(Inputs!C87=1,31&gt;=Inputs!C88),MIN(Deployment_36M!AH21,Inputs!C89)*Inputs!C90*AH6*Inputs!C91*Inputs!C20,0)/1000</f>
        <v>0</v>
      </c>
      <c r="AI19" s="118">
        <f>IF(AND(Inputs!C87=1,32&gt;=Inputs!C88),MIN(Deployment_36M!AI21,Inputs!C89)*Inputs!C90*AI6*Inputs!C91*Inputs!C20,0)/1000</f>
        <v>0</v>
      </c>
      <c r="AJ19" s="118">
        <f>IF(AND(Inputs!C87=1,33&gt;=Inputs!C88),MIN(Deployment_36M!AJ21,Inputs!C89)*Inputs!C90*AJ6*Inputs!C91*Inputs!C20,0)/1000</f>
        <v>0</v>
      </c>
      <c r="AK19" s="118">
        <f>IF(AND(Inputs!C87=1,34&gt;=Inputs!C88),MIN(Deployment_36M!AK21,Inputs!C89)*Inputs!C90*AK6*Inputs!C91*Inputs!C20,0)/1000</f>
        <v>0</v>
      </c>
      <c r="AL19" s="118">
        <f>IF(AND(Inputs!C87=1,35&gt;=Inputs!C88),MIN(Deployment_36M!AL21,Inputs!C89)*Inputs!C90*AL6*Inputs!C91*Inputs!C20,0)/1000</f>
        <v>0</v>
      </c>
      <c r="AM19" s="119">
        <f>IF(AND(Inputs!C87=1,36&gt;=Inputs!C88),MIN(Deployment_36M!AM21,Inputs!C89)*Inputs!C90*AM6*Inputs!C91*Inputs!C20,0)/1000</f>
        <v>0</v>
      </c>
    </row>
    <row r="20" spans="1:39">
      <c r="A20" s="34" t="s">
        <v>411</v>
      </c>
      <c r="B20" s="35" t="s">
        <v>221</v>
      </c>
      <c r="C20" s="36" t="s">
        <v>412</v>
      </c>
      <c r="D20" s="117">
        <f t="shared" ref="D20:AM20" si="2">D17</f>
        <v>0</v>
      </c>
      <c r="E20" s="118">
        <f t="shared" si="2"/>
        <v>0</v>
      </c>
      <c r="F20" s="118">
        <f t="shared" si="2"/>
        <v>3781.8815791810557</v>
      </c>
      <c r="G20" s="118">
        <f t="shared" si="2"/>
        <v>11767.342184757625</v>
      </c>
      <c r="H20" s="118">
        <f t="shared" si="2"/>
        <v>19050.020879013879</v>
      </c>
      <c r="I20" s="118">
        <f t="shared" si="2"/>
        <v>27481.687933887388</v>
      </c>
      <c r="J20" s="118">
        <f t="shared" si="2"/>
        <v>31369.672458787514</v>
      </c>
      <c r="K20" s="118">
        <f t="shared" si="2"/>
        <v>28439.049984099802</v>
      </c>
      <c r="L20" s="118">
        <f t="shared" si="2"/>
        <v>31602.94169957242</v>
      </c>
      <c r="M20" s="118">
        <f t="shared" si="2"/>
        <v>30696.992902693259</v>
      </c>
      <c r="N20" s="118">
        <f t="shared" si="2"/>
        <v>31837.945562826459</v>
      </c>
      <c r="O20" s="118">
        <f t="shared" si="2"/>
        <v>30925.260004882435</v>
      </c>
      <c r="P20" s="118">
        <f t="shared" si="2"/>
        <v>32074.696947443204</v>
      </c>
      <c r="Q20" s="118">
        <f t="shared" si="2"/>
        <v>32193.732017374932</v>
      </c>
      <c r="R20" s="118">
        <f t="shared" si="2"/>
        <v>31270.847272484698</v>
      </c>
      <c r="S20" s="118">
        <f t="shared" si="2"/>
        <v>32433.129079476617</v>
      </c>
      <c r="T20" s="118">
        <f t="shared" si="2"/>
        <v>31503.38163546018</v>
      </c>
      <c r="U20" s="118">
        <f t="shared" si="2"/>
        <v>32674.306331377731</v>
      </c>
      <c r="V20" s="118">
        <f t="shared" si="2"/>
        <v>32795.566661459699</v>
      </c>
      <c r="W20" s="118">
        <f t="shared" si="2"/>
        <v>30793.581719796399</v>
      </c>
      <c r="X20" s="118">
        <f t="shared" si="2"/>
        <v>33039.43904955301</v>
      </c>
      <c r="Y20" s="118">
        <f t="shared" si="2"/>
        <v>32092.310761906625</v>
      </c>
      <c r="Z20" s="118">
        <f t="shared" si="2"/>
        <v>33285.124906591329</v>
      </c>
      <c r="AA20" s="118">
        <f t="shared" si="2"/>
        <v>32330.953641468026</v>
      </c>
      <c r="AB20" s="118">
        <f t="shared" si="2"/>
        <v>33532.637717781552</v>
      </c>
      <c r="AC20" s="118">
        <f t="shared" si="2"/>
        <v>33657.083472710183</v>
      </c>
      <c r="AD20" s="118">
        <f t="shared" si="2"/>
        <v>32692.249421234032</v>
      </c>
      <c r="AE20" s="118">
        <f t="shared" si="2"/>
        <v>33907.362219452851</v>
      </c>
      <c r="AF20" s="118">
        <f t="shared" si="2"/>
        <v>32935.353527981104</v>
      </c>
      <c r="AG20" s="118">
        <f t="shared" si="2"/>
        <v>34159.502073713098</v>
      </c>
      <c r="AH20" s="118">
        <f t="shared" si="2"/>
        <v>34286.274236980622</v>
      </c>
      <c r="AI20" s="118">
        <f t="shared" si="2"/>
        <v>31083.176532208294</v>
      </c>
      <c r="AJ20" s="118">
        <f t="shared" si="2"/>
        <v>34541.231733623616</v>
      </c>
      <c r="AK20" s="118">
        <f t="shared" si="2"/>
        <v>33551.05216017511</v>
      </c>
      <c r="AL20" s="118">
        <f t="shared" si="2"/>
        <v>34798.08512961823</v>
      </c>
      <c r="AM20" s="119">
        <f t="shared" si="2"/>
        <v>33800.542443352948</v>
      </c>
    </row>
    <row r="21" spans="1:39">
      <c r="A21" s="37" t="s">
        <v>413</v>
      </c>
      <c r="B21" s="38" t="s">
        <v>221</v>
      </c>
      <c r="C21" s="39" t="s">
        <v>414</v>
      </c>
      <c r="D21" s="120">
        <f t="shared" ref="D21:AM21" si="3">D17+D18+D19</f>
        <v>0</v>
      </c>
      <c r="E21" s="121">
        <f t="shared" si="3"/>
        <v>0</v>
      </c>
      <c r="F21" s="121">
        <f t="shared" si="3"/>
        <v>3781.8815791810557</v>
      </c>
      <c r="G21" s="121">
        <f t="shared" si="3"/>
        <v>11767.342184757625</v>
      </c>
      <c r="H21" s="121">
        <f t="shared" si="3"/>
        <v>19050.020879013879</v>
      </c>
      <c r="I21" s="121">
        <f t="shared" si="3"/>
        <v>27481.687933887388</v>
      </c>
      <c r="J21" s="121">
        <f t="shared" si="3"/>
        <v>31369.672458787514</v>
      </c>
      <c r="K21" s="121">
        <f t="shared" si="3"/>
        <v>28439.049984099802</v>
      </c>
      <c r="L21" s="121">
        <f t="shared" si="3"/>
        <v>31602.94169957242</v>
      </c>
      <c r="M21" s="121">
        <f t="shared" si="3"/>
        <v>30696.992902693259</v>
      </c>
      <c r="N21" s="121">
        <f t="shared" si="3"/>
        <v>31837.945562826459</v>
      </c>
      <c r="O21" s="121">
        <f t="shared" si="3"/>
        <v>30925.260004882435</v>
      </c>
      <c r="P21" s="121">
        <f t="shared" si="3"/>
        <v>32074.696947443204</v>
      </c>
      <c r="Q21" s="121">
        <f t="shared" si="3"/>
        <v>32193.732017374932</v>
      </c>
      <c r="R21" s="121">
        <f t="shared" si="3"/>
        <v>31270.847272484698</v>
      </c>
      <c r="S21" s="121">
        <f t="shared" si="3"/>
        <v>32433.129079476617</v>
      </c>
      <c r="T21" s="121">
        <f t="shared" si="3"/>
        <v>31503.38163546018</v>
      </c>
      <c r="U21" s="121">
        <f t="shared" si="3"/>
        <v>32674.306331377731</v>
      </c>
      <c r="V21" s="121">
        <f t="shared" si="3"/>
        <v>32795.566661459699</v>
      </c>
      <c r="W21" s="121">
        <f t="shared" si="3"/>
        <v>30793.581719796399</v>
      </c>
      <c r="X21" s="121">
        <f t="shared" si="3"/>
        <v>33039.43904955301</v>
      </c>
      <c r="Y21" s="121">
        <f t="shared" si="3"/>
        <v>32092.310761906625</v>
      </c>
      <c r="Z21" s="121">
        <f t="shared" si="3"/>
        <v>33285.124906591329</v>
      </c>
      <c r="AA21" s="121">
        <f t="shared" si="3"/>
        <v>32330.953641468026</v>
      </c>
      <c r="AB21" s="121">
        <f t="shared" si="3"/>
        <v>33532.637717781552</v>
      </c>
      <c r="AC21" s="121">
        <f t="shared" si="3"/>
        <v>33657.083472710183</v>
      </c>
      <c r="AD21" s="121">
        <f t="shared" si="3"/>
        <v>32692.249421234032</v>
      </c>
      <c r="AE21" s="121">
        <f t="shared" si="3"/>
        <v>33907.362219452851</v>
      </c>
      <c r="AF21" s="121">
        <f t="shared" si="3"/>
        <v>32935.353527981104</v>
      </c>
      <c r="AG21" s="121">
        <f t="shared" si="3"/>
        <v>34159.502073713098</v>
      </c>
      <c r="AH21" s="121">
        <f t="shared" si="3"/>
        <v>34286.274236980622</v>
      </c>
      <c r="AI21" s="121">
        <f t="shared" si="3"/>
        <v>31083.176532208294</v>
      </c>
      <c r="AJ21" s="121">
        <f t="shared" si="3"/>
        <v>34541.231733623616</v>
      </c>
      <c r="AK21" s="121">
        <f t="shared" si="3"/>
        <v>33551.05216017511</v>
      </c>
      <c r="AL21" s="121">
        <f t="shared" si="3"/>
        <v>34798.08512961823</v>
      </c>
      <c r="AM21" s="122">
        <f t="shared" si="3"/>
        <v>33800.542443352948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0"/>
  <sheetViews>
    <sheetView workbookViewId="0">
      <selection activeCell="E39" sqref="E39"/>
    </sheetView>
  </sheetViews>
  <sheetFormatPr defaultRowHeight="13.8"/>
  <cols>
    <col min="1" max="1" width="32.09765625" customWidth="1"/>
    <col min="2" max="2" width="12.09765625" customWidth="1"/>
    <col min="3" max="3" width="30.69921875" customWidth="1"/>
    <col min="4" max="39" width="10.3984375" customWidth="1"/>
  </cols>
  <sheetData>
    <row r="1" spans="1:39" ht="17.399999999999999">
      <c r="A1" s="146" t="s">
        <v>415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>
      <c r="A2" s="147" t="s">
        <v>416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</row>
    <row r="4" spans="1:39">
      <c r="A4" s="19" t="s">
        <v>17</v>
      </c>
      <c r="B4" s="20" t="s">
        <v>84</v>
      </c>
      <c r="C4" s="21" t="s">
        <v>118</v>
      </c>
    </row>
    <row r="5" spans="1:39">
      <c r="A5" s="22" t="s">
        <v>347</v>
      </c>
      <c r="B5" s="18" t="s">
        <v>122</v>
      </c>
      <c r="C5" s="23" t="s">
        <v>390</v>
      </c>
      <c r="D5" s="105">
        <f>Deployment_36M!D5</f>
        <v>46204</v>
      </c>
      <c r="E5" s="106">
        <f>Deployment_36M!E5</f>
        <v>46235</v>
      </c>
      <c r="F5" s="106">
        <f>Deployment_36M!F5</f>
        <v>46266</v>
      </c>
      <c r="G5" s="106">
        <f>Deployment_36M!G5</f>
        <v>46296</v>
      </c>
      <c r="H5" s="106">
        <f>Deployment_36M!H5</f>
        <v>46327</v>
      </c>
      <c r="I5" s="106">
        <f>Deployment_36M!I5</f>
        <v>46357</v>
      </c>
      <c r="J5" s="106">
        <f>Deployment_36M!J5</f>
        <v>46388</v>
      </c>
      <c r="K5" s="106">
        <f>Deployment_36M!K5</f>
        <v>46419</v>
      </c>
      <c r="L5" s="106">
        <f>Deployment_36M!L5</f>
        <v>46447</v>
      </c>
      <c r="M5" s="106">
        <f>Deployment_36M!M5</f>
        <v>46478</v>
      </c>
      <c r="N5" s="106">
        <f>Deployment_36M!N5</f>
        <v>46508</v>
      </c>
      <c r="O5" s="106">
        <f>Deployment_36M!O5</f>
        <v>46539</v>
      </c>
      <c r="P5" s="106">
        <f>Deployment_36M!P5</f>
        <v>46569</v>
      </c>
      <c r="Q5" s="106">
        <f>Deployment_36M!Q5</f>
        <v>46600</v>
      </c>
      <c r="R5" s="106">
        <f>Deployment_36M!R5</f>
        <v>46631</v>
      </c>
      <c r="S5" s="106">
        <f>Deployment_36M!S5</f>
        <v>46661</v>
      </c>
      <c r="T5" s="106">
        <f>Deployment_36M!T5</f>
        <v>46692</v>
      </c>
      <c r="U5" s="106">
        <f>Deployment_36M!U5</f>
        <v>46722</v>
      </c>
      <c r="V5" s="106">
        <f>Deployment_36M!V5</f>
        <v>46753</v>
      </c>
      <c r="W5" s="106">
        <f>Deployment_36M!W5</f>
        <v>46784</v>
      </c>
      <c r="X5" s="106">
        <f>Deployment_36M!X5</f>
        <v>46813</v>
      </c>
      <c r="Y5" s="106">
        <f>Deployment_36M!Y5</f>
        <v>46844</v>
      </c>
      <c r="Z5" s="106">
        <f>Deployment_36M!Z5</f>
        <v>46874</v>
      </c>
      <c r="AA5" s="106">
        <f>Deployment_36M!AA5</f>
        <v>46905</v>
      </c>
      <c r="AB5" s="106">
        <f>Deployment_36M!AB5</f>
        <v>46935</v>
      </c>
      <c r="AC5" s="106">
        <f>Deployment_36M!AC5</f>
        <v>46966</v>
      </c>
      <c r="AD5" s="106">
        <f>Deployment_36M!AD5</f>
        <v>46997</v>
      </c>
      <c r="AE5" s="106">
        <f>Deployment_36M!AE5</f>
        <v>47027</v>
      </c>
      <c r="AF5" s="106">
        <f>Deployment_36M!AF5</f>
        <v>47058</v>
      </c>
      <c r="AG5" s="106">
        <f>Deployment_36M!AG5</f>
        <v>47088</v>
      </c>
      <c r="AH5" s="106">
        <f>Deployment_36M!AH5</f>
        <v>47119</v>
      </c>
      <c r="AI5" s="106">
        <f>Deployment_36M!AI5</f>
        <v>47150</v>
      </c>
      <c r="AJ5" s="106">
        <f>Deployment_36M!AJ5</f>
        <v>47178</v>
      </c>
      <c r="AK5" s="106">
        <f>Deployment_36M!AK5</f>
        <v>47209</v>
      </c>
      <c r="AL5" s="106">
        <f>Deployment_36M!AL5</f>
        <v>47239</v>
      </c>
      <c r="AM5" s="107">
        <f>Deployment_36M!AM5</f>
        <v>47270</v>
      </c>
    </row>
    <row r="6" spans="1:39">
      <c r="A6" s="22" t="s">
        <v>349</v>
      </c>
      <c r="B6" s="18" t="s">
        <v>350</v>
      </c>
      <c r="C6" s="23" t="s">
        <v>390</v>
      </c>
      <c r="D6" s="108">
        <f>Deployment_36M!D6</f>
        <v>31</v>
      </c>
      <c r="E6" s="109">
        <f>Deployment_36M!E6</f>
        <v>31</v>
      </c>
      <c r="F6" s="109">
        <f>Deployment_36M!F6</f>
        <v>30</v>
      </c>
      <c r="G6" s="109">
        <f>Deployment_36M!G6</f>
        <v>31</v>
      </c>
      <c r="H6" s="109">
        <f>Deployment_36M!H6</f>
        <v>30</v>
      </c>
      <c r="I6" s="109">
        <f>Deployment_36M!I6</f>
        <v>31</v>
      </c>
      <c r="J6" s="109">
        <f>Deployment_36M!J6</f>
        <v>31</v>
      </c>
      <c r="K6" s="109">
        <f>Deployment_36M!K6</f>
        <v>28</v>
      </c>
      <c r="L6" s="109">
        <f>Deployment_36M!L6</f>
        <v>31</v>
      </c>
      <c r="M6" s="109">
        <f>Deployment_36M!M6</f>
        <v>30</v>
      </c>
      <c r="N6" s="109">
        <f>Deployment_36M!N6</f>
        <v>31</v>
      </c>
      <c r="O6" s="109">
        <f>Deployment_36M!O6</f>
        <v>30</v>
      </c>
      <c r="P6" s="109">
        <f>Deployment_36M!P6</f>
        <v>31</v>
      </c>
      <c r="Q6" s="109">
        <f>Deployment_36M!Q6</f>
        <v>31</v>
      </c>
      <c r="R6" s="109">
        <f>Deployment_36M!R6</f>
        <v>30</v>
      </c>
      <c r="S6" s="109">
        <f>Deployment_36M!S6</f>
        <v>31</v>
      </c>
      <c r="T6" s="109">
        <f>Deployment_36M!T6</f>
        <v>30</v>
      </c>
      <c r="U6" s="109">
        <f>Deployment_36M!U6</f>
        <v>31</v>
      </c>
      <c r="V6" s="109">
        <f>Deployment_36M!V6</f>
        <v>31</v>
      </c>
      <c r="W6" s="109">
        <f>Deployment_36M!W6</f>
        <v>29</v>
      </c>
      <c r="X6" s="109">
        <f>Deployment_36M!X6</f>
        <v>31</v>
      </c>
      <c r="Y6" s="109">
        <f>Deployment_36M!Y6</f>
        <v>30</v>
      </c>
      <c r="Z6" s="109">
        <f>Deployment_36M!Z6</f>
        <v>31</v>
      </c>
      <c r="AA6" s="109">
        <f>Deployment_36M!AA6</f>
        <v>30</v>
      </c>
      <c r="AB6" s="109">
        <f>Deployment_36M!AB6</f>
        <v>31</v>
      </c>
      <c r="AC6" s="109">
        <f>Deployment_36M!AC6</f>
        <v>31</v>
      </c>
      <c r="AD6" s="109">
        <f>Deployment_36M!AD6</f>
        <v>30</v>
      </c>
      <c r="AE6" s="109">
        <f>Deployment_36M!AE6</f>
        <v>31</v>
      </c>
      <c r="AF6" s="109">
        <f>Deployment_36M!AF6</f>
        <v>30</v>
      </c>
      <c r="AG6" s="109">
        <f>Deployment_36M!AG6</f>
        <v>31</v>
      </c>
      <c r="AH6" s="109">
        <f>Deployment_36M!AH6</f>
        <v>31</v>
      </c>
      <c r="AI6" s="109">
        <f>Deployment_36M!AI6</f>
        <v>28</v>
      </c>
      <c r="AJ6" s="109">
        <f>Deployment_36M!AJ6</f>
        <v>31</v>
      </c>
      <c r="AK6" s="109">
        <f>Deployment_36M!AK6</f>
        <v>30</v>
      </c>
      <c r="AL6" s="109">
        <f>Deployment_36M!AL6</f>
        <v>31</v>
      </c>
      <c r="AM6" s="110">
        <f>Deployment_36M!AM6</f>
        <v>30</v>
      </c>
    </row>
    <row r="7" spans="1:39">
      <c r="A7" s="26"/>
      <c r="C7" s="27"/>
      <c r="D7" s="81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3"/>
    </row>
    <row r="8" spans="1:39">
      <c r="A8" s="34" t="s">
        <v>417</v>
      </c>
      <c r="B8" s="35" t="s">
        <v>221</v>
      </c>
      <c r="C8" s="36" t="s">
        <v>418</v>
      </c>
      <c r="D8" s="117">
        <f>Deployment_36M!D18*Inputs!C12*D6*1000*Inputs!C29*Inputs!C10/1000</f>
        <v>0</v>
      </c>
      <c r="E8" s="118">
        <f>Deployment_36M!E18*Inputs!C12*E6*1000*Inputs!C29*Inputs!C10/1000</f>
        <v>0</v>
      </c>
      <c r="F8" s="118">
        <f>Deployment_36M!F18*Inputs!C12*F6*1000*Inputs!C29*Inputs!C10/1000</f>
        <v>1617</v>
      </c>
      <c r="G8" s="118">
        <f>Deployment_36M!G18*Inputs!C12*G6*1000*Inputs!C29*Inputs!C10/1000</f>
        <v>5012.7</v>
      </c>
      <c r="H8" s="118">
        <f>Deployment_36M!H18*Inputs!C12*H6*1000*Inputs!C29*Inputs!C10/1000</f>
        <v>8085</v>
      </c>
      <c r="I8" s="118">
        <f>Deployment_36M!I18*Inputs!C12*I6*1000*Inputs!C29*Inputs!C10/1000</f>
        <v>10025.4</v>
      </c>
      <c r="J8" s="118">
        <f>Deployment_36M!J18*Inputs!C12*J6*1000*Inputs!C29*Inputs!C10/1000</f>
        <v>10025.4</v>
      </c>
      <c r="K8" s="118">
        <f>Deployment_36M!K18*Inputs!C12*K6*1000*Inputs!C29*Inputs!C10/1000</f>
        <v>9055.2000000000007</v>
      </c>
      <c r="L8" s="118">
        <f>Deployment_36M!L18*Inputs!C12*L6*1000*Inputs!C29*Inputs!C10/1000</f>
        <v>10025.4</v>
      </c>
      <c r="M8" s="118">
        <f>Deployment_36M!M18*Inputs!C12*M6*1000*Inputs!C29*Inputs!C10/1000</f>
        <v>9702</v>
      </c>
      <c r="N8" s="118">
        <f>Deployment_36M!N18*Inputs!C12*N6*1000*Inputs!C29*Inputs!C10/1000</f>
        <v>10025.4</v>
      </c>
      <c r="O8" s="118">
        <f>Deployment_36M!O18*Inputs!C12*O6*1000*Inputs!C29*Inputs!C10/1000</f>
        <v>9702</v>
      </c>
      <c r="P8" s="118">
        <f>Deployment_36M!P18*Inputs!C12*P6*1000*Inputs!C30*Inputs!C10/1000</f>
        <v>9524.1299999999992</v>
      </c>
      <c r="Q8" s="118">
        <f>Deployment_36M!Q18*Inputs!C12*Q6*1000*Inputs!C30*Inputs!C10/1000</f>
        <v>9524.1299999999992</v>
      </c>
      <c r="R8" s="118">
        <f>Deployment_36M!R18*Inputs!C12*R6*1000*Inputs!C30*Inputs!C10/1000</f>
        <v>9216.9</v>
      </c>
      <c r="S8" s="118">
        <f>Deployment_36M!S18*Inputs!C12*S6*1000*Inputs!C30*Inputs!C10/1000</f>
        <v>9524.1299999999992</v>
      </c>
      <c r="T8" s="118">
        <f>Deployment_36M!T18*Inputs!C12*T6*1000*Inputs!C30*Inputs!C10/1000</f>
        <v>9216.9</v>
      </c>
      <c r="U8" s="118">
        <f>Deployment_36M!U18*Inputs!C12*U6*1000*Inputs!C30*Inputs!C10/1000</f>
        <v>9524.1299999999992</v>
      </c>
      <c r="V8" s="118">
        <f>Deployment_36M!V18*Inputs!C12*V6*1000*Inputs!C30*Inputs!C10/1000</f>
        <v>9524.1299999999992</v>
      </c>
      <c r="W8" s="118">
        <f>Deployment_36M!W18*Inputs!C12*W6*1000*Inputs!C30*Inputs!C10/1000</f>
        <v>8909.67</v>
      </c>
      <c r="X8" s="118">
        <f>Deployment_36M!X18*Inputs!C12*X6*1000*Inputs!C30*Inputs!C10/1000</f>
        <v>9524.1299999999992</v>
      </c>
      <c r="Y8" s="118">
        <f>Deployment_36M!Y18*Inputs!C12*Y6*1000*Inputs!C30*Inputs!C10/1000</f>
        <v>9216.9</v>
      </c>
      <c r="Z8" s="118">
        <f>Deployment_36M!Z18*Inputs!C12*Z6*1000*Inputs!C30*Inputs!C10/1000</f>
        <v>9524.1299999999992</v>
      </c>
      <c r="AA8" s="118">
        <f>Deployment_36M!AA18*Inputs!C12*AA6*1000*Inputs!C30*Inputs!C10/1000</f>
        <v>9216.9</v>
      </c>
      <c r="AB8" s="118">
        <f>Deployment_36M!AB18*Inputs!C12*AB6*1000*Inputs!C31*Inputs!C10/1000</f>
        <v>9022.86</v>
      </c>
      <c r="AC8" s="118">
        <f>Deployment_36M!AC18*Inputs!C12*AC6*1000*Inputs!C31*Inputs!C10/1000</f>
        <v>9022.86</v>
      </c>
      <c r="AD8" s="118">
        <f>Deployment_36M!AD18*Inputs!C12*AD6*1000*Inputs!C31*Inputs!C10/1000</f>
        <v>8731.7999999999993</v>
      </c>
      <c r="AE8" s="118">
        <f>Deployment_36M!AE18*Inputs!C12*AE6*1000*Inputs!C31*Inputs!C10/1000</f>
        <v>9022.86</v>
      </c>
      <c r="AF8" s="118">
        <f>Deployment_36M!AF18*Inputs!C12*AF6*1000*Inputs!C31*Inputs!C10/1000</f>
        <v>8731.7999999999993</v>
      </c>
      <c r="AG8" s="118">
        <f>Deployment_36M!AG18*Inputs!C12*AG6*1000*Inputs!C31*Inputs!C10/1000</f>
        <v>9022.86</v>
      </c>
      <c r="AH8" s="118">
        <f>Deployment_36M!AH18*Inputs!C12*AH6*1000*Inputs!C31*Inputs!C10/1000</f>
        <v>9022.86</v>
      </c>
      <c r="AI8" s="118">
        <f>Deployment_36M!AI18*Inputs!C12*AI6*1000*Inputs!C31*Inputs!C10/1000</f>
        <v>8149.68</v>
      </c>
      <c r="AJ8" s="118">
        <f>Deployment_36M!AJ18*Inputs!C12*AJ6*1000*Inputs!C31*Inputs!C10/1000</f>
        <v>9022.86</v>
      </c>
      <c r="AK8" s="118">
        <f>Deployment_36M!AK18*Inputs!C12*AK6*1000*Inputs!C31*Inputs!C10/1000</f>
        <v>8731.7999999999993</v>
      </c>
      <c r="AL8" s="118">
        <f>Deployment_36M!AL18*Inputs!C12*AL6*1000*Inputs!C31*Inputs!C10/1000</f>
        <v>9022.86</v>
      </c>
      <c r="AM8" s="119">
        <f>Deployment_36M!AM18*Inputs!C12*AM6*1000*Inputs!C31*Inputs!C10/1000</f>
        <v>8731.7999999999993</v>
      </c>
    </row>
    <row r="9" spans="1:39">
      <c r="A9" s="34" t="s">
        <v>419</v>
      </c>
      <c r="B9" s="35" t="s">
        <v>221</v>
      </c>
      <c r="C9" s="36" t="s">
        <v>420</v>
      </c>
      <c r="D9" s="117">
        <f>Deployment_36M!D19*Inputs!C13*D6*1000*Inputs!C32*Inputs!C10/1000</f>
        <v>0</v>
      </c>
      <c r="E9" s="118">
        <f>Deployment_36M!E19*Inputs!C13*E6*1000*Inputs!C32*Inputs!C10/1000</f>
        <v>0</v>
      </c>
      <c r="F9" s="118">
        <f>Deployment_36M!F19*Inputs!C13*F6*1000*Inputs!C32*Inputs!C10/1000</f>
        <v>0</v>
      </c>
      <c r="G9" s="118">
        <f>Deployment_36M!G19*Inputs!C13*G6*1000*Inputs!C32*Inputs!C10/1000</f>
        <v>0</v>
      </c>
      <c r="H9" s="118">
        <f>Deployment_36M!H19*Inputs!C13*H6*1000*Inputs!C32*Inputs!C10/1000</f>
        <v>0</v>
      </c>
      <c r="I9" s="118">
        <f>Deployment_36M!I19*Inputs!C13*I6*1000*Inputs!C32*Inputs!C10/1000</f>
        <v>820.26</v>
      </c>
      <c r="J9" s="118">
        <f>Deployment_36M!J19*Inputs!C13*J6*1000*Inputs!C32*Inputs!C10/1000</f>
        <v>1640.52</v>
      </c>
      <c r="K9" s="118">
        <f>Deployment_36M!K19*Inputs!C13*K6*1000*Inputs!C32*Inputs!C10/1000</f>
        <v>1481.76</v>
      </c>
      <c r="L9" s="118">
        <f>Deployment_36M!L19*Inputs!C13*L6*1000*Inputs!C32*Inputs!C10/1000</f>
        <v>1640.52</v>
      </c>
      <c r="M9" s="118">
        <f>Deployment_36M!M19*Inputs!C13*M6*1000*Inputs!C32*Inputs!C10/1000</f>
        <v>1587.6</v>
      </c>
      <c r="N9" s="118">
        <f>Deployment_36M!N19*Inputs!C13*N6*1000*Inputs!C32*Inputs!C10/1000</f>
        <v>1640.52</v>
      </c>
      <c r="O9" s="118">
        <f>Deployment_36M!O19*Inputs!C13*O6*1000*Inputs!C32*Inputs!C10/1000</f>
        <v>1587.6</v>
      </c>
      <c r="P9" s="118">
        <f>Deployment_36M!P19*Inputs!C13*P6*1000*Inputs!C33*Inputs!C10/1000</f>
        <v>1549.38</v>
      </c>
      <c r="Q9" s="118">
        <f>Deployment_36M!Q19*Inputs!C13*Q6*1000*Inputs!C33*Inputs!C10/1000</f>
        <v>1549.38</v>
      </c>
      <c r="R9" s="118">
        <f>Deployment_36M!R19*Inputs!C13*R6*1000*Inputs!C33*Inputs!C10/1000</f>
        <v>1499.4</v>
      </c>
      <c r="S9" s="118">
        <f>Deployment_36M!S19*Inputs!C13*S6*1000*Inputs!C33*Inputs!C10/1000</f>
        <v>1549.38</v>
      </c>
      <c r="T9" s="118">
        <f>Deployment_36M!T19*Inputs!C13*T6*1000*Inputs!C33*Inputs!C10/1000</f>
        <v>1499.4</v>
      </c>
      <c r="U9" s="118">
        <f>Deployment_36M!U19*Inputs!C13*U6*1000*Inputs!C33*Inputs!C10/1000</f>
        <v>1549.38</v>
      </c>
      <c r="V9" s="118">
        <f>Deployment_36M!V19*Inputs!C13*V6*1000*Inputs!C33*Inputs!C10/1000</f>
        <v>1549.38</v>
      </c>
      <c r="W9" s="118">
        <f>Deployment_36M!W19*Inputs!C13*W6*1000*Inputs!C33*Inputs!C10/1000</f>
        <v>1449.42</v>
      </c>
      <c r="X9" s="118">
        <f>Deployment_36M!X19*Inputs!C13*X6*1000*Inputs!C33*Inputs!C10/1000</f>
        <v>1549.38</v>
      </c>
      <c r="Y9" s="118">
        <f>Deployment_36M!Y19*Inputs!C13*Y6*1000*Inputs!C33*Inputs!C10/1000</f>
        <v>1499.4</v>
      </c>
      <c r="Z9" s="118">
        <f>Deployment_36M!Z19*Inputs!C13*Z6*1000*Inputs!C33*Inputs!C10/1000</f>
        <v>1549.38</v>
      </c>
      <c r="AA9" s="118">
        <f>Deployment_36M!AA19*Inputs!C13*AA6*1000*Inputs!C33*Inputs!C10/1000</f>
        <v>1499.4</v>
      </c>
      <c r="AB9" s="118">
        <f>Deployment_36M!AB19*Inputs!C13*AB6*1000*Inputs!C34*Inputs!C10/1000</f>
        <v>1458.24</v>
      </c>
      <c r="AC9" s="118">
        <f>Deployment_36M!AC19*Inputs!C13*AC6*1000*Inputs!C34*Inputs!C10/1000</f>
        <v>1458.24</v>
      </c>
      <c r="AD9" s="118">
        <f>Deployment_36M!AD19*Inputs!C13*AD6*1000*Inputs!C34*Inputs!C10/1000</f>
        <v>1411.2</v>
      </c>
      <c r="AE9" s="118">
        <f>Deployment_36M!AE19*Inputs!C13*AE6*1000*Inputs!C34*Inputs!C10/1000</f>
        <v>1458.24</v>
      </c>
      <c r="AF9" s="118">
        <f>Deployment_36M!AF19*Inputs!C13*AF6*1000*Inputs!C34*Inputs!C10/1000</f>
        <v>1411.2</v>
      </c>
      <c r="AG9" s="118">
        <f>Deployment_36M!AG19*Inputs!C13*AG6*1000*Inputs!C34*Inputs!C10/1000</f>
        <v>1458.24</v>
      </c>
      <c r="AH9" s="118">
        <f>Deployment_36M!AH19*Inputs!C13*AH6*1000*Inputs!C34*Inputs!C10/1000</f>
        <v>1458.24</v>
      </c>
      <c r="AI9" s="118">
        <f>Deployment_36M!AI19*Inputs!C13*AI6*1000*Inputs!C34*Inputs!C10/1000</f>
        <v>1317.12</v>
      </c>
      <c r="AJ9" s="118">
        <f>Deployment_36M!AJ19*Inputs!C13*AJ6*1000*Inputs!C34*Inputs!C10/1000</f>
        <v>1458.24</v>
      </c>
      <c r="AK9" s="118">
        <f>Deployment_36M!AK19*Inputs!C13*AK6*1000*Inputs!C34*Inputs!C10/1000</f>
        <v>1411.2</v>
      </c>
      <c r="AL9" s="118">
        <f>Deployment_36M!AL19*Inputs!C13*AL6*1000*Inputs!C34*Inputs!C10/1000</f>
        <v>1458.24</v>
      </c>
      <c r="AM9" s="119">
        <f>Deployment_36M!AM19*Inputs!C13*AM6*1000*Inputs!C34*Inputs!C10/1000</f>
        <v>1411.2</v>
      </c>
    </row>
    <row r="10" spans="1:39">
      <c r="A10" s="34" t="s">
        <v>421</v>
      </c>
      <c r="B10" s="35" t="s">
        <v>221</v>
      </c>
      <c r="C10" s="36" t="s">
        <v>422</v>
      </c>
      <c r="D10" s="117">
        <f>Deployment_36M!D20*Inputs!C35*Inputs!C36/12</f>
        <v>0</v>
      </c>
      <c r="E10" s="118">
        <f>Deployment_36M!E20*Inputs!C35*Inputs!C36/12</f>
        <v>0</v>
      </c>
      <c r="F10" s="118">
        <f>Deployment_36M!F20*Inputs!C35*Inputs!C36/12</f>
        <v>0</v>
      </c>
      <c r="G10" s="118">
        <f>Deployment_36M!G20*Inputs!C35*Inputs!C36/12</f>
        <v>0</v>
      </c>
      <c r="H10" s="118">
        <f>Deployment_36M!H20*Inputs!C35*Inputs!C36/12</f>
        <v>58.333333333333336</v>
      </c>
      <c r="I10" s="118">
        <f>Deployment_36M!I20*Inputs!C35*Inputs!C36/12</f>
        <v>116.66666666666667</v>
      </c>
      <c r="J10" s="118">
        <f>Deployment_36M!J20*Inputs!C35*Inputs!C36/12</f>
        <v>116.66666666666667</v>
      </c>
      <c r="K10" s="118">
        <f>Deployment_36M!K20*Inputs!C35*Inputs!C36/12</f>
        <v>116.66666666666667</v>
      </c>
      <c r="L10" s="118">
        <f>Deployment_36M!L20*Inputs!C35*Inputs!C36/12</f>
        <v>116.66666666666667</v>
      </c>
      <c r="M10" s="118">
        <f>Deployment_36M!M20*Inputs!C35*Inputs!C36/12</f>
        <v>116.66666666666667</v>
      </c>
      <c r="N10" s="118">
        <f>Deployment_36M!N20*Inputs!C35*Inputs!C36/12</f>
        <v>116.66666666666667</v>
      </c>
      <c r="O10" s="118">
        <f>Deployment_36M!O20*Inputs!C35*Inputs!C36/12</f>
        <v>116.66666666666667</v>
      </c>
      <c r="P10" s="118">
        <f>Deployment_36M!P20*Inputs!C35*Inputs!C36/12</f>
        <v>116.66666666666667</v>
      </c>
      <c r="Q10" s="118">
        <f>Deployment_36M!Q20*Inputs!C35*Inputs!C36/12</f>
        <v>116.66666666666667</v>
      </c>
      <c r="R10" s="118">
        <f>Deployment_36M!R20*Inputs!C35*Inputs!C36/12</f>
        <v>116.66666666666667</v>
      </c>
      <c r="S10" s="118">
        <f>Deployment_36M!S20*Inputs!C35*Inputs!C36/12</f>
        <v>116.66666666666667</v>
      </c>
      <c r="T10" s="118">
        <f>Deployment_36M!T20*Inputs!C35*Inputs!C36/12</f>
        <v>116.66666666666667</v>
      </c>
      <c r="U10" s="118">
        <f>Deployment_36M!U20*Inputs!C35*Inputs!C36/12</f>
        <v>116.66666666666667</v>
      </c>
      <c r="V10" s="118">
        <f>Deployment_36M!V20*Inputs!C35*Inputs!C36/12</f>
        <v>116.66666666666667</v>
      </c>
      <c r="W10" s="118">
        <f>Deployment_36M!W20*Inputs!C35*Inputs!C36/12</f>
        <v>116.66666666666667</v>
      </c>
      <c r="X10" s="118">
        <f>Deployment_36M!X20*Inputs!C35*Inputs!C36/12</f>
        <v>116.66666666666667</v>
      </c>
      <c r="Y10" s="118">
        <f>Deployment_36M!Y20*Inputs!C35*Inputs!C36/12</f>
        <v>116.66666666666667</v>
      </c>
      <c r="Z10" s="118">
        <f>Deployment_36M!Z20*Inputs!C35*Inputs!C36/12</f>
        <v>116.66666666666667</v>
      </c>
      <c r="AA10" s="118">
        <f>Deployment_36M!AA20*Inputs!C35*Inputs!C36/12</f>
        <v>116.66666666666667</v>
      </c>
      <c r="AB10" s="118">
        <f>Deployment_36M!AB20*Inputs!C35*Inputs!C36/12</f>
        <v>116.66666666666667</v>
      </c>
      <c r="AC10" s="118">
        <f>Deployment_36M!AC20*Inputs!C35*Inputs!C36/12</f>
        <v>116.66666666666667</v>
      </c>
      <c r="AD10" s="118">
        <f>Deployment_36M!AD20*Inputs!C35*Inputs!C36/12</f>
        <v>116.66666666666667</v>
      </c>
      <c r="AE10" s="118">
        <f>Deployment_36M!AE20*Inputs!C35*Inputs!C36/12</f>
        <v>116.66666666666667</v>
      </c>
      <c r="AF10" s="118">
        <f>Deployment_36M!AF20*Inputs!C35*Inputs!C36/12</f>
        <v>116.66666666666667</v>
      </c>
      <c r="AG10" s="118">
        <f>Deployment_36M!AG20*Inputs!C35*Inputs!C36/12</f>
        <v>116.66666666666667</v>
      </c>
      <c r="AH10" s="118">
        <f>Deployment_36M!AH20*Inputs!C35*Inputs!C36/12</f>
        <v>116.66666666666667</v>
      </c>
      <c r="AI10" s="118">
        <f>Deployment_36M!AI20*Inputs!C35*Inputs!C36/12</f>
        <v>116.66666666666667</v>
      </c>
      <c r="AJ10" s="118">
        <f>Deployment_36M!AJ20*Inputs!C35*Inputs!C36/12</f>
        <v>116.66666666666667</v>
      </c>
      <c r="AK10" s="118">
        <f>Deployment_36M!AK20*Inputs!C35*Inputs!C36/12</f>
        <v>116.66666666666667</v>
      </c>
      <c r="AL10" s="118">
        <f>Deployment_36M!AL20*Inputs!C35*Inputs!C36/12</f>
        <v>116.66666666666667</v>
      </c>
      <c r="AM10" s="119">
        <f>Deployment_36M!AM20*Inputs!C35*Inputs!C36/12</f>
        <v>116.66666666666667</v>
      </c>
    </row>
    <row r="11" spans="1:39">
      <c r="A11" s="34" t="s">
        <v>423</v>
      </c>
      <c r="B11" s="35" t="s">
        <v>221</v>
      </c>
      <c r="C11" s="36" t="s">
        <v>424</v>
      </c>
      <c r="D11" s="117">
        <f t="shared" ref="D11:AM11" si="0">D8+D9+D10</f>
        <v>0</v>
      </c>
      <c r="E11" s="118">
        <f t="shared" si="0"/>
        <v>0</v>
      </c>
      <c r="F11" s="118">
        <f t="shared" si="0"/>
        <v>1617</v>
      </c>
      <c r="G11" s="118">
        <f t="shared" si="0"/>
        <v>5012.7</v>
      </c>
      <c r="H11" s="118">
        <f t="shared" si="0"/>
        <v>8143.333333333333</v>
      </c>
      <c r="I11" s="118">
        <f t="shared" si="0"/>
        <v>10962.326666666666</v>
      </c>
      <c r="J11" s="118">
        <f t="shared" si="0"/>
        <v>11782.586666666666</v>
      </c>
      <c r="K11" s="118">
        <f t="shared" si="0"/>
        <v>10653.626666666667</v>
      </c>
      <c r="L11" s="118">
        <f t="shared" si="0"/>
        <v>11782.586666666666</v>
      </c>
      <c r="M11" s="118">
        <f t="shared" si="0"/>
        <v>11406.266666666666</v>
      </c>
      <c r="N11" s="118">
        <f t="shared" si="0"/>
        <v>11782.586666666666</v>
      </c>
      <c r="O11" s="118">
        <f t="shared" si="0"/>
        <v>11406.266666666666</v>
      </c>
      <c r="P11" s="118">
        <f t="shared" si="0"/>
        <v>11190.176666666664</v>
      </c>
      <c r="Q11" s="118">
        <f t="shared" si="0"/>
        <v>11190.176666666664</v>
      </c>
      <c r="R11" s="118">
        <f t="shared" si="0"/>
        <v>10832.966666666665</v>
      </c>
      <c r="S11" s="118">
        <f t="shared" si="0"/>
        <v>11190.176666666664</v>
      </c>
      <c r="T11" s="118">
        <f t="shared" si="0"/>
        <v>10832.966666666665</v>
      </c>
      <c r="U11" s="118">
        <f t="shared" si="0"/>
        <v>11190.176666666664</v>
      </c>
      <c r="V11" s="118">
        <f t="shared" si="0"/>
        <v>11190.176666666664</v>
      </c>
      <c r="W11" s="118">
        <f t="shared" si="0"/>
        <v>10475.756666666666</v>
      </c>
      <c r="X11" s="118">
        <f t="shared" si="0"/>
        <v>11190.176666666664</v>
      </c>
      <c r="Y11" s="118">
        <f t="shared" si="0"/>
        <v>10832.966666666665</v>
      </c>
      <c r="Z11" s="118">
        <f t="shared" si="0"/>
        <v>11190.176666666664</v>
      </c>
      <c r="AA11" s="118">
        <f t="shared" si="0"/>
        <v>10832.966666666665</v>
      </c>
      <c r="AB11" s="118">
        <f t="shared" si="0"/>
        <v>10597.766666666666</v>
      </c>
      <c r="AC11" s="118">
        <f t="shared" si="0"/>
        <v>10597.766666666666</v>
      </c>
      <c r="AD11" s="118">
        <f t="shared" si="0"/>
        <v>10259.666666666666</v>
      </c>
      <c r="AE11" s="118">
        <f t="shared" si="0"/>
        <v>10597.766666666666</v>
      </c>
      <c r="AF11" s="118">
        <f t="shared" si="0"/>
        <v>10259.666666666666</v>
      </c>
      <c r="AG11" s="118">
        <f t="shared" si="0"/>
        <v>10597.766666666666</v>
      </c>
      <c r="AH11" s="118">
        <f t="shared" si="0"/>
        <v>10597.766666666666</v>
      </c>
      <c r="AI11" s="118">
        <f t="shared" si="0"/>
        <v>9583.4666666666653</v>
      </c>
      <c r="AJ11" s="118">
        <f t="shared" si="0"/>
        <v>10597.766666666666</v>
      </c>
      <c r="AK11" s="118">
        <f t="shared" si="0"/>
        <v>10259.666666666666</v>
      </c>
      <c r="AL11" s="118">
        <f t="shared" si="0"/>
        <v>10597.766666666666</v>
      </c>
      <c r="AM11" s="119">
        <f t="shared" si="0"/>
        <v>10259.666666666666</v>
      </c>
    </row>
    <row r="12" spans="1:39">
      <c r="A12" s="26"/>
      <c r="C12" s="27"/>
      <c r="D12" s="123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5"/>
    </row>
    <row r="13" spans="1:39">
      <c r="A13" s="26"/>
      <c r="C13" s="27"/>
      <c r="D13" s="123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5"/>
    </row>
    <row r="14" spans="1:39">
      <c r="A14" s="26" t="s">
        <v>425</v>
      </c>
      <c r="B14" t="s">
        <v>221</v>
      </c>
      <c r="C14" s="27" t="s">
        <v>426</v>
      </c>
      <c r="D14" s="111">
        <f>Inputs!C62*Inputs!C63*(1+Inputs!C18)^0/12</f>
        <v>333.33333333333331</v>
      </c>
      <c r="E14" s="112">
        <f>Inputs!C62*Inputs!C63*(1+Inputs!C18)^0/12</f>
        <v>333.33333333333331</v>
      </c>
      <c r="F14" s="112">
        <f>Inputs!C62*Inputs!C63*(1+Inputs!C18)^0/12</f>
        <v>333.33333333333331</v>
      </c>
      <c r="G14" s="112">
        <f>Inputs!C62*Inputs!C63*(1+Inputs!C18)^0/12</f>
        <v>333.33333333333331</v>
      </c>
      <c r="H14" s="112">
        <f>Inputs!C62*Inputs!C63*(1+Inputs!C18)^0/12</f>
        <v>333.33333333333331</v>
      </c>
      <c r="I14" s="112">
        <f>Inputs!C62*Inputs!C63*(1+Inputs!C18)^0/12</f>
        <v>333.33333333333331</v>
      </c>
      <c r="J14" s="112">
        <f>Inputs!C62*Inputs!C63*(1+Inputs!C18)^0/12</f>
        <v>333.33333333333331</v>
      </c>
      <c r="K14" s="112">
        <f>Inputs!C62*Inputs!C63*(1+Inputs!C18)^0/12</f>
        <v>333.33333333333331</v>
      </c>
      <c r="L14" s="112">
        <f>Inputs!C62*Inputs!C63*(1+Inputs!C18)^0/12</f>
        <v>333.33333333333331</v>
      </c>
      <c r="M14" s="112">
        <f>Inputs!C62*Inputs!C63*(1+Inputs!C18)^0/12</f>
        <v>333.33333333333331</v>
      </c>
      <c r="N14" s="112">
        <f>Inputs!C62*Inputs!C63*(1+Inputs!C18)^0/12</f>
        <v>333.33333333333331</v>
      </c>
      <c r="O14" s="112">
        <f>Inputs!C62*Inputs!C63*(1+Inputs!C18)^0/12</f>
        <v>333.33333333333331</v>
      </c>
      <c r="P14" s="112">
        <f>Inputs!C62*Inputs!C63*(1+Inputs!C18)^1/12</f>
        <v>350</v>
      </c>
      <c r="Q14" s="112">
        <f>Inputs!C62*Inputs!C63*(1+Inputs!C18)^1/12</f>
        <v>350</v>
      </c>
      <c r="R14" s="112">
        <f>Inputs!C62*Inputs!C63*(1+Inputs!C18)^1/12</f>
        <v>350</v>
      </c>
      <c r="S14" s="112">
        <f>Inputs!C62*Inputs!C63*(1+Inputs!C18)^1/12</f>
        <v>350</v>
      </c>
      <c r="T14" s="112">
        <f>Inputs!C62*Inputs!C63*(1+Inputs!C18)^1/12</f>
        <v>350</v>
      </c>
      <c r="U14" s="112">
        <f>Inputs!C62*Inputs!C63*(1+Inputs!C18)^1/12</f>
        <v>350</v>
      </c>
      <c r="V14" s="112">
        <f>Inputs!C62*Inputs!C63*(1+Inputs!C18)^1/12</f>
        <v>350</v>
      </c>
      <c r="W14" s="112">
        <f>Inputs!C62*Inputs!C63*(1+Inputs!C18)^1/12</f>
        <v>350</v>
      </c>
      <c r="X14" s="112">
        <f>Inputs!C62*Inputs!C63*(1+Inputs!C18)^1/12</f>
        <v>350</v>
      </c>
      <c r="Y14" s="112">
        <f>Inputs!C62*Inputs!C63*(1+Inputs!C18)^1/12</f>
        <v>350</v>
      </c>
      <c r="Z14" s="112">
        <f>Inputs!C62*Inputs!C63*(1+Inputs!C18)^1/12</f>
        <v>350</v>
      </c>
      <c r="AA14" s="112">
        <f>Inputs!C62*Inputs!C63*(1+Inputs!C18)^1/12</f>
        <v>350</v>
      </c>
      <c r="AB14" s="112">
        <f>Inputs!C62*Inputs!C63*(1+Inputs!C18)^2/12</f>
        <v>367.5</v>
      </c>
      <c r="AC14" s="112">
        <f>Inputs!C62*Inputs!C63*(1+Inputs!C18)^2/12</f>
        <v>367.5</v>
      </c>
      <c r="AD14" s="112">
        <f>Inputs!C62*Inputs!C63*(1+Inputs!C18)^2/12</f>
        <v>367.5</v>
      </c>
      <c r="AE14" s="112">
        <f>Inputs!C62*Inputs!C63*(1+Inputs!C18)^2/12</f>
        <v>367.5</v>
      </c>
      <c r="AF14" s="112">
        <f>Inputs!C62*Inputs!C63*(1+Inputs!C18)^2/12</f>
        <v>367.5</v>
      </c>
      <c r="AG14" s="112">
        <f>Inputs!C62*Inputs!C63*(1+Inputs!C18)^2/12</f>
        <v>367.5</v>
      </c>
      <c r="AH14" s="112">
        <f>Inputs!C62*Inputs!C63*(1+Inputs!C18)^2/12</f>
        <v>367.5</v>
      </c>
      <c r="AI14" s="112">
        <f>Inputs!C62*Inputs!C63*(1+Inputs!C18)^2/12</f>
        <v>367.5</v>
      </c>
      <c r="AJ14" s="112">
        <f>Inputs!C62*Inputs!C63*(1+Inputs!C18)^2/12</f>
        <v>367.5</v>
      </c>
      <c r="AK14" s="112">
        <f>Inputs!C62*Inputs!C63*(1+Inputs!C18)^2/12</f>
        <v>367.5</v>
      </c>
      <c r="AL14" s="112">
        <f>Inputs!C62*Inputs!C63*(1+Inputs!C18)^2/12</f>
        <v>367.5</v>
      </c>
      <c r="AM14" s="113">
        <f>Inputs!C62*Inputs!C63*(1+Inputs!C18)^2/12</f>
        <v>367.5</v>
      </c>
    </row>
    <row r="15" spans="1:39">
      <c r="A15" s="26" t="s">
        <v>427</v>
      </c>
      <c r="B15" t="s">
        <v>221</v>
      </c>
      <c r="C15" s="27" t="s">
        <v>428</v>
      </c>
      <c r="D15" s="111">
        <f>Deployment_36M!D32*Inputs!C64*Inputs!C65*(1+Inputs!C18)^0/12</f>
        <v>0</v>
      </c>
      <c r="E15" s="112">
        <f>Deployment_36M!E32*Inputs!C64*Inputs!C65*(1+Inputs!C18)^0/12</f>
        <v>0</v>
      </c>
      <c r="F15" s="112">
        <f>Deployment_36M!F32*Inputs!C64*Inputs!C65*(1+Inputs!C18)^0/12</f>
        <v>116.66666666666667</v>
      </c>
      <c r="G15" s="112">
        <f>Deployment_36M!G32*Inputs!C64*Inputs!C65*(1+Inputs!C18)^0/12</f>
        <v>116.66666666666667</v>
      </c>
      <c r="H15" s="112">
        <f>Deployment_36M!H32*Inputs!C64*Inputs!C65*(1+Inputs!C18)^0/12</f>
        <v>116.66666666666667</v>
      </c>
      <c r="I15" s="112">
        <f>Deployment_36M!I32*Inputs!C64*Inputs!C65*(1+Inputs!C18)^0/12</f>
        <v>233.33333333333334</v>
      </c>
      <c r="J15" s="112">
        <f>Deployment_36M!J32*Inputs!C64*Inputs!C65*(1+Inputs!C18)^0/12</f>
        <v>233.33333333333334</v>
      </c>
      <c r="K15" s="112">
        <f>Deployment_36M!K32*Inputs!C64*Inputs!C65*(1+Inputs!C18)^0/12</f>
        <v>233.33333333333334</v>
      </c>
      <c r="L15" s="112">
        <f>Deployment_36M!L32*Inputs!C64*Inputs!C65*(1+Inputs!C18)^0/12</f>
        <v>233.33333333333334</v>
      </c>
      <c r="M15" s="112">
        <f>Deployment_36M!M32*Inputs!C64*Inputs!C65*(1+Inputs!C18)^0/12</f>
        <v>233.33333333333334</v>
      </c>
      <c r="N15" s="112">
        <f>Deployment_36M!N32*Inputs!C64*Inputs!C65*(1+Inputs!C18)^0/12</f>
        <v>233.33333333333334</v>
      </c>
      <c r="O15" s="112">
        <f>Deployment_36M!O32*Inputs!C64*Inputs!C65*(1+Inputs!C18)^0/12</f>
        <v>233.33333333333334</v>
      </c>
      <c r="P15" s="112">
        <f>Deployment_36M!P32*Inputs!C64*Inputs!C65*(1+Inputs!C18)^1/12</f>
        <v>245</v>
      </c>
      <c r="Q15" s="112">
        <f>Deployment_36M!Q32*Inputs!C64*Inputs!C65*(1+Inputs!C18)^1/12</f>
        <v>245</v>
      </c>
      <c r="R15" s="112">
        <f>Deployment_36M!R32*Inputs!C64*Inputs!C65*(1+Inputs!C18)^1/12</f>
        <v>245</v>
      </c>
      <c r="S15" s="112">
        <f>Deployment_36M!S32*Inputs!C64*Inputs!C65*(1+Inputs!C18)^1/12</f>
        <v>245</v>
      </c>
      <c r="T15" s="112">
        <f>Deployment_36M!T32*Inputs!C64*Inputs!C65*(1+Inputs!C18)^1/12</f>
        <v>245</v>
      </c>
      <c r="U15" s="112">
        <f>Deployment_36M!U32*Inputs!C64*Inputs!C65*(1+Inputs!C18)^1/12</f>
        <v>245</v>
      </c>
      <c r="V15" s="112">
        <f>Deployment_36M!V32*Inputs!C64*Inputs!C65*(1+Inputs!C18)^1/12</f>
        <v>245</v>
      </c>
      <c r="W15" s="112">
        <f>Deployment_36M!W32*Inputs!C64*Inputs!C65*(1+Inputs!C18)^1/12</f>
        <v>245</v>
      </c>
      <c r="X15" s="112">
        <f>Deployment_36M!X32*Inputs!C64*Inputs!C65*(1+Inputs!C18)^1/12</f>
        <v>245</v>
      </c>
      <c r="Y15" s="112">
        <f>Deployment_36M!Y32*Inputs!C64*Inputs!C65*(1+Inputs!C18)^1/12</f>
        <v>245</v>
      </c>
      <c r="Z15" s="112">
        <f>Deployment_36M!Z32*Inputs!C64*Inputs!C65*(1+Inputs!C18)^1/12</f>
        <v>245</v>
      </c>
      <c r="AA15" s="112">
        <f>Deployment_36M!AA32*Inputs!C64*Inputs!C65*(1+Inputs!C18)^1/12</f>
        <v>245</v>
      </c>
      <c r="AB15" s="112">
        <f>Deployment_36M!AB32*Inputs!C64*Inputs!C65*(1+Inputs!C18)^2/12</f>
        <v>257.25</v>
      </c>
      <c r="AC15" s="112">
        <f>Deployment_36M!AC32*Inputs!C64*Inputs!C65*(1+Inputs!C18)^2/12</f>
        <v>257.25</v>
      </c>
      <c r="AD15" s="112">
        <f>Deployment_36M!AD32*Inputs!C64*Inputs!C65*(1+Inputs!C18)^2/12</f>
        <v>257.25</v>
      </c>
      <c r="AE15" s="112">
        <f>Deployment_36M!AE32*Inputs!C64*Inputs!C65*(1+Inputs!C18)^2/12</f>
        <v>257.25</v>
      </c>
      <c r="AF15" s="112">
        <f>Deployment_36M!AF32*Inputs!C64*Inputs!C65*(1+Inputs!C18)^2/12</f>
        <v>257.25</v>
      </c>
      <c r="AG15" s="112">
        <f>Deployment_36M!AG32*Inputs!C64*Inputs!C65*(1+Inputs!C18)^2/12</f>
        <v>257.25</v>
      </c>
      <c r="AH15" s="112">
        <f>Deployment_36M!AH32*Inputs!C64*Inputs!C65*(1+Inputs!C18)^2/12</f>
        <v>257.25</v>
      </c>
      <c r="AI15" s="112">
        <f>Deployment_36M!AI32*Inputs!C64*Inputs!C65*(1+Inputs!C18)^2/12</f>
        <v>257.25</v>
      </c>
      <c r="AJ15" s="112">
        <f>Deployment_36M!AJ32*Inputs!C64*Inputs!C65*(1+Inputs!C18)^2/12</f>
        <v>257.25</v>
      </c>
      <c r="AK15" s="112">
        <f>Deployment_36M!AK32*Inputs!C64*Inputs!C65*(1+Inputs!C18)^2/12</f>
        <v>257.25</v>
      </c>
      <c r="AL15" s="112">
        <f>Deployment_36M!AL32*Inputs!C64*Inputs!C65*(1+Inputs!C18)^2/12</f>
        <v>257.25</v>
      </c>
      <c r="AM15" s="113">
        <f>Deployment_36M!AM32*Inputs!C64*Inputs!C65*(1+Inputs!C18)^2/12</f>
        <v>257.25</v>
      </c>
    </row>
    <row r="16" spans="1:39">
      <c r="A16" s="26" t="s">
        <v>429</v>
      </c>
      <c r="B16" t="s">
        <v>221</v>
      </c>
      <c r="C16" s="27" t="s">
        <v>430</v>
      </c>
      <c r="D16" s="111">
        <f>Deployment_36M!D21*Inputs!C66*Inputs!C67*(1+Inputs!C18)^0/12</f>
        <v>0</v>
      </c>
      <c r="E16" s="112">
        <f>Deployment_36M!E21*Inputs!C66*Inputs!C67*(1+Inputs!C18)^0/12</f>
        <v>0</v>
      </c>
      <c r="F16" s="112">
        <f>Deployment_36M!F21*Inputs!C66*Inputs!C67*(1+Inputs!C18)^0/12</f>
        <v>25.520833333333332</v>
      </c>
      <c r="G16" s="112">
        <f>Deployment_36M!G21*Inputs!C66*Inputs!C67*(1+Inputs!C18)^0/12</f>
        <v>76.5625</v>
      </c>
      <c r="H16" s="112">
        <f>Deployment_36M!H21*Inputs!C66*Inputs!C67*(1+Inputs!C18)^0/12</f>
        <v>127.60416666666667</v>
      </c>
      <c r="I16" s="112">
        <f>Deployment_36M!I21*Inputs!C66*Inputs!C67*(1+Inputs!C18)^0/12</f>
        <v>178.64583333333334</v>
      </c>
      <c r="J16" s="112">
        <f>Deployment_36M!J21*Inputs!C66*Inputs!C67*(1+Inputs!C18)^0/12</f>
        <v>204.16666666666666</v>
      </c>
      <c r="K16" s="112">
        <f>Deployment_36M!K21*Inputs!C66*Inputs!C67*(1+Inputs!C18)^0/12</f>
        <v>204.16666666666666</v>
      </c>
      <c r="L16" s="112">
        <f>Deployment_36M!L21*Inputs!C66*Inputs!C67*(1+Inputs!C18)^0/12</f>
        <v>204.16666666666666</v>
      </c>
      <c r="M16" s="112">
        <f>Deployment_36M!M21*Inputs!C66*Inputs!C67*(1+Inputs!C18)^0/12</f>
        <v>204.16666666666666</v>
      </c>
      <c r="N16" s="112">
        <f>Deployment_36M!N21*Inputs!C66*Inputs!C67*(1+Inputs!C18)^0/12</f>
        <v>204.16666666666666</v>
      </c>
      <c r="O16" s="112">
        <f>Deployment_36M!O21*Inputs!C66*Inputs!C67*(1+Inputs!C18)^0/12</f>
        <v>204.16666666666666</v>
      </c>
      <c r="P16" s="112">
        <f>Deployment_36M!P21*Inputs!C66*Inputs!C67*(1+Inputs!C18)^1/12</f>
        <v>214.375</v>
      </c>
      <c r="Q16" s="112">
        <f>Deployment_36M!Q21*Inputs!C66*Inputs!C67*(1+Inputs!C18)^1/12</f>
        <v>214.375</v>
      </c>
      <c r="R16" s="112">
        <f>Deployment_36M!R21*Inputs!C66*Inputs!C67*(1+Inputs!C18)^1/12</f>
        <v>214.375</v>
      </c>
      <c r="S16" s="112">
        <f>Deployment_36M!S21*Inputs!C66*Inputs!C67*(1+Inputs!C18)^1/12</f>
        <v>214.375</v>
      </c>
      <c r="T16" s="112">
        <f>Deployment_36M!T21*Inputs!C66*Inputs!C67*(1+Inputs!C18)^1/12</f>
        <v>214.375</v>
      </c>
      <c r="U16" s="112">
        <f>Deployment_36M!U21*Inputs!C66*Inputs!C67*(1+Inputs!C18)^1/12</f>
        <v>214.375</v>
      </c>
      <c r="V16" s="112">
        <f>Deployment_36M!V21*Inputs!C66*Inputs!C67*(1+Inputs!C18)^1/12</f>
        <v>214.375</v>
      </c>
      <c r="W16" s="112">
        <f>Deployment_36M!W21*Inputs!C66*Inputs!C67*(1+Inputs!C18)^1/12</f>
        <v>214.375</v>
      </c>
      <c r="X16" s="112">
        <f>Deployment_36M!X21*Inputs!C66*Inputs!C67*(1+Inputs!C18)^1/12</f>
        <v>214.375</v>
      </c>
      <c r="Y16" s="112">
        <f>Deployment_36M!Y21*Inputs!C66*Inputs!C67*(1+Inputs!C18)^1/12</f>
        <v>214.375</v>
      </c>
      <c r="Z16" s="112">
        <f>Deployment_36M!Z21*Inputs!C66*Inputs!C67*(1+Inputs!C18)^1/12</f>
        <v>214.375</v>
      </c>
      <c r="AA16" s="112">
        <f>Deployment_36M!AA21*Inputs!C66*Inputs!C67*(1+Inputs!C18)^1/12</f>
        <v>214.375</v>
      </c>
      <c r="AB16" s="112">
        <f>Deployment_36M!AB21*Inputs!C66*Inputs!C67*(1+Inputs!C18)^2/12</f>
        <v>225.09375</v>
      </c>
      <c r="AC16" s="112">
        <f>Deployment_36M!AC21*Inputs!C66*Inputs!C67*(1+Inputs!C18)^2/12</f>
        <v>225.09375</v>
      </c>
      <c r="AD16" s="112">
        <f>Deployment_36M!AD21*Inputs!C66*Inputs!C67*(1+Inputs!C18)^2/12</f>
        <v>225.09375</v>
      </c>
      <c r="AE16" s="112">
        <f>Deployment_36M!AE21*Inputs!C66*Inputs!C67*(1+Inputs!C18)^2/12</f>
        <v>225.09375</v>
      </c>
      <c r="AF16" s="112">
        <f>Deployment_36M!AF21*Inputs!C66*Inputs!C67*(1+Inputs!C18)^2/12</f>
        <v>225.09375</v>
      </c>
      <c r="AG16" s="112">
        <f>Deployment_36M!AG21*Inputs!C66*Inputs!C67*(1+Inputs!C18)^2/12</f>
        <v>225.09375</v>
      </c>
      <c r="AH16" s="112">
        <f>Deployment_36M!AH21*Inputs!C66*Inputs!C67*(1+Inputs!C18)^2/12</f>
        <v>225.09375</v>
      </c>
      <c r="AI16" s="112">
        <f>Deployment_36M!AI21*Inputs!C66*Inputs!C67*(1+Inputs!C18)^2/12</f>
        <v>225.09375</v>
      </c>
      <c r="AJ16" s="112">
        <f>Deployment_36M!AJ21*Inputs!C66*Inputs!C67*(1+Inputs!C18)^2/12</f>
        <v>225.09375</v>
      </c>
      <c r="AK16" s="112">
        <f>Deployment_36M!AK21*Inputs!C66*Inputs!C67*(1+Inputs!C18)^2/12</f>
        <v>225.09375</v>
      </c>
      <c r="AL16" s="112">
        <f>Deployment_36M!AL21*Inputs!C66*Inputs!C67*(1+Inputs!C18)^2/12</f>
        <v>225.09375</v>
      </c>
      <c r="AM16" s="113">
        <f>Deployment_36M!AM21*Inputs!C66*Inputs!C67*(1+Inputs!C18)^2/12</f>
        <v>225.09375</v>
      </c>
    </row>
    <row r="17" spans="1:39">
      <c r="A17" s="26" t="s">
        <v>431</v>
      </c>
      <c r="B17" t="s">
        <v>221</v>
      </c>
      <c r="C17" s="27" t="s">
        <v>430</v>
      </c>
      <c r="D17" s="111">
        <f>Deployment_36M!D21*Inputs!C68*Inputs!C69*(1+Inputs!C18)^0/12</f>
        <v>0</v>
      </c>
      <c r="E17" s="112">
        <f>Deployment_36M!E21*Inputs!C68*Inputs!C69*(1+Inputs!C18)^0/12</f>
        <v>0</v>
      </c>
      <c r="F17" s="112">
        <f>Deployment_36M!F21*Inputs!C68*Inputs!C69*(1+Inputs!C18)^0/12</f>
        <v>7.5</v>
      </c>
      <c r="G17" s="112">
        <f>Deployment_36M!G21*Inputs!C68*Inputs!C69*(1+Inputs!C18)^0/12</f>
        <v>22.5</v>
      </c>
      <c r="H17" s="112">
        <f>Deployment_36M!H21*Inputs!C68*Inputs!C69*(1+Inputs!C18)^0/12</f>
        <v>37.5</v>
      </c>
      <c r="I17" s="112">
        <f>Deployment_36M!I21*Inputs!C68*Inputs!C69*(1+Inputs!C18)^0/12</f>
        <v>52.500000000000007</v>
      </c>
      <c r="J17" s="112">
        <f>Deployment_36M!J21*Inputs!C68*Inputs!C69*(1+Inputs!C18)^0/12</f>
        <v>60</v>
      </c>
      <c r="K17" s="112">
        <f>Deployment_36M!K21*Inputs!C68*Inputs!C69*(1+Inputs!C18)^0/12</f>
        <v>60</v>
      </c>
      <c r="L17" s="112">
        <f>Deployment_36M!L21*Inputs!C68*Inputs!C69*(1+Inputs!C18)^0/12</f>
        <v>60</v>
      </c>
      <c r="M17" s="112">
        <f>Deployment_36M!M21*Inputs!C68*Inputs!C69*(1+Inputs!C18)^0/12</f>
        <v>60</v>
      </c>
      <c r="N17" s="112">
        <f>Deployment_36M!N21*Inputs!C68*Inputs!C69*(1+Inputs!C18)^0/12</f>
        <v>60</v>
      </c>
      <c r="O17" s="112">
        <f>Deployment_36M!O21*Inputs!C68*Inputs!C69*(1+Inputs!C18)^0/12</f>
        <v>60</v>
      </c>
      <c r="P17" s="112">
        <f>Deployment_36M!P21*Inputs!C68*Inputs!C69*(1+Inputs!C18)^1/12</f>
        <v>63</v>
      </c>
      <c r="Q17" s="112">
        <f>Deployment_36M!Q21*Inputs!C68*Inputs!C69*(1+Inputs!C18)^1/12</f>
        <v>63</v>
      </c>
      <c r="R17" s="112">
        <f>Deployment_36M!R21*Inputs!C68*Inputs!C69*(1+Inputs!C18)^1/12</f>
        <v>63</v>
      </c>
      <c r="S17" s="112">
        <f>Deployment_36M!S21*Inputs!C68*Inputs!C69*(1+Inputs!C18)^1/12</f>
        <v>63</v>
      </c>
      <c r="T17" s="112">
        <f>Deployment_36M!T21*Inputs!C68*Inputs!C69*(1+Inputs!C18)^1/12</f>
        <v>63</v>
      </c>
      <c r="U17" s="112">
        <f>Deployment_36M!U21*Inputs!C68*Inputs!C69*(1+Inputs!C18)^1/12</f>
        <v>63</v>
      </c>
      <c r="V17" s="112">
        <f>Deployment_36M!V21*Inputs!C68*Inputs!C69*(1+Inputs!C18)^1/12</f>
        <v>63</v>
      </c>
      <c r="W17" s="112">
        <f>Deployment_36M!W21*Inputs!C68*Inputs!C69*(1+Inputs!C18)^1/12</f>
        <v>63</v>
      </c>
      <c r="X17" s="112">
        <f>Deployment_36M!X21*Inputs!C68*Inputs!C69*(1+Inputs!C18)^1/12</f>
        <v>63</v>
      </c>
      <c r="Y17" s="112">
        <f>Deployment_36M!Y21*Inputs!C68*Inputs!C69*(1+Inputs!C18)^1/12</f>
        <v>63</v>
      </c>
      <c r="Z17" s="112">
        <f>Deployment_36M!Z21*Inputs!C68*Inputs!C69*(1+Inputs!C18)^1/12</f>
        <v>63</v>
      </c>
      <c r="AA17" s="112">
        <f>Deployment_36M!AA21*Inputs!C68*Inputs!C69*(1+Inputs!C18)^1/12</f>
        <v>63</v>
      </c>
      <c r="AB17" s="112">
        <f>Deployment_36M!AB21*Inputs!C68*Inputs!C69*(1+Inputs!C18)^2/12</f>
        <v>66.150000000000006</v>
      </c>
      <c r="AC17" s="112">
        <f>Deployment_36M!AC21*Inputs!C68*Inputs!C69*(1+Inputs!C18)^2/12</f>
        <v>66.150000000000006</v>
      </c>
      <c r="AD17" s="112">
        <f>Deployment_36M!AD21*Inputs!C68*Inputs!C69*(1+Inputs!C18)^2/12</f>
        <v>66.150000000000006</v>
      </c>
      <c r="AE17" s="112">
        <f>Deployment_36M!AE21*Inputs!C68*Inputs!C69*(1+Inputs!C18)^2/12</f>
        <v>66.150000000000006</v>
      </c>
      <c r="AF17" s="112">
        <f>Deployment_36M!AF21*Inputs!C68*Inputs!C69*(1+Inputs!C18)^2/12</f>
        <v>66.150000000000006</v>
      </c>
      <c r="AG17" s="112">
        <f>Deployment_36M!AG21*Inputs!C68*Inputs!C69*(1+Inputs!C18)^2/12</f>
        <v>66.150000000000006</v>
      </c>
      <c r="AH17" s="112">
        <f>Deployment_36M!AH21*Inputs!C68*Inputs!C69*(1+Inputs!C18)^2/12</f>
        <v>66.150000000000006</v>
      </c>
      <c r="AI17" s="112">
        <f>Deployment_36M!AI21*Inputs!C68*Inputs!C69*(1+Inputs!C18)^2/12</f>
        <v>66.150000000000006</v>
      </c>
      <c r="AJ17" s="112">
        <f>Deployment_36M!AJ21*Inputs!C68*Inputs!C69*(1+Inputs!C18)^2/12</f>
        <v>66.150000000000006</v>
      </c>
      <c r="AK17" s="112">
        <f>Deployment_36M!AK21*Inputs!C68*Inputs!C69*(1+Inputs!C18)^2/12</f>
        <v>66.150000000000006</v>
      </c>
      <c r="AL17" s="112">
        <f>Deployment_36M!AL21*Inputs!C68*Inputs!C69*(1+Inputs!C18)^2/12</f>
        <v>66.150000000000006</v>
      </c>
      <c r="AM17" s="113">
        <f>Deployment_36M!AM21*Inputs!C68*Inputs!C69*(1+Inputs!C18)^2/12</f>
        <v>66.150000000000006</v>
      </c>
    </row>
    <row r="18" spans="1:39">
      <c r="A18" s="26" t="s">
        <v>432</v>
      </c>
      <c r="B18" t="s">
        <v>221</v>
      </c>
      <c r="C18" s="27" t="s">
        <v>433</v>
      </c>
      <c r="D18" s="111">
        <f t="shared" ref="D18:AM18" si="1">D14+D15+D16+D17</f>
        <v>333.33333333333331</v>
      </c>
      <c r="E18" s="112">
        <f t="shared" si="1"/>
        <v>333.33333333333331</v>
      </c>
      <c r="F18" s="112">
        <f t="shared" si="1"/>
        <v>483.02083333333331</v>
      </c>
      <c r="G18" s="112">
        <f t="shared" si="1"/>
        <v>549.0625</v>
      </c>
      <c r="H18" s="112">
        <f t="shared" si="1"/>
        <v>615.10416666666663</v>
      </c>
      <c r="I18" s="112">
        <f t="shared" si="1"/>
        <v>797.8125</v>
      </c>
      <c r="J18" s="112">
        <f t="shared" si="1"/>
        <v>830.83333333333326</v>
      </c>
      <c r="K18" s="112">
        <f t="shared" si="1"/>
        <v>830.83333333333326</v>
      </c>
      <c r="L18" s="112">
        <f t="shared" si="1"/>
        <v>830.83333333333326</v>
      </c>
      <c r="M18" s="112">
        <f t="shared" si="1"/>
        <v>830.83333333333326</v>
      </c>
      <c r="N18" s="112">
        <f t="shared" si="1"/>
        <v>830.83333333333326</v>
      </c>
      <c r="O18" s="112">
        <f t="shared" si="1"/>
        <v>830.83333333333326</v>
      </c>
      <c r="P18" s="112">
        <f t="shared" si="1"/>
        <v>872.375</v>
      </c>
      <c r="Q18" s="112">
        <f t="shared" si="1"/>
        <v>872.375</v>
      </c>
      <c r="R18" s="112">
        <f t="shared" si="1"/>
        <v>872.375</v>
      </c>
      <c r="S18" s="112">
        <f t="shared" si="1"/>
        <v>872.375</v>
      </c>
      <c r="T18" s="112">
        <f t="shared" si="1"/>
        <v>872.375</v>
      </c>
      <c r="U18" s="112">
        <f t="shared" si="1"/>
        <v>872.375</v>
      </c>
      <c r="V18" s="112">
        <f t="shared" si="1"/>
        <v>872.375</v>
      </c>
      <c r="W18" s="112">
        <f t="shared" si="1"/>
        <v>872.375</v>
      </c>
      <c r="X18" s="112">
        <f t="shared" si="1"/>
        <v>872.375</v>
      </c>
      <c r="Y18" s="112">
        <f t="shared" si="1"/>
        <v>872.375</v>
      </c>
      <c r="Z18" s="112">
        <f t="shared" si="1"/>
        <v>872.375</v>
      </c>
      <c r="AA18" s="112">
        <f t="shared" si="1"/>
        <v>872.375</v>
      </c>
      <c r="AB18" s="112">
        <f t="shared" si="1"/>
        <v>915.99374999999998</v>
      </c>
      <c r="AC18" s="112">
        <f t="shared" si="1"/>
        <v>915.99374999999998</v>
      </c>
      <c r="AD18" s="112">
        <f t="shared" si="1"/>
        <v>915.99374999999998</v>
      </c>
      <c r="AE18" s="112">
        <f t="shared" si="1"/>
        <v>915.99374999999998</v>
      </c>
      <c r="AF18" s="112">
        <f t="shared" si="1"/>
        <v>915.99374999999998</v>
      </c>
      <c r="AG18" s="112">
        <f t="shared" si="1"/>
        <v>915.99374999999998</v>
      </c>
      <c r="AH18" s="112">
        <f t="shared" si="1"/>
        <v>915.99374999999998</v>
      </c>
      <c r="AI18" s="112">
        <f t="shared" si="1"/>
        <v>915.99374999999998</v>
      </c>
      <c r="AJ18" s="112">
        <f t="shared" si="1"/>
        <v>915.99374999999998</v>
      </c>
      <c r="AK18" s="112">
        <f t="shared" si="1"/>
        <v>915.99374999999998</v>
      </c>
      <c r="AL18" s="112">
        <f t="shared" si="1"/>
        <v>915.99374999999998</v>
      </c>
      <c r="AM18" s="113">
        <f t="shared" si="1"/>
        <v>915.99374999999998</v>
      </c>
    </row>
    <row r="19" spans="1:39">
      <c r="A19" s="26" t="s">
        <v>434</v>
      </c>
      <c r="B19" t="s">
        <v>221</v>
      </c>
      <c r="C19" s="27" t="s">
        <v>435</v>
      </c>
      <c r="D19" s="111">
        <f>D18*Inputs!C70</f>
        <v>66.666666666666671</v>
      </c>
      <c r="E19" s="112">
        <f>E18*Inputs!C70</f>
        <v>66.666666666666671</v>
      </c>
      <c r="F19" s="112">
        <f>F18*Inputs!C70</f>
        <v>96.604166666666671</v>
      </c>
      <c r="G19" s="112">
        <f>G18*Inputs!C70</f>
        <v>109.8125</v>
      </c>
      <c r="H19" s="112">
        <f>H18*Inputs!C70</f>
        <v>123.02083333333333</v>
      </c>
      <c r="I19" s="112">
        <f>I18*Inputs!C70</f>
        <v>159.5625</v>
      </c>
      <c r="J19" s="112">
        <f>J18*Inputs!C70</f>
        <v>166.16666666666666</v>
      </c>
      <c r="K19" s="112">
        <f>K18*Inputs!C70</f>
        <v>166.16666666666666</v>
      </c>
      <c r="L19" s="112">
        <f>L18*Inputs!C70</f>
        <v>166.16666666666666</v>
      </c>
      <c r="M19" s="112">
        <f>M18*Inputs!C70</f>
        <v>166.16666666666666</v>
      </c>
      <c r="N19" s="112">
        <f>N18*Inputs!C70</f>
        <v>166.16666666666666</v>
      </c>
      <c r="O19" s="112">
        <f>O18*Inputs!C70</f>
        <v>166.16666666666666</v>
      </c>
      <c r="P19" s="112">
        <f>P18*Inputs!C70</f>
        <v>174.47500000000002</v>
      </c>
      <c r="Q19" s="112">
        <f>Q18*Inputs!C70</f>
        <v>174.47500000000002</v>
      </c>
      <c r="R19" s="112">
        <f>R18*Inputs!C70</f>
        <v>174.47500000000002</v>
      </c>
      <c r="S19" s="112">
        <f>S18*Inputs!C70</f>
        <v>174.47500000000002</v>
      </c>
      <c r="T19" s="112">
        <f>T18*Inputs!C70</f>
        <v>174.47500000000002</v>
      </c>
      <c r="U19" s="112">
        <f>U18*Inputs!C70</f>
        <v>174.47500000000002</v>
      </c>
      <c r="V19" s="112">
        <f>V18*Inputs!C70</f>
        <v>174.47500000000002</v>
      </c>
      <c r="W19" s="112">
        <f>W18*Inputs!C70</f>
        <v>174.47500000000002</v>
      </c>
      <c r="X19" s="112">
        <f>X18*Inputs!C70</f>
        <v>174.47500000000002</v>
      </c>
      <c r="Y19" s="112">
        <f>Y18*Inputs!C70</f>
        <v>174.47500000000002</v>
      </c>
      <c r="Z19" s="112">
        <f>Z18*Inputs!C70</f>
        <v>174.47500000000002</v>
      </c>
      <c r="AA19" s="112">
        <f>AA18*Inputs!C70</f>
        <v>174.47500000000002</v>
      </c>
      <c r="AB19" s="112">
        <f>AB18*Inputs!C70</f>
        <v>183.19875000000002</v>
      </c>
      <c r="AC19" s="112">
        <f>AC18*Inputs!C70</f>
        <v>183.19875000000002</v>
      </c>
      <c r="AD19" s="112">
        <f>AD18*Inputs!C70</f>
        <v>183.19875000000002</v>
      </c>
      <c r="AE19" s="112">
        <f>AE18*Inputs!C70</f>
        <v>183.19875000000002</v>
      </c>
      <c r="AF19" s="112">
        <f>AF18*Inputs!C70</f>
        <v>183.19875000000002</v>
      </c>
      <c r="AG19" s="112">
        <f>AG18*Inputs!C70</f>
        <v>183.19875000000002</v>
      </c>
      <c r="AH19" s="112">
        <f>AH18*Inputs!C70</f>
        <v>183.19875000000002</v>
      </c>
      <c r="AI19" s="112">
        <f>AI18*Inputs!C70</f>
        <v>183.19875000000002</v>
      </c>
      <c r="AJ19" s="112">
        <f>AJ18*Inputs!C70</f>
        <v>183.19875000000002</v>
      </c>
      <c r="AK19" s="112">
        <f>AK18*Inputs!C70</f>
        <v>183.19875000000002</v>
      </c>
      <c r="AL19" s="112">
        <f>AL18*Inputs!C70</f>
        <v>183.19875000000002</v>
      </c>
      <c r="AM19" s="113">
        <f>AM18*Inputs!C70</f>
        <v>183.19875000000002</v>
      </c>
    </row>
    <row r="20" spans="1:39">
      <c r="A20" s="34" t="s">
        <v>436</v>
      </c>
      <c r="B20" s="35" t="s">
        <v>221</v>
      </c>
      <c r="C20" s="36" t="s">
        <v>437</v>
      </c>
      <c r="D20" s="117">
        <f t="shared" ref="D20:AM20" si="2">D18+D19</f>
        <v>400</v>
      </c>
      <c r="E20" s="118">
        <f t="shared" si="2"/>
        <v>400</v>
      </c>
      <c r="F20" s="118">
        <f t="shared" si="2"/>
        <v>579.625</v>
      </c>
      <c r="G20" s="118">
        <f t="shared" si="2"/>
        <v>658.875</v>
      </c>
      <c r="H20" s="118">
        <f t="shared" si="2"/>
        <v>738.125</v>
      </c>
      <c r="I20" s="118">
        <f t="shared" si="2"/>
        <v>957.375</v>
      </c>
      <c r="J20" s="118">
        <f t="shared" si="2"/>
        <v>996.99999999999989</v>
      </c>
      <c r="K20" s="118">
        <f t="shared" si="2"/>
        <v>996.99999999999989</v>
      </c>
      <c r="L20" s="118">
        <f t="shared" si="2"/>
        <v>996.99999999999989</v>
      </c>
      <c r="M20" s="118">
        <f t="shared" si="2"/>
        <v>996.99999999999989</v>
      </c>
      <c r="N20" s="118">
        <f t="shared" si="2"/>
        <v>996.99999999999989</v>
      </c>
      <c r="O20" s="118">
        <f t="shared" si="2"/>
        <v>996.99999999999989</v>
      </c>
      <c r="P20" s="118">
        <f t="shared" si="2"/>
        <v>1046.8499999999999</v>
      </c>
      <c r="Q20" s="118">
        <f t="shared" si="2"/>
        <v>1046.8499999999999</v>
      </c>
      <c r="R20" s="118">
        <f t="shared" si="2"/>
        <v>1046.8499999999999</v>
      </c>
      <c r="S20" s="118">
        <f t="shared" si="2"/>
        <v>1046.8499999999999</v>
      </c>
      <c r="T20" s="118">
        <f t="shared" si="2"/>
        <v>1046.8499999999999</v>
      </c>
      <c r="U20" s="118">
        <f t="shared" si="2"/>
        <v>1046.8499999999999</v>
      </c>
      <c r="V20" s="118">
        <f t="shared" si="2"/>
        <v>1046.8499999999999</v>
      </c>
      <c r="W20" s="118">
        <f t="shared" si="2"/>
        <v>1046.8499999999999</v>
      </c>
      <c r="X20" s="118">
        <f t="shared" si="2"/>
        <v>1046.8499999999999</v>
      </c>
      <c r="Y20" s="118">
        <f t="shared" si="2"/>
        <v>1046.8499999999999</v>
      </c>
      <c r="Z20" s="118">
        <f t="shared" si="2"/>
        <v>1046.8499999999999</v>
      </c>
      <c r="AA20" s="118">
        <f t="shared" si="2"/>
        <v>1046.8499999999999</v>
      </c>
      <c r="AB20" s="118">
        <f t="shared" si="2"/>
        <v>1099.1925000000001</v>
      </c>
      <c r="AC20" s="118">
        <f t="shared" si="2"/>
        <v>1099.1925000000001</v>
      </c>
      <c r="AD20" s="118">
        <f t="shared" si="2"/>
        <v>1099.1925000000001</v>
      </c>
      <c r="AE20" s="118">
        <f t="shared" si="2"/>
        <v>1099.1925000000001</v>
      </c>
      <c r="AF20" s="118">
        <f t="shared" si="2"/>
        <v>1099.1925000000001</v>
      </c>
      <c r="AG20" s="118">
        <f t="shared" si="2"/>
        <v>1099.1925000000001</v>
      </c>
      <c r="AH20" s="118">
        <f t="shared" si="2"/>
        <v>1099.1925000000001</v>
      </c>
      <c r="AI20" s="118">
        <f t="shared" si="2"/>
        <v>1099.1925000000001</v>
      </c>
      <c r="AJ20" s="118">
        <f t="shared" si="2"/>
        <v>1099.1925000000001</v>
      </c>
      <c r="AK20" s="118">
        <f t="shared" si="2"/>
        <v>1099.1925000000001</v>
      </c>
      <c r="AL20" s="118">
        <f t="shared" si="2"/>
        <v>1099.1925000000001</v>
      </c>
      <c r="AM20" s="119">
        <f t="shared" si="2"/>
        <v>1099.1925000000001</v>
      </c>
    </row>
    <row r="21" spans="1:39">
      <c r="A21" s="26" t="s">
        <v>438</v>
      </c>
      <c r="B21" t="s">
        <v>221</v>
      </c>
      <c r="C21" s="27" t="s">
        <v>439</v>
      </c>
      <c r="D21" s="111">
        <f>D18*Inputs!C71+Deployment_36M!D37*Inputs!C72</f>
        <v>19.999999999999996</v>
      </c>
      <c r="E21" s="112">
        <f>E18*Inputs!C71+Deployment_36M!E37*Inputs!C72</f>
        <v>19.999999999999996</v>
      </c>
      <c r="F21" s="112">
        <f>F18*Inputs!C71+Deployment_36M!F37*Inputs!C72</f>
        <v>278.98124999999999</v>
      </c>
      <c r="G21" s="112">
        <f>G18*Inputs!C71+Deployment_36M!G37*Inputs!C72</f>
        <v>32.943750000000001</v>
      </c>
      <c r="H21" s="112">
        <f>H18*Inputs!C71+Deployment_36M!H37*Inputs!C72</f>
        <v>36.906249999999993</v>
      </c>
      <c r="I21" s="112">
        <f>I18*Inputs!C71+Deployment_36M!I37*Inputs!C72</f>
        <v>297.86874999999998</v>
      </c>
      <c r="J21" s="112">
        <f>J18*Inputs!C71+Deployment_36M!J37*Inputs!C72</f>
        <v>49.849999999999994</v>
      </c>
      <c r="K21" s="112">
        <f>K18*Inputs!C71+Deployment_36M!K37*Inputs!C72</f>
        <v>49.849999999999994</v>
      </c>
      <c r="L21" s="112">
        <f>L18*Inputs!C71+Deployment_36M!L37*Inputs!C72</f>
        <v>49.849999999999994</v>
      </c>
      <c r="M21" s="112">
        <f>M18*Inputs!C71+Deployment_36M!M37*Inputs!C72</f>
        <v>49.849999999999994</v>
      </c>
      <c r="N21" s="112">
        <f>N18*Inputs!C71+Deployment_36M!N37*Inputs!C72</f>
        <v>49.849999999999994</v>
      </c>
      <c r="O21" s="112">
        <f>O18*Inputs!C71+Deployment_36M!O37*Inputs!C72</f>
        <v>49.849999999999994</v>
      </c>
      <c r="P21" s="112">
        <f>P18*Inputs!C71+Deployment_36M!P37*Inputs!C72</f>
        <v>52.342500000000001</v>
      </c>
      <c r="Q21" s="112">
        <f>Q18*Inputs!C71+Deployment_36M!Q37*Inputs!C72</f>
        <v>52.342500000000001</v>
      </c>
      <c r="R21" s="112">
        <f>R18*Inputs!C71+Deployment_36M!R37*Inputs!C72</f>
        <v>52.342500000000001</v>
      </c>
      <c r="S21" s="112">
        <f>S18*Inputs!C71+Deployment_36M!S37*Inputs!C72</f>
        <v>52.342500000000001</v>
      </c>
      <c r="T21" s="112">
        <f>T18*Inputs!C71+Deployment_36M!T37*Inputs!C72</f>
        <v>52.342500000000001</v>
      </c>
      <c r="U21" s="112">
        <f>U18*Inputs!C71+Deployment_36M!U37*Inputs!C72</f>
        <v>52.342500000000001</v>
      </c>
      <c r="V21" s="112">
        <f>V18*Inputs!C71+Deployment_36M!V37*Inputs!C72</f>
        <v>52.342500000000001</v>
      </c>
      <c r="W21" s="112">
        <f>W18*Inputs!C71+Deployment_36M!W37*Inputs!C72</f>
        <v>52.342500000000001</v>
      </c>
      <c r="X21" s="112">
        <f>X18*Inputs!C71+Deployment_36M!X37*Inputs!C72</f>
        <v>52.342500000000001</v>
      </c>
      <c r="Y21" s="112">
        <f>Y18*Inputs!C71+Deployment_36M!Y37*Inputs!C72</f>
        <v>52.342500000000001</v>
      </c>
      <c r="Z21" s="112">
        <f>Z18*Inputs!C71+Deployment_36M!Z37*Inputs!C72</f>
        <v>52.342500000000001</v>
      </c>
      <c r="AA21" s="112">
        <f>AA18*Inputs!C71+Deployment_36M!AA37*Inputs!C72</f>
        <v>52.342500000000001</v>
      </c>
      <c r="AB21" s="112">
        <f>AB18*Inputs!C71+Deployment_36M!AB37*Inputs!C72</f>
        <v>54.959624999999996</v>
      </c>
      <c r="AC21" s="112">
        <f>AC18*Inputs!C71+Deployment_36M!AC37*Inputs!C72</f>
        <v>54.959624999999996</v>
      </c>
      <c r="AD21" s="112">
        <f>AD18*Inputs!C71+Deployment_36M!AD37*Inputs!C72</f>
        <v>54.959624999999996</v>
      </c>
      <c r="AE21" s="112">
        <f>AE18*Inputs!C71+Deployment_36M!AE37*Inputs!C72</f>
        <v>54.959624999999996</v>
      </c>
      <c r="AF21" s="112">
        <f>AF18*Inputs!C71+Deployment_36M!AF37*Inputs!C72</f>
        <v>54.959624999999996</v>
      </c>
      <c r="AG21" s="112">
        <f>AG18*Inputs!C71+Deployment_36M!AG37*Inputs!C72</f>
        <v>54.959624999999996</v>
      </c>
      <c r="AH21" s="112">
        <f>AH18*Inputs!C71+Deployment_36M!AH37*Inputs!C72</f>
        <v>54.959624999999996</v>
      </c>
      <c r="AI21" s="112">
        <f>AI18*Inputs!C71+Deployment_36M!AI37*Inputs!C72</f>
        <v>54.959624999999996</v>
      </c>
      <c r="AJ21" s="112">
        <f>AJ18*Inputs!C71+Deployment_36M!AJ37*Inputs!C72</f>
        <v>54.959624999999996</v>
      </c>
      <c r="AK21" s="112">
        <f>AK18*Inputs!C71+Deployment_36M!AK37*Inputs!C72</f>
        <v>54.959624999999996</v>
      </c>
      <c r="AL21" s="112">
        <f>AL18*Inputs!C71+Deployment_36M!AL37*Inputs!C72</f>
        <v>54.959624999999996</v>
      </c>
      <c r="AM21" s="113">
        <f>AM18*Inputs!C71+Deployment_36M!AM37*Inputs!C72</f>
        <v>54.959624999999996</v>
      </c>
    </row>
    <row r="22" spans="1:39">
      <c r="A22" s="26" t="s">
        <v>440</v>
      </c>
      <c r="B22" t="s">
        <v>221</v>
      </c>
      <c r="C22" s="27" t="s">
        <v>441</v>
      </c>
      <c r="D22" s="111">
        <f>((Inputs!C62+Deployment_36M!D56)*Inputs!C73+Deployment_36M!D32*Inputs!C74+Inputs!C75)*(1+Inputs!C17)^0</f>
        <v>18</v>
      </c>
      <c r="E22" s="112">
        <f>((Inputs!C62+Deployment_36M!E56)*Inputs!C73+Deployment_36M!E32*Inputs!C74+Inputs!C75)*(1+Inputs!C17)^0</f>
        <v>18</v>
      </c>
      <c r="F22" s="112">
        <f>((Inputs!C62+Deployment_36M!F56)*Inputs!C73+Deployment_36M!F32*Inputs!C74+Inputs!C75)*(1+Inputs!C17)^0</f>
        <v>72.525000000000006</v>
      </c>
      <c r="G22" s="112">
        <f>((Inputs!C62+Deployment_36M!G56)*Inputs!C73+Deployment_36M!G32*Inputs!C74+Inputs!C75)*(1+Inputs!C17)^0</f>
        <v>80.050000000000011</v>
      </c>
      <c r="H22" s="112">
        <f>((Inputs!C62+Deployment_36M!H56)*Inputs!C73+Deployment_36M!H32*Inputs!C74+Inputs!C75)*(1+Inputs!C17)^0</f>
        <v>87.575000000000003</v>
      </c>
      <c r="I22" s="112">
        <f>((Inputs!C62+Deployment_36M!I56)*Inputs!C73+Deployment_36M!I32*Inputs!C74+Inputs!C75)*(1+Inputs!C17)^0</f>
        <v>142.10000000000002</v>
      </c>
      <c r="J22" s="112">
        <f>((Inputs!C62+Deployment_36M!J56)*Inputs!C73+Deployment_36M!J32*Inputs!C74+Inputs!C75)*(1+Inputs!C17)^0</f>
        <v>142.10000000000002</v>
      </c>
      <c r="K22" s="112">
        <f>((Inputs!C62+Deployment_36M!K56)*Inputs!C73+Deployment_36M!K32*Inputs!C74+Inputs!C75)*(1+Inputs!C17)^0</f>
        <v>142.10000000000002</v>
      </c>
      <c r="L22" s="112">
        <f>((Inputs!C62+Deployment_36M!L56)*Inputs!C73+Deployment_36M!L32*Inputs!C74+Inputs!C75)*(1+Inputs!C17)^0</f>
        <v>142.10000000000002</v>
      </c>
      <c r="M22" s="112">
        <f>((Inputs!C62+Deployment_36M!M56)*Inputs!C73+Deployment_36M!M32*Inputs!C74+Inputs!C75)*(1+Inputs!C17)^0</f>
        <v>142.10000000000002</v>
      </c>
      <c r="N22" s="112">
        <f>((Inputs!C62+Deployment_36M!N56)*Inputs!C73+Deployment_36M!N32*Inputs!C74+Inputs!C75)*(1+Inputs!C17)^0</f>
        <v>142.10000000000002</v>
      </c>
      <c r="O22" s="112">
        <f>((Inputs!C62+Deployment_36M!O56)*Inputs!C73+Deployment_36M!O32*Inputs!C74+Inputs!C75)*(1+Inputs!C17)^0</f>
        <v>142.10000000000002</v>
      </c>
      <c r="P22" s="112">
        <f>((Inputs!C62+Deployment_36M!P56)*Inputs!C73+Deployment_36M!P32*Inputs!C74+Inputs!C75)*(1+Inputs!C17)^1</f>
        <v>149.20500000000004</v>
      </c>
      <c r="Q22" s="112">
        <f>((Inputs!C62+Deployment_36M!Q56)*Inputs!C73+Deployment_36M!Q32*Inputs!C74+Inputs!C75)*(1+Inputs!C17)^1</f>
        <v>149.20500000000004</v>
      </c>
      <c r="R22" s="112">
        <f>((Inputs!C62+Deployment_36M!R56)*Inputs!C73+Deployment_36M!R32*Inputs!C74+Inputs!C75)*(1+Inputs!C17)^1</f>
        <v>149.20500000000004</v>
      </c>
      <c r="S22" s="112">
        <f>((Inputs!C62+Deployment_36M!S56)*Inputs!C73+Deployment_36M!S32*Inputs!C74+Inputs!C75)*(1+Inputs!C17)^1</f>
        <v>149.20500000000004</v>
      </c>
      <c r="T22" s="112">
        <f>((Inputs!C62+Deployment_36M!T56)*Inputs!C73+Deployment_36M!T32*Inputs!C74+Inputs!C75)*(1+Inputs!C17)^1</f>
        <v>149.20500000000004</v>
      </c>
      <c r="U22" s="112">
        <f>((Inputs!C62+Deployment_36M!U56)*Inputs!C73+Deployment_36M!U32*Inputs!C74+Inputs!C75)*(1+Inputs!C17)^1</f>
        <v>149.20500000000004</v>
      </c>
      <c r="V22" s="112">
        <f>((Inputs!C62+Deployment_36M!V56)*Inputs!C73+Deployment_36M!V32*Inputs!C74+Inputs!C75)*(1+Inputs!C17)^1</f>
        <v>149.20500000000004</v>
      </c>
      <c r="W22" s="112">
        <f>((Inputs!C62+Deployment_36M!W56)*Inputs!C73+Deployment_36M!W32*Inputs!C74+Inputs!C75)*(1+Inputs!C17)^1</f>
        <v>149.20500000000004</v>
      </c>
      <c r="X22" s="112">
        <f>((Inputs!C62+Deployment_36M!X56)*Inputs!C73+Deployment_36M!X32*Inputs!C74+Inputs!C75)*(1+Inputs!C17)^1</f>
        <v>149.20500000000004</v>
      </c>
      <c r="Y22" s="112">
        <f>((Inputs!C62+Deployment_36M!Y56)*Inputs!C73+Deployment_36M!Y32*Inputs!C74+Inputs!C75)*(1+Inputs!C17)^1</f>
        <v>149.20500000000004</v>
      </c>
      <c r="Z22" s="112">
        <f>((Inputs!C62+Deployment_36M!Z56)*Inputs!C73+Deployment_36M!Z32*Inputs!C74+Inputs!C75)*(1+Inputs!C17)^1</f>
        <v>149.20500000000004</v>
      </c>
      <c r="AA22" s="112">
        <f>((Inputs!C62+Deployment_36M!AA56)*Inputs!C73+Deployment_36M!AA32*Inputs!C74+Inputs!C75)*(1+Inputs!C17)^1</f>
        <v>149.20500000000004</v>
      </c>
      <c r="AB22" s="112">
        <f>((Inputs!C62+Deployment_36M!AB56)*Inputs!C73+Deployment_36M!AB32*Inputs!C74+Inputs!C75)*(1+Inputs!C17)^2</f>
        <v>156.66525000000004</v>
      </c>
      <c r="AC22" s="112">
        <f>((Inputs!C62+Deployment_36M!AC56)*Inputs!C73+Deployment_36M!AC32*Inputs!C74+Inputs!C75)*(1+Inputs!C17)^2</f>
        <v>156.66525000000004</v>
      </c>
      <c r="AD22" s="112">
        <f>((Inputs!C62+Deployment_36M!AD56)*Inputs!C73+Deployment_36M!AD32*Inputs!C74+Inputs!C75)*(1+Inputs!C17)^2</f>
        <v>156.66525000000004</v>
      </c>
      <c r="AE22" s="112">
        <f>((Inputs!C62+Deployment_36M!AE56)*Inputs!C73+Deployment_36M!AE32*Inputs!C74+Inputs!C75)*(1+Inputs!C17)^2</f>
        <v>156.66525000000004</v>
      </c>
      <c r="AF22" s="112">
        <f>((Inputs!C62+Deployment_36M!AF56)*Inputs!C73+Deployment_36M!AF32*Inputs!C74+Inputs!C75)*(1+Inputs!C17)^2</f>
        <v>156.66525000000004</v>
      </c>
      <c r="AG22" s="112">
        <f>((Inputs!C62+Deployment_36M!AG56)*Inputs!C73+Deployment_36M!AG32*Inputs!C74+Inputs!C75)*(1+Inputs!C17)^2</f>
        <v>156.66525000000004</v>
      </c>
      <c r="AH22" s="112">
        <f>((Inputs!C62+Deployment_36M!AH56)*Inputs!C73+Deployment_36M!AH32*Inputs!C74+Inputs!C75)*(1+Inputs!C17)^2</f>
        <v>156.66525000000004</v>
      </c>
      <c r="AI22" s="112">
        <f>((Inputs!C62+Deployment_36M!AI56)*Inputs!C73+Deployment_36M!AI32*Inputs!C74+Inputs!C75)*(1+Inputs!C17)^2</f>
        <v>156.66525000000004</v>
      </c>
      <c r="AJ22" s="112">
        <f>((Inputs!C62+Deployment_36M!AJ56)*Inputs!C73+Deployment_36M!AJ32*Inputs!C74+Inputs!C75)*(1+Inputs!C17)^2</f>
        <v>156.66525000000004</v>
      </c>
      <c r="AK22" s="112">
        <f>((Inputs!C62+Deployment_36M!AK56)*Inputs!C73+Deployment_36M!AK32*Inputs!C74+Inputs!C75)*(1+Inputs!C17)^2</f>
        <v>156.66525000000004</v>
      </c>
      <c r="AL22" s="112">
        <f>((Inputs!C62+Deployment_36M!AL56)*Inputs!C73+Deployment_36M!AL32*Inputs!C74+Inputs!C75)*(1+Inputs!C17)^2</f>
        <v>156.66525000000004</v>
      </c>
      <c r="AM22" s="113">
        <f>((Inputs!C62+Deployment_36M!AM56)*Inputs!C73+Deployment_36M!AM32*Inputs!C74+Inputs!C75)*(1+Inputs!C17)^2</f>
        <v>156.66525000000004</v>
      </c>
    </row>
    <row r="23" spans="1:39">
      <c r="A23" s="26" t="s">
        <v>442</v>
      </c>
      <c r="B23" t="s">
        <v>221</v>
      </c>
      <c r="C23" s="27" t="s">
        <v>443</v>
      </c>
      <c r="D23" s="111">
        <f>Inputs!C76*(1+Inputs!C17)^0</f>
        <v>75</v>
      </c>
      <c r="E23" s="112">
        <f>Inputs!C76*(1+Inputs!C17)^0</f>
        <v>75</v>
      </c>
      <c r="F23" s="112">
        <f>Inputs!C76*(1+Inputs!C17)^0</f>
        <v>75</v>
      </c>
      <c r="G23" s="112">
        <f>Inputs!C76*(1+Inputs!C17)^0</f>
        <v>75</v>
      </c>
      <c r="H23" s="112">
        <f>Inputs!C76*(1+Inputs!C17)^0</f>
        <v>75</v>
      </c>
      <c r="I23" s="112">
        <f>Inputs!C76*(1+Inputs!C17)^0</f>
        <v>75</v>
      </c>
      <c r="J23" s="112">
        <f>Inputs!C76*(1+Inputs!C17)^0</f>
        <v>75</v>
      </c>
      <c r="K23" s="112">
        <f>Inputs!C76*(1+Inputs!C17)^0</f>
        <v>75</v>
      </c>
      <c r="L23" s="112">
        <f>Inputs!C76*(1+Inputs!C17)^0</f>
        <v>75</v>
      </c>
      <c r="M23" s="112">
        <f>Inputs!C76*(1+Inputs!C17)^0</f>
        <v>75</v>
      </c>
      <c r="N23" s="112">
        <f>Inputs!C76*(1+Inputs!C17)^0</f>
        <v>75</v>
      </c>
      <c r="O23" s="112">
        <f>Inputs!C76*(1+Inputs!C17)^0</f>
        <v>75</v>
      </c>
      <c r="P23" s="112">
        <f>Inputs!C76*(1+Inputs!C17)^1</f>
        <v>78.75</v>
      </c>
      <c r="Q23" s="112">
        <f>Inputs!C76*(1+Inputs!C17)^1</f>
        <v>78.75</v>
      </c>
      <c r="R23" s="112">
        <f>Inputs!C76*(1+Inputs!C17)^1</f>
        <v>78.75</v>
      </c>
      <c r="S23" s="112">
        <f>Inputs!C76*(1+Inputs!C17)^1</f>
        <v>78.75</v>
      </c>
      <c r="T23" s="112">
        <f>Inputs!C76*(1+Inputs!C17)^1</f>
        <v>78.75</v>
      </c>
      <c r="U23" s="112">
        <f>Inputs!C76*(1+Inputs!C17)^1</f>
        <v>78.75</v>
      </c>
      <c r="V23" s="112">
        <f>Inputs!C76*(1+Inputs!C17)^1</f>
        <v>78.75</v>
      </c>
      <c r="W23" s="112">
        <f>Inputs!C76*(1+Inputs!C17)^1</f>
        <v>78.75</v>
      </c>
      <c r="X23" s="112">
        <f>Inputs!C76*(1+Inputs!C17)^1</f>
        <v>78.75</v>
      </c>
      <c r="Y23" s="112">
        <f>Inputs!C76*(1+Inputs!C17)^1</f>
        <v>78.75</v>
      </c>
      <c r="Z23" s="112">
        <f>Inputs!C76*(1+Inputs!C17)^1</f>
        <v>78.75</v>
      </c>
      <c r="AA23" s="112">
        <f>Inputs!C76*(1+Inputs!C17)^1</f>
        <v>78.75</v>
      </c>
      <c r="AB23" s="112">
        <f>Inputs!C76*(1+Inputs!C17)^2</f>
        <v>82.6875</v>
      </c>
      <c r="AC23" s="112">
        <f>Inputs!C76*(1+Inputs!C17)^2</f>
        <v>82.6875</v>
      </c>
      <c r="AD23" s="112">
        <f>Inputs!C76*(1+Inputs!C17)^2</f>
        <v>82.6875</v>
      </c>
      <c r="AE23" s="112">
        <f>Inputs!C76*(1+Inputs!C17)^2</f>
        <v>82.6875</v>
      </c>
      <c r="AF23" s="112">
        <f>Inputs!C76*(1+Inputs!C17)^2</f>
        <v>82.6875</v>
      </c>
      <c r="AG23" s="112">
        <f>Inputs!C76*(1+Inputs!C17)^2</f>
        <v>82.6875</v>
      </c>
      <c r="AH23" s="112">
        <f>Inputs!C76*(1+Inputs!C17)^2</f>
        <v>82.6875</v>
      </c>
      <c r="AI23" s="112">
        <f>Inputs!C76*(1+Inputs!C17)^2</f>
        <v>82.6875</v>
      </c>
      <c r="AJ23" s="112">
        <f>Inputs!C76*(1+Inputs!C17)^2</f>
        <v>82.6875</v>
      </c>
      <c r="AK23" s="112">
        <f>Inputs!C76*(1+Inputs!C17)^2</f>
        <v>82.6875</v>
      </c>
      <c r="AL23" s="112">
        <f>Inputs!C76*(1+Inputs!C17)^2</f>
        <v>82.6875</v>
      </c>
      <c r="AM23" s="113">
        <f>Inputs!C76*(1+Inputs!C17)^2</f>
        <v>82.6875</v>
      </c>
    </row>
    <row r="24" spans="1:39">
      <c r="A24" s="26" t="s">
        <v>278</v>
      </c>
      <c r="B24" t="s">
        <v>221</v>
      </c>
      <c r="C24" s="27" t="s">
        <v>444</v>
      </c>
      <c r="D24" s="111">
        <f>Inputs!C77*(1+Inputs!C17)^0</f>
        <v>10</v>
      </c>
      <c r="E24" s="112">
        <f>Inputs!C77*(1+Inputs!C17)^0</f>
        <v>10</v>
      </c>
      <c r="F24" s="112">
        <f>Inputs!C77*(1+Inputs!C17)^0</f>
        <v>10</v>
      </c>
      <c r="G24" s="112">
        <f>Inputs!C77*(1+Inputs!C17)^0</f>
        <v>10</v>
      </c>
      <c r="H24" s="112">
        <f>Inputs!C77*(1+Inputs!C17)^0</f>
        <v>10</v>
      </c>
      <c r="I24" s="112">
        <f>Inputs!C77*(1+Inputs!C17)^0</f>
        <v>10</v>
      </c>
      <c r="J24" s="112">
        <f>Inputs!C77*(1+Inputs!C17)^0</f>
        <v>10</v>
      </c>
      <c r="K24" s="112">
        <f>Inputs!C77*(1+Inputs!C17)^0</f>
        <v>10</v>
      </c>
      <c r="L24" s="112">
        <f>Inputs!C77*(1+Inputs!C17)^0</f>
        <v>10</v>
      </c>
      <c r="M24" s="112">
        <f>Inputs!C77*(1+Inputs!C17)^0</f>
        <v>10</v>
      </c>
      <c r="N24" s="112">
        <f>Inputs!C77*(1+Inputs!C17)^0</f>
        <v>10</v>
      </c>
      <c r="O24" s="112">
        <f>Inputs!C77*(1+Inputs!C17)^0</f>
        <v>10</v>
      </c>
      <c r="P24" s="112">
        <f>Inputs!C77*(1+Inputs!C17)^1</f>
        <v>10.5</v>
      </c>
      <c r="Q24" s="112">
        <f>Inputs!C77*(1+Inputs!C17)^1</f>
        <v>10.5</v>
      </c>
      <c r="R24" s="112">
        <f>Inputs!C77*(1+Inputs!C17)^1</f>
        <v>10.5</v>
      </c>
      <c r="S24" s="112">
        <f>Inputs!C77*(1+Inputs!C17)^1</f>
        <v>10.5</v>
      </c>
      <c r="T24" s="112">
        <f>Inputs!C77*(1+Inputs!C17)^1</f>
        <v>10.5</v>
      </c>
      <c r="U24" s="112">
        <f>Inputs!C77*(1+Inputs!C17)^1</f>
        <v>10.5</v>
      </c>
      <c r="V24" s="112">
        <f>Inputs!C77*(1+Inputs!C17)^1</f>
        <v>10.5</v>
      </c>
      <c r="W24" s="112">
        <f>Inputs!C77*(1+Inputs!C17)^1</f>
        <v>10.5</v>
      </c>
      <c r="X24" s="112">
        <f>Inputs!C77*(1+Inputs!C17)^1</f>
        <v>10.5</v>
      </c>
      <c r="Y24" s="112">
        <f>Inputs!C77*(1+Inputs!C17)^1</f>
        <v>10.5</v>
      </c>
      <c r="Z24" s="112">
        <f>Inputs!C77*(1+Inputs!C17)^1</f>
        <v>10.5</v>
      </c>
      <c r="AA24" s="112">
        <f>Inputs!C77*(1+Inputs!C17)^1</f>
        <v>10.5</v>
      </c>
      <c r="AB24" s="112">
        <f>Inputs!C77*(1+Inputs!C17)^2</f>
        <v>11.025</v>
      </c>
      <c r="AC24" s="112">
        <f>Inputs!C77*(1+Inputs!C17)^2</f>
        <v>11.025</v>
      </c>
      <c r="AD24" s="112">
        <f>Inputs!C77*(1+Inputs!C17)^2</f>
        <v>11.025</v>
      </c>
      <c r="AE24" s="112">
        <f>Inputs!C77*(1+Inputs!C17)^2</f>
        <v>11.025</v>
      </c>
      <c r="AF24" s="112">
        <f>Inputs!C77*(1+Inputs!C17)^2</f>
        <v>11.025</v>
      </c>
      <c r="AG24" s="112">
        <f>Inputs!C77*(1+Inputs!C17)^2</f>
        <v>11.025</v>
      </c>
      <c r="AH24" s="112">
        <f>Inputs!C77*(1+Inputs!C17)^2</f>
        <v>11.025</v>
      </c>
      <c r="AI24" s="112">
        <f>Inputs!C77*(1+Inputs!C17)^2</f>
        <v>11.025</v>
      </c>
      <c r="AJ24" s="112">
        <f>Inputs!C77*(1+Inputs!C17)^2</f>
        <v>11.025</v>
      </c>
      <c r="AK24" s="112">
        <f>Inputs!C77*(1+Inputs!C17)^2</f>
        <v>11.025</v>
      </c>
      <c r="AL24" s="112">
        <f>Inputs!C77*(1+Inputs!C17)^2</f>
        <v>11.025</v>
      </c>
      <c r="AM24" s="113">
        <f>Inputs!C77*(1+Inputs!C17)^2</f>
        <v>11.025</v>
      </c>
    </row>
    <row r="25" spans="1:39">
      <c r="A25" s="26" t="s">
        <v>280</v>
      </c>
      <c r="B25" t="s">
        <v>221</v>
      </c>
      <c r="C25" s="27" t="s">
        <v>445</v>
      </c>
      <c r="D25" s="111">
        <f>Deployment_36M!D21*Inputs!C78*(1+Inputs!C17)^0</f>
        <v>0</v>
      </c>
      <c r="E25" s="112">
        <f>Deployment_36M!E21*Inputs!C78*(1+Inputs!C17)^0</f>
        <v>0</v>
      </c>
      <c r="F25" s="112">
        <f>Deployment_36M!F21*Inputs!C78*(1+Inputs!C17)^0</f>
        <v>20</v>
      </c>
      <c r="G25" s="112">
        <f>Deployment_36M!G21*Inputs!C78*(1+Inputs!C17)^0</f>
        <v>60</v>
      </c>
      <c r="H25" s="112">
        <f>Deployment_36M!H21*Inputs!C78*(1+Inputs!C17)^0</f>
        <v>100</v>
      </c>
      <c r="I25" s="112">
        <f>Deployment_36M!I21*Inputs!C78*(1+Inputs!C17)^0</f>
        <v>140</v>
      </c>
      <c r="J25" s="112">
        <f>Deployment_36M!J21*Inputs!C78*(1+Inputs!C17)^0</f>
        <v>160</v>
      </c>
      <c r="K25" s="112">
        <f>Deployment_36M!K21*Inputs!C78*(1+Inputs!C17)^0</f>
        <v>160</v>
      </c>
      <c r="L25" s="112">
        <f>Deployment_36M!L21*Inputs!C78*(1+Inputs!C17)^0</f>
        <v>160</v>
      </c>
      <c r="M25" s="112">
        <f>Deployment_36M!M21*Inputs!C78*(1+Inputs!C17)^0</f>
        <v>160</v>
      </c>
      <c r="N25" s="112">
        <f>Deployment_36M!N21*Inputs!C78*(1+Inputs!C17)^0</f>
        <v>160</v>
      </c>
      <c r="O25" s="112">
        <f>Deployment_36M!O21*Inputs!C78*(1+Inputs!C17)^0</f>
        <v>160</v>
      </c>
      <c r="P25" s="112">
        <f>Deployment_36M!P21*Inputs!C78*(1+Inputs!C17)^1</f>
        <v>168</v>
      </c>
      <c r="Q25" s="112">
        <f>Deployment_36M!Q21*Inputs!C78*(1+Inputs!C17)^1</f>
        <v>168</v>
      </c>
      <c r="R25" s="112">
        <f>Deployment_36M!R21*Inputs!C78*(1+Inputs!C17)^1</f>
        <v>168</v>
      </c>
      <c r="S25" s="112">
        <f>Deployment_36M!S21*Inputs!C78*(1+Inputs!C17)^1</f>
        <v>168</v>
      </c>
      <c r="T25" s="112">
        <f>Deployment_36M!T21*Inputs!C78*(1+Inputs!C17)^1</f>
        <v>168</v>
      </c>
      <c r="U25" s="112">
        <f>Deployment_36M!U21*Inputs!C78*(1+Inputs!C17)^1</f>
        <v>168</v>
      </c>
      <c r="V25" s="112">
        <f>Deployment_36M!V21*Inputs!C78*(1+Inputs!C17)^1</f>
        <v>168</v>
      </c>
      <c r="W25" s="112">
        <f>Deployment_36M!W21*Inputs!C78*(1+Inputs!C17)^1</f>
        <v>168</v>
      </c>
      <c r="X25" s="112">
        <f>Deployment_36M!X21*Inputs!C78*(1+Inputs!C17)^1</f>
        <v>168</v>
      </c>
      <c r="Y25" s="112">
        <f>Deployment_36M!Y21*Inputs!C78*(1+Inputs!C17)^1</f>
        <v>168</v>
      </c>
      <c r="Z25" s="112">
        <f>Deployment_36M!Z21*Inputs!C78*(1+Inputs!C17)^1</f>
        <v>168</v>
      </c>
      <c r="AA25" s="112">
        <f>Deployment_36M!AA21*Inputs!C78*(1+Inputs!C17)^1</f>
        <v>168</v>
      </c>
      <c r="AB25" s="112">
        <f>Deployment_36M!AB21*Inputs!C78*(1+Inputs!C17)^2</f>
        <v>176.4</v>
      </c>
      <c r="AC25" s="112">
        <f>Deployment_36M!AC21*Inputs!C78*(1+Inputs!C17)^2</f>
        <v>176.4</v>
      </c>
      <c r="AD25" s="112">
        <f>Deployment_36M!AD21*Inputs!C78*(1+Inputs!C17)^2</f>
        <v>176.4</v>
      </c>
      <c r="AE25" s="112">
        <f>Deployment_36M!AE21*Inputs!C78*(1+Inputs!C17)^2</f>
        <v>176.4</v>
      </c>
      <c r="AF25" s="112">
        <f>Deployment_36M!AF21*Inputs!C78*(1+Inputs!C17)^2</f>
        <v>176.4</v>
      </c>
      <c r="AG25" s="112">
        <f>Deployment_36M!AG21*Inputs!C78*(1+Inputs!C17)^2</f>
        <v>176.4</v>
      </c>
      <c r="AH25" s="112">
        <f>Deployment_36M!AH21*Inputs!C78*(1+Inputs!C17)^2</f>
        <v>176.4</v>
      </c>
      <c r="AI25" s="112">
        <f>Deployment_36M!AI21*Inputs!C78*(1+Inputs!C17)^2</f>
        <v>176.4</v>
      </c>
      <c r="AJ25" s="112">
        <f>Deployment_36M!AJ21*Inputs!C78*(1+Inputs!C17)^2</f>
        <v>176.4</v>
      </c>
      <c r="AK25" s="112">
        <f>Deployment_36M!AK21*Inputs!C78*(1+Inputs!C17)^2</f>
        <v>176.4</v>
      </c>
      <c r="AL25" s="112">
        <f>Deployment_36M!AL21*Inputs!C78*(1+Inputs!C17)^2</f>
        <v>176.4</v>
      </c>
      <c r="AM25" s="113">
        <f>Deployment_36M!AM21*Inputs!C78*(1+Inputs!C17)^2</f>
        <v>176.4</v>
      </c>
    </row>
    <row r="26" spans="1:39">
      <c r="A26" s="26" t="s">
        <v>283</v>
      </c>
      <c r="B26" t="s">
        <v>221</v>
      </c>
      <c r="C26" s="27" t="s">
        <v>446</v>
      </c>
      <c r="D26" s="111">
        <f>Deployment_36M!D32*Inputs!C79*(1+Inputs!C17)^0</f>
        <v>0</v>
      </c>
      <c r="E26" s="112">
        <f>Deployment_36M!E32*Inputs!C79*(1+Inputs!C17)^0</f>
        <v>0</v>
      </c>
      <c r="F26" s="112">
        <f>Deployment_36M!F32*Inputs!C79*(1+Inputs!C17)^0</f>
        <v>40</v>
      </c>
      <c r="G26" s="112">
        <f>Deployment_36M!G32*Inputs!C79*(1+Inputs!C17)^0</f>
        <v>40</v>
      </c>
      <c r="H26" s="112">
        <f>Deployment_36M!H32*Inputs!C79*(1+Inputs!C17)^0</f>
        <v>40</v>
      </c>
      <c r="I26" s="112">
        <f>Deployment_36M!I32*Inputs!C79*(1+Inputs!C17)^0</f>
        <v>80</v>
      </c>
      <c r="J26" s="112">
        <f>Deployment_36M!J32*Inputs!C79*(1+Inputs!C17)^0</f>
        <v>80</v>
      </c>
      <c r="K26" s="112">
        <f>Deployment_36M!K32*Inputs!C79*(1+Inputs!C17)^0</f>
        <v>80</v>
      </c>
      <c r="L26" s="112">
        <f>Deployment_36M!L32*Inputs!C79*(1+Inputs!C17)^0</f>
        <v>80</v>
      </c>
      <c r="M26" s="112">
        <f>Deployment_36M!M32*Inputs!C79*(1+Inputs!C17)^0</f>
        <v>80</v>
      </c>
      <c r="N26" s="112">
        <f>Deployment_36M!N32*Inputs!C79*(1+Inputs!C17)^0</f>
        <v>80</v>
      </c>
      <c r="O26" s="112">
        <f>Deployment_36M!O32*Inputs!C79*(1+Inputs!C17)^0</f>
        <v>80</v>
      </c>
      <c r="P26" s="112">
        <f>Deployment_36M!P32*Inputs!C79*(1+Inputs!C17)^1</f>
        <v>84</v>
      </c>
      <c r="Q26" s="112">
        <f>Deployment_36M!Q32*Inputs!C79*(1+Inputs!C17)^1</f>
        <v>84</v>
      </c>
      <c r="R26" s="112">
        <f>Deployment_36M!R32*Inputs!C79*(1+Inputs!C17)^1</f>
        <v>84</v>
      </c>
      <c r="S26" s="112">
        <f>Deployment_36M!S32*Inputs!C79*(1+Inputs!C17)^1</f>
        <v>84</v>
      </c>
      <c r="T26" s="112">
        <f>Deployment_36M!T32*Inputs!C79*(1+Inputs!C17)^1</f>
        <v>84</v>
      </c>
      <c r="U26" s="112">
        <f>Deployment_36M!U32*Inputs!C79*(1+Inputs!C17)^1</f>
        <v>84</v>
      </c>
      <c r="V26" s="112">
        <f>Deployment_36M!V32*Inputs!C79*(1+Inputs!C17)^1</f>
        <v>84</v>
      </c>
      <c r="W26" s="112">
        <f>Deployment_36M!W32*Inputs!C79*(1+Inputs!C17)^1</f>
        <v>84</v>
      </c>
      <c r="X26" s="112">
        <f>Deployment_36M!X32*Inputs!C79*(1+Inputs!C17)^1</f>
        <v>84</v>
      </c>
      <c r="Y26" s="112">
        <f>Deployment_36M!Y32*Inputs!C79*(1+Inputs!C17)^1</f>
        <v>84</v>
      </c>
      <c r="Z26" s="112">
        <f>Deployment_36M!Z32*Inputs!C79*(1+Inputs!C17)^1</f>
        <v>84</v>
      </c>
      <c r="AA26" s="112">
        <f>Deployment_36M!AA32*Inputs!C79*(1+Inputs!C17)^1</f>
        <v>84</v>
      </c>
      <c r="AB26" s="112">
        <f>Deployment_36M!AB32*Inputs!C79*(1+Inputs!C17)^2</f>
        <v>88.2</v>
      </c>
      <c r="AC26" s="112">
        <f>Deployment_36M!AC32*Inputs!C79*(1+Inputs!C17)^2</f>
        <v>88.2</v>
      </c>
      <c r="AD26" s="112">
        <f>Deployment_36M!AD32*Inputs!C79*(1+Inputs!C17)^2</f>
        <v>88.2</v>
      </c>
      <c r="AE26" s="112">
        <f>Deployment_36M!AE32*Inputs!C79*(1+Inputs!C17)^2</f>
        <v>88.2</v>
      </c>
      <c r="AF26" s="112">
        <f>Deployment_36M!AF32*Inputs!C79*(1+Inputs!C17)^2</f>
        <v>88.2</v>
      </c>
      <c r="AG26" s="112">
        <f>Deployment_36M!AG32*Inputs!C79*(1+Inputs!C17)^2</f>
        <v>88.2</v>
      </c>
      <c r="AH26" s="112">
        <f>Deployment_36M!AH32*Inputs!C79*(1+Inputs!C17)^2</f>
        <v>88.2</v>
      </c>
      <c r="AI26" s="112">
        <f>Deployment_36M!AI32*Inputs!C79*(1+Inputs!C17)^2</f>
        <v>88.2</v>
      </c>
      <c r="AJ26" s="112">
        <f>Deployment_36M!AJ32*Inputs!C79*(1+Inputs!C17)^2</f>
        <v>88.2</v>
      </c>
      <c r="AK26" s="112">
        <f>Deployment_36M!AK32*Inputs!C79*(1+Inputs!C17)^2</f>
        <v>88.2</v>
      </c>
      <c r="AL26" s="112">
        <f>Deployment_36M!AL32*Inputs!C79*(1+Inputs!C17)^2</f>
        <v>88.2</v>
      </c>
      <c r="AM26" s="113">
        <f>Deployment_36M!AM32*Inputs!C79*(1+Inputs!C17)^2</f>
        <v>88.2</v>
      </c>
    </row>
    <row r="27" spans="1:39">
      <c r="A27" s="26" t="s">
        <v>285</v>
      </c>
      <c r="B27" t="s">
        <v>221</v>
      </c>
      <c r="C27" s="27" t="s">
        <v>430</v>
      </c>
      <c r="D27" s="111">
        <f>Deployment_36M!D21*Inputs!C80*(1+Inputs!C17)^0</f>
        <v>0</v>
      </c>
      <c r="E27" s="112">
        <f>Deployment_36M!E21*Inputs!C80*(1+Inputs!C17)^0</f>
        <v>0</v>
      </c>
      <c r="F27" s="112">
        <f>Deployment_36M!F21*Inputs!C80*(1+Inputs!C17)^0</f>
        <v>25</v>
      </c>
      <c r="G27" s="112">
        <f>Deployment_36M!G21*Inputs!C80*(1+Inputs!C17)^0</f>
        <v>75</v>
      </c>
      <c r="H27" s="112">
        <f>Deployment_36M!H21*Inputs!C80*(1+Inputs!C17)^0</f>
        <v>125</v>
      </c>
      <c r="I27" s="112">
        <f>Deployment_36M!I21*Inputs!C80*(1+Inputs!C17)^0</f>
        <v>175</v>
      </c>
      <c r="J27" s="112">
        <f>Deployment_36M!J21*Inputs!C80*(1+Inputs!C17)^0</f>
        <v>200</v>
      </c>
      <c r="K27" s="112">
        <f>Deployment_36M!K21*Inputs!C80*(1+Inputs!C17)^0</f>
        <v>200</v>
      </c>
      <c r="L27" s="112">
        <f>Deployment_36M!L21*Inputs!C80*(1+Inputs!C17)^0</f>
        <v>200</v>
      </c>
      <c r="M27" s="112">
        <f>Deployment_36M!M21*Inputs!C80*(1+Inputs!C17)^0</f>
        <v>200</v>
      </c>
      <c r="N27" s="112">
        <f>Deployment_36M!N21*Inputs!C80*(1+Inputs!C17)^0</f>
        <v>200</v>
      </c>
      <c r="O27" s="112">
        <f>Deployment_36M!O21*Inputs!C80*(1+Inputs!C17)^0</f>
        <v>200</v>
      </c>
      <c r="P27" s="112">
        <f>Deployment_36M!P21*Inputs!C80*(1+Inputs!C17)^1</f>
        <v>210</v>
      </c>
      <c r="Q27" s="112">
        <f>Deployment_36M!Q21*Inputs!C80*(1+Inputs!C17)^1</f>
        <v>210</v>
      </c>
      <c r="R27" s="112">
        <f>Deployment_36M!R21*Inputs!C80*(1+Inputs!C17)^1</f>
        <v>210</v>
      </c>
      <c r="S27" s="112">
        <f>Deployment_36M!S21*Inputs!C80*(1+Inputs!C17)^1</f>
        <v>210</v>
      </c>
      <c r="T27" s="112">
        <f>Deployment_36M!T21*Inputs!C80*(1+Inputs!C17)^1</f>
        <v>210</v>
      </c>
      <c r="U27" s="112">
        <f>Deployment_36M!U21*Inputs!C80*(1+Inputs!C17)^1</f>
        <v>210</v>
      </c>
      <c r="V27" s="112">
        <f>Deployment_36M!V21*Inputs!C80*(1+Inputs!C17)^1</f>
        <v>210</v>
      </c>
      <c r="W27" s="112">
        <f>Deployment_36M!W21*Inputs!C80*(1+Inputs!C17)^1</f>
        <v>210</v>
      </c>
      <c r="X27" s="112">
        <f>Deployment_36M!X21*Inputs!C80*(1+Inputs!C17)^1</f>
        <v>210</v>
      </c>
      <c r="Y27" s="112">
        <f>Deployment_36M!Y21*Inputs!C80*(1+Inputs!C17)^1</f>
        <v>210</v>
      </c>
      <c r="Z27" s="112">
        <f>Deployment_36M!Z21*Inputs!C80*(1+Inputs!C17)^1</f>
        <v>210</v>
      </c>
      <c r="AA27" s="112">
        <f>Deployment_36M!AA21*Inputs!C80*(1+Inputs!C17)^1</f>
        <v>210</v>
      </c>
      <c r="AB27" s="112">
        <f>Deployment_36M!AB21*Inputs!C80*(1+Inputs!C17)^2</f>
        <v>220.5</v>
      </c>
      <c r="AC27" s="112">
        <f>Deployment_36M!AC21*Inputs!C80*(1+Inputs!C17)^2</f>
        <v>220.5</v>
      </c>
      <c r="AD27" s="112">
        <f>Deployment_36M!AD21*Inputs!C80*(1+Inputs!C17)^2</f>
        <v>220.5</v>
      </c>
      <c r="AE27" s="112">
        <f>Deployment_36M!AE21*Inputs!C80*(1+Inputs!C17)^2</f>
        <v>220.5</v>
      </c>
      <c r="AF27" s="112">
        <f>Deployment_36M!AF21*Inputs!C80*(1+Inputs!C17)^2</f>
        <v>220.5</v>
      </c>
      <c r="AG27" s="112">
        <f>Deployment_36M!AG21*Inputs!C80*(1+Inputs!C17)^2</f>
        <v>220.5</v>
      </c>
      <c r="AH27" s="112">
        <f>Deployment_36M!AH21*Inputs!C80*(1+Inputs!C17)^2</f>
        <v>220.5</v>
      </c>
      <c r="AI27" s="112">
        <f>Deployment_36M!AI21*Inputs!C80*(1+Inputs!C17)^2</f>
        <v>220.5</v>
      </c>
      <c r="AJ27" s="112">
        <f>Deployment_36M!AJ21*Inputs!C80*(1+Inputs!C17)^2</f>
        <v>220.5</v>
      </c>
      <c r="AK27" s="112">
        <f>Deployment_36M!AK21*Inputs!C80*(1+Inputs!C17)^2</f>
        <v>220.5</v>
      </c>
      <c r="AL27" s="112">
        <f>Deployment_36M!AL21*Inputs!C80*(1+Inputs!C17)^2</f>
        <v>220.5</v>
      </c>
      <c r="AM27" s="113">
        <f>Deployment_36M!AM21*Inputs!C80*(1+Inputs!C17)^2</f>
        <v>220.5</v>
      </c>
    </row>
    <row r="28" spans="1:39">
      <c r="A28" s="34" t="s">
        <v>447</v>
      </c>
      <c r="B28" s="35" t="s">
        <v>221</v>
      </c>
      <c r="C28" s="36" t="s">
        <v>448</v>
      </c>
      <c r="D28" s="117">
        <f t="shared" ref="D28:AM28" si="3">D11+D20+D21+D22+D23+D24+D25+D26+D27</f>
        <v>523</v>
      </c>
      <c r="E28" s="118">
        <f t="shared" si="3"/>
        <v>523</v>
      </c>
      <c r="F28" s="118">
        <f t="shared" si="3"/>
        <v>2718.1312499999999</v>
      </c>
      <c r="G28" s="118">
        <f t="shared" si="3"/>
        <v>6044.5687500000004</v>
      </c>
      <c r="H28" s="118">
        <f t="shared" si="3"/>
        <v>9355.9395833333328</v>
      </c>
      <c r="I28" s="118">
        <f t="shared" si="3"/>
        <v>12839.670416666666</v>
      </c>
      <c r="J28" s="118">
        <f t="shared" si="3"/>
        <v>13496.536666666667</v>
      </c>
      <c r="K28" s="118">
        <f t="shared" si="3"/>
        <v>12367.576666666668</v>
      </c>
      <c r="L28" s="118">
        <f t="shared" si="3"/>
        <v>13496.536666666667</v>
      </c>
      <c r="M28" s="118">
        <f t="shared" si="3"/>
        <v>13120.216666666667</v>
      </c>
      <c r="N28" s="118">
        <f t="shared" si="3"/>
        <v>13496.536666666667</v>
      </c>
      <c r="O28" s="118">
        <f t="shared" si="3"/>
        <v>13120.216666666667</v>
      </c>
      <c r="P28" s="118">
        <f t="shared" si="3"/>
        <v>12989.824166666665</v>
      </c>
      <c r="Q28" s="118">
        <f t="shared" si="3"/>
        <v>12989.824166666665</v>
      </c>
      <c r="R28" s="118">
        <f t="shared" si="3"/>
        <v>12632.614166666666</v>
      </c>
      <c r="S28" s="118">
        <f t="shared" si="3"/>
        <v>12989.824166666665</v>
      </c>
      <c r="T28" s="118">
        <f t="shared" si="3"/>
        <v>12632.614166666666</v>
      </c>
      <c r="U28" s="118">
        <f t="shared" si="3"/>
        <v>12989.824166666665</v>
      </c>
      <c r="V28" s="118">
        <f t="shared" si="3"/>
        <v>12989.824166666665</v>
      </c>
      <c r="W28" s="118">
        <f t="shared" si="3"/>
        <v>12275.404166666667</v>
      </c>
      <c r="X28" s="118">
        <f t="shared" si="3"/>
        <v>12989.824166666665</v>
      </c>
      <c r="Y28" s="118">
        <f t="shared" si="3"/>
        <v>12632.614166666666</v>
      </c>
      <c r="Z28" s="118">
        <f t="shared" si="3"/>
        <v>12989.824166666665</v>
      </c>
      <c r="AA28" s="118">
        <f t="shared" si="3"/>
        <v>12632.614166666666</v>
      </c>
      <c r="AB28" s="118">
        <f t="shared" si="3"/>
        <v>12487.396541666667</v>
      </c>
      <c r="AC28" s="118">
        <f t="shared" si="3"/>
        <v>12487.396541666667</v>
      </c>
      <c r="AD28" s="118">
        <f t="shared" si="3"/>
        <v>12149.296541666665</v>
      </c>
      <c r="AE28" s="118">
        <f t="shared" si="3"/>
        <v>12487.396541666667</v>
      </c>
      <c r="AF28" s="118">
        <f t="shared" si="3"/>
        <v>12149.296541666665</v>
      </c>
      <c r="AG28" s="118">
        <f t="shared" si="3"/>
        <v>12487.396541666667</v>
      </c>
      <c r="AH28" s="118">
        <f t="shared" si="3"/>
        <v>12487.396541666667</v>
      </c>
      <c r="AI28" s="118">
        <f t="shared" si="3"/>
        <v>11473.096541666664</v>
      </c>
      <c r="AJ28" s="118">
        <f t="shared" si="3"/>
        <v>12487.396541666667</v>
      </c>
      <c r="AK28" s="118">
        <f t="shared" si="3"/>
        <v>12149.296541666665</v>
      </c>
      <c r="AL28" s="118">
        <f t="shared" si="3"/>
        <v>12487.396541666667</v>
      </c>
      <c r="AM28" s="119">
        <f t="shared" si="3"/>
        <v>12149.296541666665</v>
      </c>
    </row>
    <row r="29" spans="1:39">
      <c r="A29" s="34" t="s">
        <v>449</v>
      </c>
      <c r="B29" s="35" t="s">
        <v>221</v>
      </c>
      <c r="C29" s="36" t="s">
        <v>450</v>
      </c>
      <c r="D29" s="117">
        <f>Revenue_36M!D20-D28</f>
        <v>-523</v>
      </c>
      <c r="E29" s="118">
        <f>Revenue_36M!E20-E28</f>
        <v>-523</v>
      </c>
      <c r="F29" s="118">
        <f>Revenue_36M!F20-F28</f>
        <v>1063.7503291810558</v>
      </c>
      <c r="G29" s="118">
        <f>Revenue_36M!G20-G28</f>
        <v>5722.7734347576243</v>
      </c>
      <c r="H29" s="118">
        <f>Revenue_36M!H20-H28</f>
        <v>9694.0812956805457</v>
      </c>
      <c r="I29" s="118">
        <f>Revenue_36M!I20-I28</f>
        <v>14642.017517220722</v>
      </c>
      <c r="J29" s="118">
        <f>Revenue_36M!J20-J28</f>
        <v>17873.135792120847</v>
      </c>
      <c r="K29" s="118">
        <f>Revenue_36M!K20-K28</f>
        <v>16071.473317433134</v>
      </c>
      <c r="L29" s="118">
        <f>Revenue_36M!L20-L28</f>
        <v>18106.405032905754</v>
      </c>
      <c r="M29" s="118">
        <f>Revenue_36M!M20-M28</f>
        <v>17576.776236026592</v>
      </c>
      <c r="N29" s="118">
        <f>Revenue_36M!N20-N28</f>
        <v>18341.408896159792</v>
      </c>
      <c r="O29" s="118">
        <f>Revenue_36M!O20-O28</f>
        <v>17805.043338215768</v>
      </c>
      <c r="P29" s="118">
        <f>Revenue_36M!P20-P28</f>
        <v>19084.872780776539</v>
      </c>
      <c r="Q29" s="118">
        <f>Revenue_36M!Q20-Q28</f>
        <v>19203.907850708267</v>
      </c>
      <c r="R29" s="118">
        <f>Revenue_36M!R20-R28</f>
        <v>18638.233105818032</v>
      </c>
      <c r="S29" s="118">
        <f>Revenue_36M!S20-S28</f>
        <v>19443.304912809952</v>
      </c>
      <c r="T29" s="118">
        <f>Revenue_36M!T20-T28</f>
        <v>18870.767468793514</v>
      </c>
      <c r="U29" s="118">
        <f>Revenue_36M!U20-U28</f>
        <v>19684.482164711066</v>
      </c>
      <c r="V29" s="118">
        <f>Revenue_36M!V20-V28</f>
        <v>19805.742494793034</v>
      </c>
      <c r="W29" s="118">
        <f>Revenue_36M!W20-W28</f>
        <v>18518.177553129732</v>
      </c>
      <c r="X29" s="118">
        <f>Revenue_36M!X20-X28</f>
        <v>20049.614882886344</v>
      </c>
      <c r="Y29" s="118">
        <f>Revenue_36M!Y20-Y28</f>
        <v>19459.696595239959</v>
      </c>
      <c r="Z29" s="118">
        <f>Revenue_36M!Z20-Z28</f>
        <v>20295.300739924664</v>
      </c>
      <c r="AA29" s="118">
        <f>Revenue_36M!AA20-AA28</f>
        <v>19698.33947480136</v>
      </c>
      <c r="AB29" s="118">
        <f>Revenue_36M!AB20-AB28</f>
        <v>21045.241176114883</v>
      </c>
      <c r="AC29" s="118">
        <f>Revenue_36M!AC20-AC28</f>
        <v>21169.686931043514</v>
      </c>
      <c r="AD29" s="118">
        <f>Revenue_36M!AD20-AD28</f>
        <v>20542.952879567369</v>
      </c>
      <c r="AE29" s="118">
        <f>Revenue_36M!AE20-AE28</f>
        <v>21419.965677786182</v>
      </c>
      <c r="AF29" s="118">
        <f>Revenue_36M!AF20-AF28</f>
        <v>20786.056986314441</v>
      </c>
      <c r="AG29" s="118">
        <f>Revenue_36M!AG20-AG28</f>
        <v>21672.105532046429</v>
      </c>
      <c r="AH29" s="118">
        <f>Revenue_36M!AH20-AH28</f>
        <v>21798.877695313953</v>
      </c>
      <c r="AI29" s="118">
        <f>Revenue_36M!AI20-AI28</f>
        <v>19610.079990541628</v>
      </c>
      <c r="AJ29" s="118">
        <f>Revenue_36M!AJ20-AJ28</f>
        <v>22053.835191956947</v>
      </c>
      <c r="AK29" s="118">
        <f>Revenue_36M!AK20-AK28</f>
        <v>21401.755618508447</v>
      </c>
      <c r="AL29" s="118">
        <f>Revenue_36M!AL20-AL28</f>
        <v>22310.688587951561</v>
      </c>
      <c r="AM29" s="119">
        <f>Revenue_36M!AM20-AM28</f>
        <v>21651.245901686285</v>
      </c>
    </row>
    <row r="30" spans="1:39">
      <c r="A30" s="37" t="s">
        <v>451</v>
      </c>
      <c r="B30" s="38" t="s">
        <v>221</v>
      </c>
      <c r="C30" s="39" t="s">
        <v>414</v>
      </c>
      <c r="D30" s="120">
        <f>Revenue_36M!D21-D28</f>
        <v>-523</v>
      </c>
      <c r="E30" s="121">
        <f>Revenue_36M!E21-E28</f>
        <v>-523</v>
      </c>
      <c r="F30" s="121">
        <f>Revenue_36M!F21-F28</f>
        <v>1063.7503291810558</v>
      </c>
      <c r="G30" s="121">
        <f>Revenue_36M!G21-G28</f>
        <v>5722.7734347576243</v>
      </c>
      <c r="H30" s="121">
        <f>Revenue_36M!H21-H28</f>
        <v>9694.0812956805457</v>
      </c>
      <c r="I30" s="121">
        <f>Revenue_36M!I21-I28</f>
        <v>14642.017517220722</v>
      </c>
      <c r="J30" s="121">
        <f>Revenue_36M!J21-J28</f>
        <v>17873.135792120847</v>
      </c>
      <c r="K30" s="121">
        <f>Revenue_36M!K21-K28</f>
        <v>16071.473317433134</v>
      </c>
      <c r="L30" s="121">
        <f>Revenue_36M!L21-L28</f>
        <v>18106.405032905754</v>
      </c>
      <c r="M30" s="121">
        <f>Revenue_36M!M21-M28</f>
        <v>17576.776236026592</v>
      </c>
      <c r="N30" s="121">
        <f>Revenue_36M!N21-N28</f>
        <v>18341.408896159792</v>
      </c>
      <c r="O30" s="121">
        <f>Revenue_36M!O21-O28</f>
        <v>17805.043338215768</v>
      </c>
      <c r="P30" s="121">
        <f>Revenue_36M!P21-P28</f>
        <v>19084.872780776539</v>
      </c>
      <c r="Q30" s="121">
        <f>Revenue_36M!Q21-Q28</f>
        <v>19203.907850708267</v>
      </c>
      <c r="R30" s="121">
        <f>Revenue_36M!R21-R28</f>
        <v>18638.233105818032</v>
      </c>
      <c r="S30" s="121">
        <f>Revenue_36M!S21-S28</f>
        <v>19443.304912809952</v>
      </c>
      <c r="T30" s="121">
        <f>Revenue_36M!T21-T28</f>
        <v>18870.767468793514</v>
      </c>
      <c r="U30" s="121">
        <f>Revenue_36M!U21-U28</f>
        <v>19684.482164711066</v>
      </c>
      <c r="V30" s="121">
        <f>Revenue_36M!V21-V28</f>
        <v>19805.742494793034</v>
      </c>
      <c r="W30" s="121">
        <f>Revenue_36M!W21-W28</f>
        <v>18518.177553129732</v>
      </c>
      <c r="X30" s="121">
        <f>Revenue_36M!X21-X28</f>
        <v>20049.614882886344</v>
      </c>
      <c r="Y30" s="121">
        <f>Revenue_36M!Y21-Y28</f>
        <v>19459.696595239959</v>
      </c>
      <c r="Z30" s="121">
        <f>Revenue_36M!Z21-Z28</f>
        <v>20295.300739924664</v>
      </c>
      <c r="AA30" s="121">
        <f>Revenue_36M!AA21-AA28</f>
        <v>19698.33947480136</v>
      </c>
      <c r="AB30" s="121">
        <f>Revenue_36M!AB21-AB28</f>
        <v>21045.241176114883</v>
      </c>
      <c r="AC30" s="121">
        <f>Revenue_36M!AC21-AC28</f>
        <v>21169.686931043514</v>
      </c>
      <c r="AD30" s="121">
        <f>Revenue_36M!AD21-AD28</f>
        <v>20542.952879567369</v>
      </c>
      <c r="AE30" s="121">
        <f>Revenue_36M!AE21-AE28</f>
        <v>21419.965677786182</v>
      </c>
      <c r="AF30" s="121">
        <f>Revenue_36M!AF21-AF28</f>
        <v>20786.056986314441</v>
      </c>
      <c r="AG30" s="121">
        <f>Revenue_36M!AG21-AG28</f>
        <v>21672.105532046429</v>
      </c>
      <c r="AH30" s="121">
        <f>Revenue_36M!AH21-AH28</f>
        <v>21798.877695313953</v>
      </c>
      <c r="AI30" s="121">
        <f>Revenue_36M!AI21-AI28</f>
        <v>19610.079990541628</v>
      </c>
      <c r="AJ30" s="121">
        <f>Revenue_36M!AJ21-AJ28</f>
        <v>22053.835191956947</v>
      </c>
      <c r="AK30" s="121">
        <f>Revenue_36M!AK21-AK28</f>
        <v>21401.755618508447</v>
      </c>
      <c r="AL30" s="121">
        <f>Revenue_36M!AL21-AL28</f>
        <v>22310.688587951561</v>
      </c>
      <c r="AM30" s="122">
        <f>Revenue_36M!AM21-AM28</f>
        <v>21651.245901686285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3"/>
  <sheetViews>
    <sheetView workbookViewId="0">
      <selection activeCell="L26" sqref="L26"/>
    </sheetView>
  </sheetViews>
  <sheetFormatPr defaultRowHeight="13.8"/>
  <cols>
    <col min="1" max="1" width="33.59765625" customWidth="1"/>
    <col min="2" max="2" width="12.09765625" customWidth="1"/>
    <col min="3" max="3" width="30.69921875" customWidth="1"/>
    <col min="4" max="39" width="10.69921875" customWidth="1"/>
  </cols>
  <sheetData>
    <row r="1" spans="1:39" ht="17.399999999999999">
      <c r="A1" s="146" t="s">
        <v>452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>
      <c r="A2" s="147" t="s">
        <v>453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</row>
    <row r="4" spans="1:39">
      <c r="A4" s="19" t="s">
        <v>17</v>
      </c>
      <c r="B4" s="20" t="s">
        <v>84</v>
      </c>
      <c r="C4" s="21" t="s">
        <v>118</v>
      </c>
    </row>
    <row r="5" spans="1:39">
      <c r="A5" s="22" t="s">
        <v>347</v>
      </c>
      <c r="B5" s="18" t="s">
        <v>122</v>
      </c>
      <c r="C5" s="23" t="s">
        <v>390</v>
      </c>
      <c r="D5" s="105">
        <f>Deployment_36M!D5</f>
        <v>46204</v>
      </c>
      <c r="E5" s="106">
        <f>Deployment_36M!E5</f>
        <v>46235</v>
      </c>
      <c r="F5" s="106">
        <f>Deployment_36M!F5</f>
        <v>46266</v>
      </c>
      <c r="G5" s="106">
        <f>Deployment_36M!G5</f>
        <v>46296</v>
      </c>
      <c r="H5" s="106">
        <f>Deployment_36M!H5</f>
        <v>46327</v>
      </c>
      <c r="I5" s="106">
        <f>Deployment_36M!I5</f>
        <v>46357</v>
      </c>
      <c r="J5" s="106">
        <f>Deployment_36M!J5</f>
        <v>46388</v>
      </c>
      <c r="K5" s="106">
        <f>Deployment_36M!K5</f>
        <v>46419</v>
      </c>
      <c r="L5" s="106">
        <f>Deployment_36M!L5</f>
        <v>46447</v>
      </c>
      <c r="M5" s="106">
        <f>Deployment_36M!M5</f>
        <v>46478</v>
      </c>
      <c r="N5" s="106">
        <f>Deployment_36M!N5</f>
        <v>46508</v>
      </c>
      <c r="O5" s="106">
        <f>Deployment_36M!O5</f>
        <v>46539</v>
      </c>
      <c r="P5" s="106">
        <f>Deployment_36M!P5</f>
        <v>46569</v>
      </c>
      <c r="Q5" s="106">
        <f>Deployment_36M!Q5</f>
        <v>46600</v>
      </c>
      <c r="R5" s="106">
        <f>Deployment_36M!R5</f>
        <v>46631</v>
      </c>
      <c r="S5" s="106">
        <f>Deployment_36M!S5</f>
        <v>46661</v>
      </c>
      <c r="T5" s="106">
        <f>Deployment_36M!T5</f>
        <v>46692</v>
      </c>
      <c r="U5" s="106">
        <f>Deployment_36M!U5</f>
        <v>46722</v>
      </c>
      <c r="V5" s="106">
        <f>Deployment_36M!V5</f>
        <v>46753</v>
      </c>
      <c r="W5" s="106">
        <f>Deployment_36M!W5</f>
        <v>46784</v>
      </c>
      <c r="X5" s="106">
        <f>Deployment_36M!X5</f>
        <v>46813</v>
      </c>
      <c r="Y5" s="106">
        <f>Deployment_36M!Y5</f>
        <v>46844</v>
      </c>
      <c r="Z5" s="106">
        <f>Deployment_36M!Z5</f>
        <v>46874</v>
      </c>
      <c r="AA5" s="106">
        <f>Deployment_36M!AA5</f>
        <v>46905</v>
      </c>
      <c r="AB5" s="106">
        <f>Deployment_36M!AB5</f>
        <v>46935</v>
      </c>
      <c r="AC5" s="106">
        <f>Deployment_36M!AC5</f>
        <v>46966</v>
      </c>
      <c r="AD5" s="106">
        <f>Deployment_36M!AD5</f>
        <v>46997</v>
      </c>
      <c r="AE5" s="106">
        <f>Deployment_36M!AE5</f>
        <v>47027</v>
      </c>
      <c r="AF5" s="106">
        <f>Deployment_36M!AF5</f>
        <v>47058</v>
      </c>
      <c r="AG5" s="106">
        <f>Deployment_36M!AG5</f>
        <v>47088</v>
      </c>
      <c r="AH5" s="106">
        <f>Deployment_36M!AH5</f>
        <v>47119</v>
      </c>
      <c r="AI5" s="106">
        <f>Deployment_36M!AI5</f>
        <v>47150</v>
      </c>
      <c r="AJ5" s="106">
        <f>Deployment_36M!AJ5</f>
        <v>47178</v>
      </c>
      <c r="AK5" s="106">
        <f>Deployment_36M!AK5</f>
        <v>47209</v>
      </c>
      <c r="AL5" s="106">
        <f>Deployment_36M!AL5</f>
        <v>47239</v>
      </c>
      <c r="AM5" s="107">
        <f>Deployment_36M!AM5</f>
        <v>47270</v>
      </c>
    </row>
    <row r="6" spans="1:39">
      <c r="A6" s="22" t="s">
        <v>349</v>
      </c>
      <c r="B6" s="18" t="s">
        <v>350</v>
      </c>
      <c r="C6" s="23" t="s">
        <v>390</v>
      </c>
      <c r="D6" s="108">
        <f>Deployment_36M!D6</f>
        <v>31</v>
      </c>
      <c r="E6" s="109">
        <f>Deployment_36M!E6</f>
        <v>31</v>
      </c>
      <c r="F6" s="109">
        <f>Deployment_36M!F6</f>
        <v>30</v>
      </c>
      <c r="G6" s="109">
        <f>Deployment_36M!G6</f>
        <v>31</v>
      </c>
      <c r="H6" s="109">
        <f>Deployment_36M!H6</f>
        <v>30</v>
      </c>
      <c r="I6" s="109">
        <f>Deployment_36M!I6</f>
        <v>31</v>
      </c>
      <c r="J6" s="109">
        <f>Deployment_36M!J6</f>
        <v>31</v>
      </c>
      <c r="K6" s="109">
        <f>Deployment_36M!K6</f>
        <v>28</v>
      </c>
      <c r="L6" s="109">
        <f>Deployment_36M!L6</f>
        <v>31</v>
      </c>
      <c r="M6" s="109">
        <f>Deployment_36M!M6</f>
        <v>30</v>
      </c>
      <c r="N6" s="109">
        <f>Deployment_36M!N6</f>
        <v>31</v>
      </c>
      <c r="O6" s="109">
        <f>Deployment_36M!O6</f>
        <v>30</v>
      </c>
      <c r="P6" s="109">
        <f>Deployment_36M!P6</f>
        <v>31</v>
      </c>
      <c r="Q6" s="109">
        <f>Deployment_36M!Q6</f>
        <v>31</v>
      </c>
      <c r="R6" s="109">
        <f>Deployment_36M!R6</f>
        <v>30</v>
      </c>
      <c r="S6" s="109">
        <f>Deployment_36M!S6</f>
        <v>31</v>
      </c>
      <c r="T6" s="109">
        <f>Deployment_36M!T6</f>
        <v>30</v>
      </c>
      <c r="U6" s="109">
        <f>Deployment_36M!U6</f>
        <v>31</v>
      </c>
      <c r="V6" s="109">
        <f>Deployment_36M!V6</f>
        <v>31</v>
      </c>
      <c r="W6" s="109">
        <f>Deployment_36M!W6</f>
        <v>29</v>
      </c>
      <c r="X6" s="109">
        <f>Deployment_36M!X6</f>
        <v>31</v>
      </c>
      <c r="Y6" s="109">
        <f>Deployment_36M!Y6</f>
        <v>30</v>
      </c>
      <c r="Z6" s="109">
        <f>Deployment_36M!Z6</f>
        <v>31</v>
      </c>
      <c r="AA6" s="109">
        <f>Deployment_36M!AA6</f>
        <v>30</v>
      </c>
      <c r="AB6" s="109">
        <f>Deployment_36M!AB6</f>
        <v>31</v>
      </c>
      <c r="AC6" s="109">
        <f>Deployment_36M!AC6</f>
        <v>31</v>
      </c>
      <c r="AD6" s="109">
        <f>Deployment_36M!AD6</f>
        <v>30</v>
      </c>
      <c r="AE6" s="109">
        <f>Deployment_36M!AE6</f>
        <v>31</v>
      </c>
      <c r="AF6" s="109">
        <f>Deployment_36M!AF6</f>
        <v>30</v>
      </c>
      <c r="AG6" s="109">
        <f>Deployment_36M!AG6</f>
        <v>31</v>
      </c>
      <c r="AH6" s="109">
        <f>Deployment_36M!AH6</f>
        <v>31</v>
      </c>
      <c r="AI6" s="109">
        <f>Deployment_36M!AI6</f>
        <v>28</v>
      </c>
      <c r="AJ6" s="109">
        <f>Deployment_36M!AJ6</f>
        <v>31</v>
      </c>
      <c r="AK6" s="109">
        <f>Deployment_36M!AK6</f>
        <v>30</v>
      </c>
      <c r="AL6" s="109">
        <f>Deployment_36M!AL6</f>
        <v>31</v>
      </c>
      <c r="AM6" s="110">
        <f>Deployment_36M!AM6</f>
        <v>30</v>
      </c>
    </row>
    <row r="7" spans="1:39">
      <c r="A7" s="26"/>
      <c r="C7" s="27"/>
      <c r="D7" s="81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3"/>
    </row>
    <row r="8" spans="1:39">
      <c r="A8" s="26" t="s">
        <v>454</v>
      </c>
      <c r="B8" t="s">
        <v>28</v>
      </c>
      <c r="C8" s="27" t="s">
        <v>390</v>
      </c>
      <c r="D8" s="87">
        <f>Deployment_36M!D27</f>
        <v>0</v>
      </c>
      <c r="E8" s="88">
        <f>Deployment_36M!E27</f>
        <v>0</v>
      </c>
      <c r="F8" s="88">
        <f>Deployment_36M!F27</f>
        <v>5</v>
      </c>
      <c r="G8" s="88">
        <f>Deployment_36M!G27</f>
        <v>5</v>
      </c>
      <c r="H8" s="88">
        <f>Deployment_36M!H27</f>
        <v>5</v>
      </c>
      <c r="I8" s="88">
        <f>Deployment_36M!I27</f>
        <v>5</v>
      </c>
      <c r="J8" s="88">
        <f>Deployment_36M!J27</f>
        <v>0</v>
      </c>
      <c r="K8" s="88">
        <f>Deployment_36M!K27</f>
        <v>0</v>
      </c>
      <c r="L8" s="88">
        <f>Deployment_36M!L27</f>
        <v>0</v>
      </c>
      <c r="M8" s="88">
        <f>Deployment_36M!M27</f>
        <v>0</v>
      </c>
      <c r="N8" s="88">
        <f>Deployment_36M!N27</f>
        <v>0</v>
      </c>
      <c r="O8" s="88">
        <f>Deployment_36M!O27</f>
        <v>0</v>
      </c>
      <c r="P8" s="88">
        <f>Deployment_36M!P27</f>
        <v>0</v>
      </c>
      <c r="Q8" s="88">
        <f>Deployment_36M!Q27</f>
        <v>0</v>
      </c>
      <c r="R8" s="88">
        <f>Deployment_36M!R27</f>
        <v>0</v>
      </c>
      <c r="S8" s="88">
        <f>Deployment_36M!S27</f>
        <v>0</v>
      </c>
      <c r="T8" s="88">
        <f>Deployment_36M!T27</f>
        <v>0</v>
      </c>
      <c r="U8" s="88">
        <f>Deployment_36M!U27</f>
        <v>0</v>
      </c>
      <c r="V8" s="88">
        <f>Deployment_36M!V27</f>
        <v>0</v>
      </c>
      <c r="W8" s="88">
        <f>Deployment_36M!W27</f>
        <v>0</v>
      </c>
      <c r="X8" s="88">
        <f>Deployment_36M!X27</f>
        <v>0</v>
      </c>
      <c r="Y8" s="88">
        <f>Deployment_36M!Y27</f>
        <v>0</v>
      </c>
      <c r="Z8" s="88">
        <f>Deployment_36M!Z27</f>
        <v>0</v>
      </c>
      <c r="AA8" s="88">
        <f>Deployment_36M!AA27</f>
        <v>0</v>
      </c>
      <c r="AB8" s="88">
        <f>Deployment_36M!AB27</f>
        <v>0</v>
      </c>
      <c r="AC8" s="88">
        <f>Deployment_36M!AC27</f>
        <v>0</v>
      </c>
      <c r="AD8" s="88">
        <f>Deployment_36M!AD27</f>
        <v>0</v>
      </c>
      <c r="AE8" s="88">
        <f>Deployment_36M!AE27</f>
        <v>0</v>
      </c>
      <c r="AF8" s="88">
        <f>Deployment_36M!AF27</f>
        <v>0</v>
      </c>
      <c r="AG8" s="88">
        <f>Deployment_36M!AG27</f>
        <v>0</v>
      </c>
      <c r="AH8" s="88">
        <f>Deployment_36M!AH27</f>
        <v>0</v>
      </c>
      <c r="AI8" s="88">
        <f>Deployment_36M!AI27</f>
        <v>0</v>
      </c>
      <c r="AJ8" s="88">
        <f>Deployment_36M!AJ27</f>
        <v>0</v>
      </c>
      <c r="AK8" s="88">
        <f>Deployment_36M!AK27</f>
        <v>0</v>
      </c>
      <c r="AL8" s="88">
        <f>Deployment_36M!AL27</f>
        <v>0</v>
      </c>
      <c r="AM8" s="89">
        <f>Deployment_36M!AM27</f>
        <v>0</v>
      </c>
    </row>
    <row r="9" spans="1:39">
      <c r="A9" s="26" t="s">
        <v>455</v>
      </c>
      <c r="B9" t="s">
        <v>377</v>
      </c>
      <c r="C9" s="27" t="s">
        <v>390</v>
      </c>
      <c r="D9" s="102">
        <f>Deployment_36M!D52</f>
        <v>0</v>
      </c>
      <c r="E9" s="103">
        <f>Deployment_36M!E52</f>
        <v>0</v>
      </c>
      <c r="F9" s="103">
        <f>Deployment_36M!F52</f>
        <v>3</v>
      </c>
      <c r="G9" s="103">
        <f>Deployment_36M!G52</f>
        <v>2</v>
      </c>
      <c r="H9" s="103">
        <f>Deployment_36M!H52</f>
        <v>2</v>
      </c>
      <c r="I9" s="103">
        <f>Deployment_36M!I52</f>
        <v>3</v>
      </c>
      <c r="J9" s="103">
        <f>Deployment_36M!J52</f>
        <v>0</v>
      </c>
      <c r="K9" s="103">
        <f>Deployment_36M!K52</f>
        <v>0</v>
      </c>
      <c r="L9" s="103">
        <f>Deployment_36M!L52</f>
        <v>0</v>
      </c>
      <c r="M9" s="103">
        <f>Deployment_36M!M52</f>
        <v>0</v>
      </c>
      <c r="N9" s="103">
        <f>Deployment_36M!N52</f>
        <v>0</v>
      </c>
      <c r="O9" s="103">
        <f>Deployment_36M!O52</f>
        <v>0</v>
      </c>
      <c r="P9" s="103">
        <f>Deployment_36M!P52</f>
        <v>0</v>
      </c>
      <c r="Q9" s="103">
        <f>Deployment_36M!Q52</f>
        <v>0</v>
      </c>
      <c r="R9" s="103">
        <f>Deployment_36M!R52</f>
        <v>0</v>
      </c>
      <c r="S9" s="103">
        <f>Deployment_36M!S52</f>
        <v>0</v>
      </c>
      <c r="T9" s="103">
        <f>Deployment_36M!T52</f>
        <v>0</v>
      </c>
      <c r="U9" s="103">
        <f>Deployment_36M!U52</f>
        <v>0</v>
      </c>
      <c r="V9" s="103">
        <f>Deployment_36M!V52</f>
        <v>0</v>
      </c>
      <c r="W9" s="103">
        <f>Deployment_36M!W52</f>
        <v>0</v>
      </c>
      <c r="X9" s="103">
        <f>Deployment_36M!X52</f>
        <v>0</v>
      </c>
      <c r="Y9" s="103">
        <f>Deployment_36M!Y52</f>
        <v>0</v>
      </c>
      <c r="Z9" s="103">
        <f>Deployment_36M!Z52</f>
        <v>0</v>
      </c>
      <c r="AA9" s="103">
        <f>Deployment_36M!AA52</f>
        <v>0</v>
      </c>
      <c r="AB9" s="103">
        <f>Deployment_36M!AB52</f>
        <v>0</v>
      </c>
      <c r="AC9" s="103">
        <f>Deployment_36M!AC52</f>
        <v>0</v>
      </c>
      <c r="AD9" s="103">
        <f>Deployment_36M!AD52</f>
        <v>0</v>
      </c>
      <c r="AE9" s="103">
        <f>Deployment_36M!AE52</f>
        <v>0</v>
      </c>
      <c r="AF9" s="103">
        <f>Deployment_36M!AF52</f>
        <v>0</v>
      </c>
      <c r="AG9" s="103">
        <f>Deployment_36M!AG52</f>
        <v>0</v>
      </c>
      <c r="AH9" s="103">
        <f>Deployment_36M!AH52</f>
        <v>0</v>
      </c>
      <c r="AI9" s="103">
        <f>Deployment_36M!AI52</f>
        <v>0</v>
      </c>
      <c r="AJ9" s="103">
        <f>Deployment_36M!AJ52</f>
        <v>0</v>
      </c>
      <c r="AK9" s="103">
        <f>Deployment_36M!AK52</f>
        <v>0</v>
      </c>
      <c r="AL9" s="103">
        <f>Deployment_36M!AL52</f>
        <v>0</v>
      </c>
      <c r="AM9" s="104">
        <f>Deployment_36M!AM52</f>
        <v>0</v>
      </c>
    </row>
    <row r="10" spans="1:39">
      <c r="A10" s="26" t="s">
        <v>456</v>
      </c>
      <c r="B10" t="s">
        <v>28</v>
      </c>
      <c r="C10" s="27" t="s">
        <v>390</v>
      </c>
      <c r="D10" s="87">
        <f>Deployment_36M!D26</f>
        <v>0</v>
      </c>
      <c r="E10" s="88">
        <f>Deployment_36M!E26</f>
        <v>0</v>
      </c>
      <c r="F10" s="88">
        <f>Deployment_36M!F26</f>
        <v>0</v>
      </c>
      <c r="G10" s="88">
        <f>Deployment_36M!G26</f>
        <v>0</v>
      </c>
      <c r="H10" s="88">
        <f>Deployment_36M!H26</f>
        <v>10</v>
      </c>
      <c r="I10" s="88">
        <f>Deployment_36M!I26</f>
        <v>0</v>
      </c>
      <c r="J10" s="88">
        <f>Deployment_36M!J26</f>
        <v>0</v>
      </c>
      <c r="K10" s="88">
        <f>Deployment_36M!K26</f>
        <v>0</v>
      </c>
      <c r="L10" s="88">
        <f>Deployment_36M!L26</f>
        <v>0</v>
      </c>
      <c r="M10" s="88">
        <f>Deployment_36M!M26</f>
        <v>0</v>
      </c>
      <c r="N10" s="88">
        <f>Deployment_36M!N26</f>
        <v>0</v>
      </c>
      <c r="O10" s="88">
        <f>Deployment_36M!O26</f>
        <v>0</v>
      </c>
      <c r="P10" s="88">
        <f>Deployment_36M!P26</f>
        <v>0</v>
      </c>
      <c r="Q10" s="88">
        <f>Deployment_36M!Q26</f>
        <v>0</v>
      </c>
      <c r="R10" s="88">
        <f>Deployment_36M!R26</f>
        <v>0</v>
      </c>
      <c r="S10" s="88">
        <f>Deployment_36M!S26</f>
        <v>0</v>
      </c>
      <c r="T10" s="88">
        <f>Deployment_36M!T26</f>
        <v>0</v>
      </c>
      <c r="U10" s="88">
        <f>Deployment_36M!U26</f>
        <v>0</v>
      </c>
      <c r="V10" s="88">
        <f>Deployment_36M!V26</f>
        <v>0</v>
      </c>
      <c r="W10" s="88">
        <f>Deployment_36M!W26</f>
        <v>0</v>
      </c>
      <c r="X10" s="88">
        <f>Deployment_36M!X26</f>
        <v>0</v>
      </c>
      <c r="Y10" s="88">
        <f>Deployment_36M!Y26</f>
        <v>0</v>
      </c>
      <c r="Z10" s="88">
        <f>Deployment_36M!Z26</f>
        <v>0</v>
      </c>
      <c r="AA10" s="88">
        <f>Deployment_36M!AA26</f>
        <v>0</v>
      </c>
      <c r="AB10" s="88">
        <f>Deployment_36M!AB26</f>
        <v>0</v>
      </c>
      <c r="AC10" s="88">
        <f>Deployment_36M!AC26</f>
        <v>0</v>
      </c>
      <c r="AD10" s="88">
        <f>Deployment_36M!AD26</f>
        <v>0</v>
      </c>
      <c r="AE10" s="88">
        <f>Deployment_36M!AE26</f>
        <v>0</v>
      </c>
      <c r="AF10" s="88">
        <f>Deployment_36M!AF26</f>
        <v>0</v>
      </c>
      <c r="AG10" s="88">
        <f>Deployment_36M!AG26</f>
        <v>0</v>
      </c>
      <c r="AH10" s="88">
        <f>Deployment_36M!AH26</f>
        <v>0</v>
      </c>
      <c r="AI10" s="88">
        <f>Deployment_36M!AI26</f>
        <v>0</v>
      </c>
      <c r="AJ10" s="88">
        <f>Deployment_36M!AJ26</f>
        <v>0</v>
      </c>
      <c r="AK10" s="88">
        <f>Deployment_36M!AK26</f>
        <v>0</v>
      </c>
      <c r="AL10" s="88">
        <f>Deployment_36M!AL26</f>
        <v>0</v>
      </c>
      <c r="AM10" s="89">
        <f>Deployment_36M!AM26</f>
        <v>0</v>
      </c>
    </row>
    <row r="11" spans="1:39">
      <c r="A11" s="26" t="s">
        <v>386</v>
      </c>
      <c r="B11" t="s">
        <v>243</v>
      </c>
      <c r="C11" s="27" t="s">
        <v>390</v>
      </c>
      <c r="D11" s="87">
        <f>Deployment_36M!D55</f>
        <v>0</v>
      </c>
      <c r="E11" s="88">
        <f>Deployment_36M!E55</f>
        <v>0</v>
      </c>
      <c r="F11" s="88">
        <f>Deployment_36M!F55</f>
        <v>4.1500000000000004</v>
      </c>
      <c r="G11" s="88">
        <f>Deployment_36M!G55</f>
        <v>2.15</v>
      </c>
      <c r="H11" s="88">
        <f>Deployment_36M!H55</f>
        <v>2.15</v>
      </c>
      <c r="I11" s="88">
        <f>Deployment_36M!I55</f>
        <v>4.1500000000000004</v>
      </c>
      <c r="J11" s="88">
        <f>Deployment_36M!J55</f>
        <v>0</v>
      </c>
      <c r="K11" s="88">
        <f>Deployment_36M!K55</f>
        <v>0</v>
      </c>
      <c r="L11" s="88">
        <f>Deployment_36M!L55</f>
        <v>0</v>
      </c>
      <c r="M11" s="88">
        <f>Deployment_36M!M55</f>
        <v>0</v>
      </c>
      <c r="N11" s="88">
        <f>Deployment_36M!N55</f>
        <v>0</v>
      </c>
      <c r="O11" s="88">
        <f>Deployment_36M!O55</f>
        <v>0</v>
      </c>
      <c r="P11" s="88">
        <f>Deployment_36M!P55</f>
        <v>0</v>
      </c>
      <c r="Q11" s="88">
        <f>Deployment_36M!Q55</f>
        <v>0</v>
      </c>
      <c r="R11" s="88">
        <f>Deployment_36M!R55</f>
        <v>0</v>
      </c>
      <c r="S11" s="88">
        <f>Deployment_36M!S55</f>
        <v>0</v>
      </c>
      <c r="T11" s="88">
        <f>Deployment_36M!T55</f>
        <v>0</v>
      </c>
      <c r="U11" s="88">
        <f>Deployment_36M!U55</f>
        <v>0</v>
      </c>
      <c r="V11" s="88">
        <f>Deployment_36M!V55</f>
        <v>0</v>
      </c>
      <c r="W11" s="88">
        <f>Deployment_36M!W55</f>
        <v>0</v>
      </c>
      <c r="X11" s="88">
        <f>Deployment_36M!X55</f>
        <v>0</v>
      </c>
      <c r="Y11" s="88">
        <f>Deployment_36M!Y55</f>
        <v>0</v>
      </c>
      <c r="Z11" s="88">
        <f>Deployment_36M!Z55</f>
        <v>0</v>
      </c>
      <c r="AA11" s="88">
        <f>Deployment_36M!AA55</f>
        <v>0</v>
      </c>
      <c r="AB11" s="88">
        <f>Deployment_36M!AB55</f>
        <v>0</v>
      </c>
      <c r="AC11" s="88">
        <f>Deployment_36M!AC55</f>
        <v>0</v>
      </c>
      <c r="AD11" s="88">
        <f>Deployment_36M!AD55</f>
        <v>0</v>
      </c>
      <c r="AE11" s="88">
        <f>Deployment_36M!AE55</f>
        <v>0</v>
      </c>
      <c r="AF11" s="88">
        <f>Deployment_36M!AF55</f>
        <v>0</v>
      </c>
      <c r="AG11" s="88">
        <f>Deployment_36M!AG55</f>
        <v>0</v>
      </c>
      <c r="AH11" s="88">
        <f>Deployment_36M!AH55</f>
        <v>0</v>
      </c>
      <c r="AI11" s="88">
        <f>Deployment_36M!AI55</f>
        <v>0</v>
      </c>
      <c r="AJ11" s="88">
        <f>Deployment_36M!AJ55</f>
        <v>0</v>
      </c>
      <c r="AK11" s="88">
        <f>Deployment_36M!AK55</f>
        <v>0</v>
      </c>
      <c r="AL11" s="88">
        <f>Deployment_36M!AL55</f>
        <v>0</v>
      </c>
      <c r="AM11" s="89">
        <f>Deployment_36M!AM55</f>
        <v>0</v>
      </c>
    </row>
    <row r="12" spans="1:39">
      <c r="A12" s="26"/>
      <c r="C12" s="27"/>
      <c r="D12" s="123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5"/>
    </row>
    <row r="13" spans="1:39">
      <c r="A13" s="26"/>
      <c r="C13" s="27"/>
      <c r="D13" s="123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5"/>
    </row>
    <row r="14" spans="1:39">
      <c r="A14" s="34" t="s">
        <v>457</v>
      </c>
      <c r="B14" s="35" t="s">
        <v>221</v>
      </c>
      <c r="C14" s="36" t="s">
        <v>458</v>
      </c>
      <c r="D14" s="117">
        <f>D8*(1-Inputs!C11)*1000000/Inputs!C40*Inputs!C41*Inputs!C20/1000</f>
        <v>0</v>
      </c>
      <c r="E14" s="118">
        <f>E8*(1-Inputs!C11)*1000000/Inputs!C40*Inputs!C41*Inputs!C20/1000</f>
        <v>0</v>
      </c>
      <c r="F14" s="118">
        <f>F8*(1-Inputs!C11)*1000000/Inputs!C40*Inputs!C41*Inputs!C20/1000</f>
        <v>54587</v>
      </c>
      <c r="G14" s="118">
        <f>G8*(1-Inputs!C11)*1000000/Inputs!C40*Inputs!C41*Inputs!C20/1000</f>
        <v>54587</v>
      </c>
      <c r="H14" s="118">
        <f>H8*(1-Inputs!C11)*1000000/Inputs!C40*Inputs!C41*Inputs!C20/1000</f>
        <v>54587</v>
      </c>
      <c r="I14" s="118">
        <f>I8*(1-Inputs!C11)*1000000/Inputs!C40*Inputs!C41*Inputs!C20/1000</f>
        <v>54587</v>
      </c>
      <c r="J14" s="118">
        <f>J8*(1-Inputs!C11)*1000000/Inputs!C40*Inputs!C41*Inputs!C20/1000</f>
        <v>0</v>
      </c>
      <c r="K14" s="118">
        <f>K8*(1-Inputs!C11)*1000000/Inputs!C40*Inputs!C41*Inputs!C20/1000</f>
        <v>0</v>
      </c>
      <c r="L14" s="118">
        <f>L8*(1-Inputs!C11)*1000000/Inputs!C40*Inputs!C41*Inputs!C20/1000</f>
        <v>0</v>
      </c>
      <c r="M14" s="118">
        <f>M8*(1-Inputs!C11)*1000000/Inputs!C40*Inputs!C41*Inputs!C20/1000</f>
        <v>0</v>
      </c>
      <c r="N14" s="118">
        <f>N8*(1-Inputs!C11)*1000000/Inputs!C40*Inputs!C41*Inputs!C20/1000</f>
        <v>0</v>
      </c>
      <c r="O14" s="118">
        <f>O8*(1-Inputs!C11)*1000000/Inputs!C40*Inputs!C41*Inputs!C20/1000</f>
        <v>0</v>
      </c>
      <c r="P14" s="118">
        <f>P8*(1-Inputs!C11)*1000000/Inputs!C40*Inputs!C41*Inputs!C20/1000</f>
        <v>0</v>
      </c>
      <c r="Q14" s="118">
        <f>Q8*(1-Inputs!C11)*1000000/Inputs!C40*Inputs!C41*Inputs!C20/1000</f>
        <v>0</v>
      </c>
      <c r="R14" s="118">
        <f>R8*(1-Inputs!C11)*1000000/Inputs!C40*Inputs!C41*Inputs!C20/1000</f>
        <v>0</v>
      </c>
      <c r="S14" s="118">
        <f>S8*(1-Inputs!C11)*1000000/Inputs!C40*Inputs!C41*Inputs!C20/1000</f>
        <v>0</v>
      </c>
      <c r="T14" s="118">
        <f>T8*(1-Inputs!C11)*1000000/Inputs!C40*Inputs!C41*Inputs!C20/1000</f>
        <v>0</v>
      </c>
      <c r="U14" s="118">
        <f>U8*(1-Inputs!C11)*1000000/Inputs!C40*Inputs!C41*Inputs!C20/1000</f>
        <v>0</v>
      </c>
      <c r="V14" s="118">
        <f>V8*(1-Inputs!C11)*1000000/Inputs!C40*Inputs!C41*Inputs!C20/1000</f>
        <v>0</v>
      </c>
      <c r="W14" s="118">
        <f>W8*(1-Inputs!C11)*1000000/Inputs!C40*Inputs!C41*Inputs!C20/1000</f>
        <v>0</v>
      </c>
      <c r="X14" s="118">
        <f>X8*(1-Inputs!C11)*1000000/Inputs!C40*Inputs!C41*Inputs!C20/1000</f>
        <v>0</v>
      </c>
      <c r="Y14" s="118">
        <f>Y8*(1-Inputs!C11)*1000000/Inputs!C40*Inputs!C41*Inputs!C20/1000</f>
        <v>0</v>
      </c>
      <c r="Z14" s="118">
        <f>Z8*(1-Inputs!C11)*1000000/Inputs!C40*Inputs!C41*Inputs!C20/1000</f>
        <v>0</v>
      </c>
      <c r="AA14" s="118">
        <f>AA8*(1-Inputs!C11)*1000000/Inputs!C40*Inputs!C41*Inputs!C20/1000</f>
        <v>0</v>
      </c>
      <c r="AB14" s="118">
        <f>AB8*(1-Inputs!C11)*1000000/Inputs!C40*Inputs!C41*Inputs!C20/1000</f>
        <v>0</v>
      </c>
      <c r="AC14" s="118">
        <f>AC8*(1-Inputs!C11)*1000000/Inputs!C40*Inputs!C41*Inputs!C20/1000</f>
        <v>0</v>
      </c>
      <c r="AD14" s="118">
        <f>AD8*(1-Inputs!C11)*1000000/Inputs!C40*Inputs!C41*Inputs!C20/1000</f>
        <v>0</v>
      </c>
      <c r="AE14" s="118">
        <f>AE8*(1-Inputs!C11)*1000000/Inputs!C40*Inputs!C41*Inputs!C20/1000</f>
        <v>0</v>
      </c>
      <c r="AF14" s="118">
        <f>AF8*(1-Inputs!C11)*1000000/Inputs!C40*Inputs!C41*Inputs!C20/1000</f>
        <v>0</v>
      </c>
      <c r="AG14" s="118">
        <f>AG8*(1-Inputs!C11)*1000000/Inputs!C40*Inputs!C41*Inputs!C20/1000</f>
        <v>0</v>
      </c>
      <c r="AH14" s="118">
        <f>AH8*(1-Inputs!C11)*1000000/Inputs!C40*Inputs!C41*Inputs!C20/1000</f>
        <v>0</v>
      </c>
      <c r="AI14" s="118">
        <f>AI8*(1-Inputs!C11)*1000000/Inputs!C40*Inputs!C41*Inputs!C20/1000</f>
        <v>0</v>
      </c>
      <c r="AJ14" s="118">
        <f>AJ8*(1-Inputs!C11)*1000000/Inputs!C40*Inputs!C41*Inputs!C20/1000</f>
        <v>0</v>
      </c>
      <c r="AK14" s="118">
        <f>AK8*(1-Inputs!C11)*1000000/Inputs!C40*Inputs!C41*Inputs!C20/1000</f>
        <v>0</v>
      </c>
      <c r="AL14" s="118">
        <f>AL8*(1-Inputs!C11)*1000000/Inputs!C40*Inputs!C41*Inputs!C20/1000</f>
        <v>0</v>
      </c>
      <c r="AM14" s="119">
        <f>AM8*(1-Inputs!C11)*1000000/Inputs!C40*Inputs!C41*Inputs!C20/1000</f>
        <v>0</v>
      </c>
    </row>
    <row r="15" spans="1:39">
      <c r="A15" s="34" t="s">
        <v>459</v>
      </c>
      <c r="B15" s="35" t="s">
        <v>221</v>
      </c>
      <c r="C15" s="36" t="s">
        <v>460</v>
      </c>
      <c r="D15" s="117">
        <f>D9*Inputs!C44*Inputs!C20/1000</f>
        <v>0</v>
      </c>
      <c r="E15" s="118">
        <f>E9*Inputs!C44*Inputs!C20/1000</f>
        <v>0</v>
      </c>
      <c r="F15" s="118">
        <f>F9*Inputs!C44*Inputs!C20/1000</f>
        <v>17850</v>
      </c>
      <c r="G15" s="118">
        <f>G9*Inputs!C44*Inputs!C20/1000</f>
        <v>11900</v>
      </c>
      <c r="H15" s="118">
        <f>H9*Inputs!C44*Inputs!C20/1000</f>
        <v>11900</v>
      </c>
      <c r="I15" s="118">
        <f>I9*Inputs!C44*Inputs!C20/1000</f>
        <v>17850</v>
      </c>
      <c r="J15" s="118">
        <f>J9*Inputs!C44*Inputs!C20/1000</f>
        <v>0</v>
      </c>
      <c r="K15" s="118">
        <f>K9*Inputs!C44*Inputs!C20/1000</f>
        <v>0</v>
      </c>
      <c r="L15" s="118">
        <f>L9*Inputs!C44*Inputs!C20/1000</f>
        <v>0</v>
      </c>
      <c r="M15" s="118">
        <f>M9*Inputs!C44*Inputs!C20/1000</f>
        <v>0</v>
      </c>
      <c r="N15" s="118">
        <f>N9*Inputs!C44*Inputs!C20/1000</f>
        <v>0</v>
      </c>
      <c r="O15" s="118">
        <f>O9*Inputs!C44*Inputs!C20/1000</f>
        <v>0</v>
      </c>
      <c r="P15" s="118">
        <f>P9*Inputs!C44*Inputs!C20/1000</f>
        <v>0</v>
      </c>
      <c r="Q15" s="118">
        <f>Q9*Inputs!C44*Inputs!C20/1000</f>
        <v>0</v>
      </c>
      <c r="R15" s="118">
        <f>R9*Inputs!C44*Inputs!C20/1000</f>
        <v>0</v>
      </c>
      <c r="S15" s="118">
        <f>S9*Inputs!C44*Inputs!C20/1000</f>
        <v>0</v>
      </c>
      <c r="T15" s="118">
        <f>T9*Inputs!C44*Inputs!C20/1000</f>
        <v>0</v>
      </c>
      <c r="U15" s="118">
        <f>U9*Inputs!C44*Inputs!C20/1000</f>
        <v>0</v>
      </c>
      <c r="V15" s="118">
        <f>V9*Inputs!C44*Inputs!C20/1000</f>
        <v>0</v>
      </c>
      <c r="W15" s="118">
        <f>W9*Inputs!C44*Inputs!C20/1000</f>
        <v>0</v>
      </c>
      <c r="X15" s="118">
        <f>X9*Inputs!C44*Inputs!C20/1000</f>
        <v>0</v>
      </c>
      <c r="Y15" s="118">
        <f>Y9*Inputs!C44*Inputs!C20/1000</f>
        <v>0</v>
      </c>
      <c r="Z15" s="118">
        <f>Z9*Inputs!C44*Inputs!C20/1000</f>
        <v>0</v>
      </c>
      <c r="AA15" s="118">
        <f>AA9*Inputs!C44*Inputs!C20/1000</f>
        <v>0</v>
      </c>
      <c r="AB15" s="118">
        <f>AB9*Inputs!C44*Inputs!C20/1000</f>
        <v>0</v>
      </c>
      <c r="AC15" s="118">
        <f>AC9*Inputs!C44*Inputs!C20/1000</f>
        <v>0</v>
      </c>
      <c r="AD15" s="118">
        <f>AD9*Inputs!C44*Inputs!C20/1000</f>
        <v>0</v>
      </c>
      <c r="AE15" s="118">
        <f>AE9*Inputs!C44*Inputs!C20/1000</f>
        <v>0</v>
      </c>
      <c r="AF15" s="118">
        <f>AF9*Inputs!C44*Inputs!C20/1000</f>
        <v>0</v>
      </c>
      <c r="AG15" s="118">
        <f>AG9*Inputs!C44*Inputs!C20/1000</f>
        <v>0</v>
      </c>
      <c r="AH15" s="118">
        <f>AH9*Inputs!C44*Inputs!C20/1000</f>
        <v>0</v>
      </c>
      <c r="AI15" s="118">
        <f>AI9*Inputs!C44*Inputs!C20/1000</f>
        <v>0</v>
      </c>
      <c r="AJ15" s="118">
        <f>AJ9*Inputs!C44*Inputs!C20/1000</f>
        <v>0</v>
      </c>
      <c r="AK15" s="118">
        <f>AK9*Inputs!C44*Inputs!C20/1000</f>
        <v>0</v>
      </c>
      <c r="AL15" s="118">
        <f>AL9*Inputs!C44*Inputs!C20/1000</f>
        <v>0</v>
      </c>
      <c r="AM15" s="119">
        <f>AM9*Inputs!C44*Inputs!C20/1000</f>
        <v>0</v>
      </c>
    </row>
    <row r="16" spans="1:39">
      <c r="A16" s="34" t="s">
        <v>461</v>
      </c>
      <c r="B16" s="35" t="s">
        <v>221</v>
      </c>
      <c r="C16" s="36" t="s">
        <v>462</v>
      </c>
      <c r="D16" s="117">
        <f>D8*Inputs!C48+Deployment_36M!D37*Inputs!C47</f>
        <v>0</v>
      </c>
      <c r="E16" s="118">
        <f>E8*Inputs!C48+Deployment_36M!E37*Inputs!C47</f>
        <v>0</v>
      </c>
      <c r="F16" s="118">
        <f>F8*Inputs!C48+Deployment_36M!F37*Inputs!C47</f>
        <v>44407.5771007</v>
      </c>
      <c r="G16" s="118">
        <f>G8*Inputs!C48+Deployment_36M!G37*Inputs!C47</f>
        <v>19031.818757699999</v>
      </c>
      <c r="H16" s="118">
        <f>H8*Inputs!C48+Deployment_36M!H37*Inputs!C47</f>
        <v>19031.818757699999</v>
      </c>
      <c r="I16" s="118">
        <f>I8*Inputs!C48+Deployment_36M!I37*Inputs!C47</f>
        <v>44407.5771007</v>
      </c>
      <c r="J16" s="118">
        <f>J8*Inputs!C48+Deployment_36M!J37*Inputs!C47</f>
        <v>0</v>
      </c>
      <c r="K16" s="118">
        <f>K8*Inputs!C48+Deployment_36M!K37*Inputs!C47</f>
        <v>0</v>
      </c>
      <c r="L16" s="118">
        <f>L8*Inputs!C48+Deployment_36M!L37*Inputs!C47</f>
        <v>0</v>
      </c>
      <c r="M16" s="118">
        <f>M8*Inputs!C48+Deployment_36M!M37*Inputs!C47</f>
        <v>0</v>
      </c>
      <c r="N16" s="118">
        <f>N8*Inputs!C48+Deployment_36M!N37*Inputs!C47</f>
        <v>0</v>
      </c>
      <c r="O16" s="118">
        <f>O8*Inputs!C48+Deployment_36M!O37*Inputs!C47</f>
        <v>0</v>
      </c>
      <c r="P16" s="118">
        <f>P8*Inputs!C48+Deployment_36M!P37*Inputs!C47</f>
        <v>0</v>
      </c>
      <c r="Q16" s="118">
        <f>Q8*Inputs!C48+Deployment_36M!Q37*Inputs!C47</f>
        <v>0</v>
      </c>
      <c r="R16" s="118">
        <f>R8*Inputs!C48+Deployment_36M!R37*Inputs!C47</f>
        <v>0</v>
      </c>
      <c r="S16" s="118">
        <f>S8*Inputs!C48+Deployment_36M!S37*Inputs!C47</f>
        <v>0</v>
      </c>
      <c r="T16" s="118">
        <f>T8*Inputs!C48+Deployment_36M!T37*Inputs!C47</f>
        <v>0</v>
      </c>
      <c r="U16" s="118">
        <f>U8*Inputs!C48+Deployment_36M!U37*Inputs!C47</f>
        <v>0</v>
      </c>
      <c r="V16" s="118">
        <f>V8*Inputs!C48+Deployment_36M!V37*Inputs!C47</f>
        <v>0</v>
      </c>
      <c r="W16" s="118">
        <f>W8*Inputs!C48+Deployment_36M!W37*Inputs!C47</f>
        <v>0</v>
      </c>
      <c r="X16" s="118">
        <f>X8*Inputs!C48+Deployment_36M!X37*Inputs!C47</f>
        <v>0</v>
      </c>
      <c r="Y16" s="118">
        <f>Y8*Inputs!C48+Deployment_36M!Y37*Inputs!C47</f>
        <v>0</v>
      </c>
      <c r="Z16" s="118">
        <f>Z8*Inputs!C48+Deployment_36M!Z37*Inputs!C47</f>
        <v>0</v>
      </c>
      <c r="AA16" s="118">
        <f>AA8*Inputs!C48+Deployment_36M!AA37*Inputs!C47</f>
        <v>0</v>
      </c>
      <c r="AB16" s="118">
        <f>AB8*Inputs!C48+Deployment_36M!AB37*Inputs!C47</f>
        <v>0</v>
      </c>
      <c r="AC16" s="118">
        <f>AC8*Inputs!C48+Deployment_36M!AC37*Inputs!C47</f>
        <v>0</v>
      </c>
      <c r="AD16" s="118">
        <f>AD8*Inputs!C48+Deployment_36M!AD37*Inputs!C47</f>
        <v>0</v>
      </c>
      <c r="AE16" s="118">
        <f>AE8*Inputs!C48+Deployment_36M!AE37*Inputs!C47</f>
        <v>0</v>
      </c>
      <c r="AF16" s="118">
        <f>AF8*Inputs!C48+Deployment_36M!AF37*Inputs!C47</f>
        <v>0</v>
      </c>
      <c r="AG16" s="118">
        <f>AG8*Inputs!C48+Deployment_36M!AG37*Inputs!C47</f>
        <v>0</v>
      </c>
      <c r="AH16" s="118">
        <f>AH8*Inputs!C48+Deployment_36M!AH37*Inputs!C47</f>
        <v>0</v>
      </c>
      <c r="AI16" s="118">
        <f>AI8*Inputs!C48+Deployment_36M!AI37*Inputs!C47</f>
        <v>0</v>
      </c>
      <c r="AJ16" s="118">
        <f>AJ8*Inputs!C48+Deployment_36M!AJ37*Inputs!C47</f>
        <v>0</v>
      </c>
      <c r="AK16" s="118">
        <f>AK8*Inputs!C48+Deployment_36M!AK37*Inputs!C47</f>
        <v>0</v>
      </c>
      <c r="AL16" s="118">
        <f>AL8*Inputs!C48+Deployment_36M!AL37*Inputs!C47</f>
        <v>0</v>
      </c>
      <c r="AM16" s="119">
        <f>AM8*Inputs!C48+Deployment_36M!AM37*Inputs!C47</f>
        <v>0</v>
      </c>
    </row>
    <row r="17" spans="1:39">
      <c r="A17" s="34" t="s">
        <v>463</v>
      </c>
      <c r="B17" s="35" t="s">
        <v>221</v>
      </c>
      <c r="C17" s="36" t="s">
        <v>464</v>
      </c>
      <c r="D17" s="117">
        <f>D10*Inputs!C35</f>
        <v>0</v>
      </c>
      <c r="E17" s="118">
        <f>E10*Inputs!C35</f>
        <v>0</v>
      </c>
      <c r="F17" s="118">
        <f>F10*Inputs!C35</f>
        <v>0</v>
      </c>
      <c r="G17" s="118">
        <f>G10*Inputs!C35</f>
        <v>0</v>
      </c>
      <c r="H17" s="118">
        <f>H10*Inputs!C35</f>
        <v>70000</v>
      </c>
      <c r="I17" s="118">
        <f>I10*Inputs!C35</f>
        <v>0</v>
      </c>
      <c r="J17" s="118">
        <f>J10*Inputs!C35</f>
        <v>0</v>
      </c>
      <c r="K17" s="118">
        <f>K10*Inputs!C35</f>
        <v>0</v>
      </c>
      <c r="L17" s="118">
        <f>L10*Inputs!C35</f>
        <v>0</v>
      </c>
      <c r="M17" s="118">
        <f>M10*Inputs!C35</f>
        <v>0</v>
      </c>
      <c r="N17" s="118">
        <f>N10*Inputs!C35</f>
        <v>0</v>
      </c>
      <c r="O17" s="118">
        <f>O10*Inputs!C35</f>
        <v>0</v>
      </c>
      <c r="P17" s="118">
        <f>P10*Inputs!C35</f>
        <v>0</v>
      </c>
      <c r="Q17" s="118">
        <f>Q10*Inputs!C35</f>
        <v>0</v>
      </c>
      <c r="R17" s="118">
        <f>R10*Inputs!C35</f>
        <v>0</v>
      </c>
      <c r="S17" s="118">
        <f>S10*Inputs!C35</f>
        <v>0</v>
      </c>
      <c r="T17" s="118">
        <f>T10*Inputs!C35</f>
        <v>0</v>
      </c>
      <c r="U17" s="118">
        <f>U10*Inputs!C35</f>
        <v>0</v>
      </c>
      <c r="V17" s="118">
        <f>V10*Inputs!C35</f>
        <v>0</v>
      </c>
      <c r="W17" s="118">
        <f>W10*Inputs!C35</f>
        <v>0</v>
      </c>
      <c r="X17" s="118">
        <f>X10*Inputs!C35</f>
        <v>0</v>
      </c>
      <c r="Y17" s="118">
        <f>Y10*Inputs!C35</f>
        <v>0</v>
      </c>
      <c r="Z17" s="118">
        <f>Z10*Inputs!C35</f>
        <v>0</v>
      </c>
      <c r="AA17" s="118">
        <f>AA10*Inputs!C35</f>
        <v>0</v>
      </c>
      <c r="AB17" s="118">
        <f>AB10*Inputs!C35</f>
        <v>0</v>
      </c>
      <c r="AC17" s="118">
        <f>AC10*Inputs!C35</f>
        <v>0</v>
      </c>
      <c r="AD17" s="118">
        <f>AD10*Inputs!C35</f>
        <v>0</v>
      </c>
      <c r="AE17" s="118">
        <f>AE10*Inputs!C35</f>
        <v>0</v>
      </c>
      <c r="AF17" s="118">
        <f>AF10*Inputs!C35</f>
        <v>0</v>
      </c>
      <c r="AG17" s="118">
        <f>AG10*Inputs!C35</f>
        <v>0</v>
      </c>
      <c r="AH17" s="118">
        <f>AH10*Inputs!C35</f>
        <v>0</v>
      </c>
      <c r="AI17" s="118">
        <f>AI10*Inputs!C35</f>
        <v>0</v>
      </c>
      <c r="AJ17" s="118">
        <f>AJ10*Inputs!C35</f>
        <v>0</v>
      </c>
      <c r="AK17" s="118">
        <f>AK10*Inputs!C35</f>
        <v>0</v>
      </c>
      <c r="AL17" s="118">
        <f>AL10*Inputs!C35</f>
        <v>0</v>
      </c>
      <c r="AM17" s="119">
        <f>AM10*Inputs!C35</f>
        <v>0</v>
      </c>
    </row>
    <row r="18" spans="1:39">
      <c r="A18" s="34" t="s">
        <v>465</v>
      </c>
      <c r="B18" s="35" t="s">
        <v>221</v>
      </c>
      <c r="C18" s="36" t="s">
        <v>466</v>
      </c>
      <c r="D18" s="117">
        <f>(D14+D15)*Inputs!C49</f>
        <v>0</v>
      </c>
      <c r="E18" s="118">
        <f>(E14+E15)*Inputs!C49</f>
        <v>0</v>
      </c>
      <c r="F18" s="118">
        <f>(F14+F15)*Inputs!C49</f>
        <v>1448.74</v>
      </c>
      <c r="G18" s="118">
        <f>(G14+G15)*Inputs!C49</f>
        <v>1329.74</v>
      </c>
      <c r="H18" s="118">
        <f>(H14+H15)*Inputs!C49</f>
        <v>1329.74</v>
      </c>
      <c r="I18" s="118">
        <f>(I14+I15)*Inputs!C49</f>
        <v>1448.74</v>
      </c>
      <c r="J18" s="118">
        <f>(J14+J15)*Inputs!C49</f>
        <v>0</v>
      </c>
      <c r="K18" s="118">
        <f>(K14+K15)*Inputs!C49</f>
        <v>0</v>
      </c>
      <c r="L18" s="118">
        <f>(L14+L15)*Inputs!C49</f>
        <v>0</v>
      </c>
      <c r="M18" s="118">
        <f>(M14+M15)*Inputs!C49</f>
        <v>0</v>
      </c>
      <c r="N18" s="118">
        <f>(N14+N15)*Inputs!C49</f>
        <v>0</v>
      </c>
      <c r="O18" s="118">
        <f>(O14+O15)*Inputs!C49</f>
        <v>0</v>
      </c>
      <c r="P18" s="118">
        <f>(P14+P15)*Inputs!C49</f>
        <v>0</v>
      </c>
      <c r="Q18" s="118">
        <f>(Q14+Q15)*Inputs!C49</f>
        <v>0</v>
      </c>
      <c r="R18" s="118">
        <f>(R14+R15)*Inputs!C49</f>
        <v>0</v>
      </c>
      <c r="S18" s="118">
        <f>(S14+S15)*Inputs!C49</f>
        <v>0</v>
      </c>
      <c r="T18" s="118">
        <f>(T14+T15)*Inputs!C49</f>
        <v>0</v>
      </c>
      <c r="U18" s="118">
        <f>(U14+U15)*Inputs!C49</f>
        <v>0</v>
      </c>
      <c r="V18" s="118">
        <f>(V14+V15)*Inputs!C49</f>
        <v>0</v>
      </c>
      <c r="W18" s="118">
        <f>(W14+W15)*Inputs!C49</f>
        <v>0</v>
      </c>
      <c r="X18" s="118">
        <f>(X14+X15)*Inputs!C49</f>
        <v>0</v>
      </c>
      <c r="Y18" s="118">
        <f>(Y14+Y15)*Inputs!C49</f>
        <v>0</v>
      </c>
      <c r="Z18" s="118">
        <f>(Z14+Z15)*Inputs!C49</f>
        <v>0</v>
      </c>
      <c r="AA18" s="118">
        <f>(AA14+AA15)*Inputs!C49</f>
        <v>0</v>
      </c>
      <c r="AB18" s="118">
        <f>(AB14+AB15)*Inputs!C49</f>
        <v>0</v>
      </c>
      <c r="AC18" s="118">
        <f>(AC14+AC15)*Inputs!C49</f>
        <v>0</v>
      </c>
      <c r="AD18" s="118">
        <f>(AD14+AD15)*Inputs!C49</f>
        <v>0</v>
      </c>
      <c r="AE18" s="118">
        <f>(AE14+AE15)*Inputs!C49</f>
        <v>0</v>
      </c>
      <c r="AF18" s="118">
        <f>(AF14+AF15)*Inputs!C49</f>
        <v>0</v>
      </c>
      <c r="AG18" s="118">
        <f>(AG14+AG15)*Inputs!C49</f>
        <v>0</v>
      </c>
      <c r="AH18" s="118">
        <f>(AH14+AH15)*Inputs!C49</f>
        <v>0</v>
      </c>
      <c r="AI18" s="118">
        <f>(AI14+AI15)*Inputs!C49</f>
        <v>0</v>
      </c>
      <c r="AJ18" s="118">
        <f>(AJ14+AJ15)*Inputs!C49</f>
        <v>0</v>
      </c>
      <c r="AK18" s="118">
        <f>(AK14+AK15)*Inputs!C49</f>
        <v>0</v>
      </c>
      <c r="AL18" s="118">
        <f>(AL14+AL15)*Inputs!C49</f>
        <v>0</v>
      </c>
      <c r="AM18" s="119">
        <f>(AM14+AM15)*Inputs!C49</f>
        <v>0</v>
      </c>
    </row>
    <row r="19" spans="1:39">
      <c r="A19" s="26" t="s">
        <v>467</v>
      </c>
      <c r="B19" t="s">
        <v>221</v>
      </c>
      <c r="C19" s="27" t="s">
        <v>468</v>
      </c>
      <c r="D19" s="111">
        <f>Deployment_36M!D37*Inputs!C50</f>
        <v>0</v>
      </c>
      <c r="E19" s="112">
        <f>Deployment_36M!E37*Inputs!C50</f>
        <v>0</v>
      </c>
      <c r="F19" s="112">
        <f>Deployment_36M!F37*Inputs!C50</f>
        <v>750</v>
      </c>
      <c r="G19" s="112">
        <f>Deployment_36M!G37*Inputs!C50</f>
        <v>0</v>
      </c>
      <c r="H19" s="112">
        <f>Deployment_36M!H37*Inputs!C50</f>
        <v>0</v>
      </c>
      <c r="I19" s="112">
        <f>Deployment_36M!I37*Inputs!C50</f>
        <v>750</v>
      </c>
      <c r="J19" s="112">
        <f>Deployment_36M!J37*Inputs!C50</f>
        <v>0</v>
      </c>
      <c r="K19" s="112">
        <f>Deployment_36M!K37*Inputs!C50</f>
        <v>0</v>
      </c>
      <c r="L19" s="112">
        <f>Deployment_36M!L37*Inputs!C50</f>
        <v>0</v>
      </c>
      <c r="M19" s="112">
        <f>Deployment_36M!M37*Inputs!C50</f>
        <v>0</v>
      </c>
      <c r="N19" s="112">
        <f>Deployment_36M!N37*Inputs!C50</f>
        <v>0</v>
      </c>
      <c r="O19" s="112">
        <f>Deployment_36M!O37*Inputs!C50</f>
        <v>0</v>
      </c>
      <c r="P19" s="112">
        <f>Deployment_36M!P37*Inputs!C50</f>
        <v>0</v>
      </c>
      <c r="Q19" s="112">
        <f>Deployment_36M!Q37*Inputs!C50</f>
        <v>0</v>
      </c>
      <c r="R19" s="112">
        <f>Deployment_36M!R37*Inputs!C50</f>
        <v>0</v>
      </c>
      <c r="S19" s="112">
        <f>Deployment_36M!S37*Inputs!C50</f>
        <v>0</v>
      </c>
      <c r="T19" s="112">
        <f>Deployment_36M!T37*Inputs!C50</f>
        <v>0</v>
      </c>
      <c r="U19" s="112">
        <f>Deployment_36M!U37*Inputs!C50</f>
        <v>0</v>
      </c>
      <c r="V19" s="112">
        <f>Deployment_36M!V37*Inputs!C50</f>
        <v>0</v>
      </c>
      <c r="W19" s="112">
        <f>Deployment_36M!W37*Inputs!C50</f>
        <v>0</v>
      </c>
      <c r="X19" s="112">
        <f>Deployment_36M!X37*Inputs!C50</f>
        <v>0</v>
      </c>
      <c r="Y19" s="112">
        <f>Deployment_36M!Y37*Inputs!C50</f>
        <v>0</v>
      </c>
      <c r="Z19" s="112">
        <f>Deployment_36M!Z37*Inputs!C50</f>
        <v>0</v>
      </c>
      <c r="AA19" s="112">
        <f>Deployment_36M!AA37*Inputs!C50</f>
        <v>0</v>
      </c>
      <c r="AB19" s="112">
        <f>Deployment_36M!AB37*Inputs!C50</f>
        <v>0</v>
      </c>
      <c r="AC19" s="112">
        <f>Deployment_36M!AC37*Inputs!C50</f>
        <v>0</v>
      </c>
      <c r="AD19" s="112">
        <f>Deployment_36M!AD37*Inputs!C50</f>
        <v>0</v>
      </c>
      <c r="AE19" s="112">
        <f>Deployment_36M!AE37*Inputs!C50</f>
        <v>0</v>
      </c>
      <c r="AF19" s="112">
        <f>Deployment_36M!AF37*Inputs!C50</f>
        <v>0</v>
      </c>
      <c r="AG19" s="112">
        <f>Deployment_36M!AG37*Inputs!C50</f>
        <v>0</v>
      </c>
      <c r="AH19" s="112">
        <f>Deployment_36M!AH37*Inputs!C50</f>
        <v>0</v>
      </c>
      <c r="AI19" s="112">
        <f>Deployment_36M!AI37*Inputs!C50</f>
        <v>0</v>
      </c>
      <c r="AJ19" s="112">
        <f>Deployment_36M!AJ37*Inputs!C50</f>
        <v>0</v>
      </c>
      <c r="AK19" s="112">
        <f>Deployment_36M!AK37*Inputs!C50</f>
        <v>0</v>
      </c>
      <c r="AL19" s="112">
        <f>Deployment_36M!AL37*Inputs!C50</f>
        <v>0</v>
      </c>
      <c r="AM19" s="113">
        <f>Deployment_36M!AM37*Inputs!C50</f>
        <v>0</v>
      </c>
    </row>
    <row r="20" spans="1:39">
      <c r="A20" s="26" t="s">
        <v>469</v>
      </c>
      <c r="B20" t="s">
        <v>221</v>
      </c>
      <c r="C20" s="27" t="s">
        <v>470</v>
      </c>
      <c r="D20" s="111">
        <f>D11*Inputs!C61</f>
        <v>0</v>
      </c>
      <c r="E20" s="112">
        <f>E11*Inputs!C61</f>
        <v>0</v>
      </c>
      <c r="F20" s="112">
        <f>F11*Inputs!C61</f>
        <v>145.25</v>
      </c>
      <c r="G20" s="112">
        <f>G11*Inputs!C61</f>
        <v>75.25</v>
      </c>
      <c r="H20" s="112">
        <f>H11*Inputs!C61</f>
        <v>75.25</v>
      </c>
      <c r="I20" s="112">
        <f>I11*Inputs!C61</f>
        <v>145.25</v>
      </c>
      <c r="J20" s="112">
        <f>J11*Inputs!C61</f>
        <v>0</v>
      </c>
      <c r="K20" s="112">
        <f>K11*Inputs!C61</f>
        <v>0</v>
      </c>
      <c r="L20" s="112">
        <f>L11*Inputs!C61</f>
        <v>0</v>
      </c>
      <c r="M20" s="112">
        <f>M11*Inputs!C61</f>
        <v>0</v>
      </c>
      <c r="N20" s="112">
        <f>N11*Inputs!C61</f>
        <v>0</v>
      </c>
      <c r="O20" s="112">
        <f>O11*Inputs!C61</f>
        <v>0</v>
      </c>
      <c r="P20" s="112">
        <f>P11*Inputs!C61</f>
        <v>0</v>
      </c>
      <c r="Q20" s="112">
        <f>Q11*Inputs!C61</f>
        <v>0</v>
      </c>
      <c r="R20" s="112">
        <f>R11*Inputs!C61</f>
        <v>0</v>
      </c>
      <c r="S20" s="112">
        <f>S11*Inputs!C61</f>
        <v>0</v>
      </c>
      <c r="T20" s="112">
        <f>T11*Inputs!C61</f>
        <v>0</v>
      </c>
      <c r="U20" s="112">
        <f>U11*Inputs!C61</f>
        <v>0</v>
      </c>
      <c r="V20" s="112">
        <f>V11*Inputs!C61</f>
        <v>0</v>
      </c>
      <c r="W20" s="112">
        <f>W11*Inputs!C61</f>
        <v>0</v>
      </c>
      <c r="X20" s="112">
        <f>X11*Inputs!C61</f>
        <v>0</v>
      </c>
      <c r="Y20" s="112">
        <f>Y11*Inputs!C61</f>
        <v>0</v>
      </c>
      <c r="Z20" s="112">
        <f>Z11*Inputs!C61</f>
        <v>0</v>
      </c>
      <c r="AA20" s="112">
        <f>AA11*Inputs!C61</f>
        <v>0</v>
      </c>
      <c r="AB20" s="112">
        <f>AB11*Inputs!C61</f>
        <v>0</v>
      </c>
      <c r="AC20" s="112">
        <f>AC11*Inputs!C61</f>
        <v>0</v>
      </c>
      <c r="AD20" s="112">
        <f>AD11*Inputs!C61</f>
        <v>0</v>
      </c>
      <c r="AE20" s="112">
        <f>AE11*Inputs!C61</f>
        <v>0</v>
      </c>
      <c r="AF20" s="112">
        <f>AF11*Inputs!C61</f>
        <v>0</v>
      </c>
      <c r="AG20" s="112">
        <f>AG11*Inputs!C61</f>
        <v>0</v>
      </c>
      <c r="AH20" s="112">
        <f>AH11*Inputs!C61</f>
        <v>0</v>
      </c>
      <c r="AI20" s="112">
        <f>AI11*Inputs!C61</f>
        <v>0</v>
      </c>
      <c r="AJ20" s="112">
        <f>AJ11*Inputs!C61</f>
        <v>0</v>
      </c>
      <c r="AK20" s="112">
        <f>AK11*Inputs!C61</f>
        <v>0</v>
      </c>
      <c r="AL20" s="112">
        <f>AL11*Inputs!C61</f>
        <v>0</v>
      </c>
      <c r="AM20" s="113">
        <f>AM11*Inputs!C61</f>
        <v>0</v>
      </c>
    </row>
    <row r="21" spans="1:39">
      <c r="A21" s="26" t="s">
        <v>471</v>
      </c>
      <c r="B21" t="s">
        <v>221</v>
      </c>
      <c r="C21" s="27" t="s">
        <v>472</v>
      </c>
      <c r="D21" s="111">
        <f>D9*Inputs!C54*Inputs!C20/1000</f>
        <v>0</v>
      </c>
      <c r="E21" s="112">
        <f>E9*Inputs!C54*Inputs!C20/1000</f>
        <v>0</v>
      </c>
      <c r="F21" s="112">
        <f>F9*Inputs!C54*Inputs!C20/1000</f>
        <v>408</v>
      </c>
      <c r="G21" s="112">
        <f>G9*Inputs!C54*Inputs!C20/1000</f>
        <v>272</v>
      </c>
      <c r="H21" s="112">
        <f>H9*Inputs!C54*Inputs!C20/1000</f>
        <v>272</v>
      </c>
      <c r="I21" s="112">
        <f>I9*Inputs!C54*Inputs!C20/1000</f>
        <v>408</v>
      </c>
      <c r="J21" s="112">
        <f>J9*Inputs!C54*Inputs!C20/1000</f>
        <v>0</v>
      </c>
      <c r="K21" s="112">
        <f>K9*Inputs!C54*Inputs!C20/1000</f>
        <v>0</v>
      </c>
      <c r="L21" s="112">
        <f>L9*Inputs!C54*Inputs!C20/1000</f>
        <v>0</v>
      </c>
      <c r="M21" s="112">
        <f>M9*Inputs!C54*Inputs!C20/1000</f>
        <v>0</v>
      </c>
      <c r="N21" s="112">
        <f>N9*Inputs!C54*Inputs!C20/1000</f>
        <v>0</v>
      </c>
      <c r="O21" s="112">
        <f>O9*Inputs!C54*Inputs!C20/1000</f>
        <v>0</v>
      </c>
      <c r="P21" s="112">
        <f>P9*Inputs!C54*Inputs!C20/1000</f>
        <v>0</v>
      </c>
      <c r="Q21" s="112">
        <f>Q9*Inputs!C54*Inputs!C20/1000</f>
        <v>0</v>
      </c>
      <c r="R21" s="112">
        <f>R9*Inputs!C54*Inputs!C20/1000</f>
        <v>0</v>
      </c>
      <c r="S21" s="112">
        <f>S9*Inputs!C54*Inputs!C20/1000</f>
        <v>0</v>
      </c>
      <c r="T21" s="112">
        <f>T9*Inputs!C54*Inputs!C20/1000</f>
        <v>0</v>
      </c>
      <c r="U21" s="112">
        <f>U9*Inputs!C54*Inputs!C20/1000</f>
        <v>0</v>
      </c>
      <c r="V21" s="112">
        <f>V9*Inputs!C54*Inputs!C20/1000</f>
        <v>0</v>
      </c>
      <c r="W21" s="112">
        <f>W9*Inputs!C54*Inputs!C20/1000</f>
        <v>0</v>
      </c>
      <c r="X21" s="112">
        <f>X9*Inputs!C54*Inputs!C20/1000</f>
        <v>0</v>
      </c>
      <c r="Y21" s="112">
        <f>Y9*Inputs!C54*Inputs!C20/1000</f>
        <v>0</v>
      </c>
      <c r="Z21" s="112">
        <f>Z9*Inputs!C54*Inputs!C20/1000</f>
        <v>0</v>
      </c>
      <c r="AA21" s="112">
        <f>AA9*Inputs!C54*Inputs!C20/1000</f>
        <v>0</v>
      </c>
      <c r="AB21" s="112">
        <f>AB9*Inputs!C54*Inputs!C20/1000</f>
        <v>0</v>
      </c>
      <c r="AC21" s="112">
        <f>AC9*Inputs!C54*Inputs!C20/1000</f>
        <v>0</v>
      </c>
      <c r="AD21" s="112">
        <f>AD9*Inputs!C54*Inputs!C20/1000</f>
        <v>0</v>
      </c>
      <c r="AE21" s="112">
        <f>AE9*Inputs!C54*Inputs!C20/1000</f>
        <v>0</v>
      </c>
      <c r="AF21" s="112">
        <f>AF9*Inputs!C54*Inputs!C20/1000</f>
        <v>0</v>
      </c>
      <c r="AG21" s="112">
        <f>AG9*Inputs!C54*Inputs!C20/1000</f>
        <v>0</v>
      </c>
      <c r="AH21" s="112">
        <f>AH9*Inputs!C54*Inputs!C20/1000</f>
        <v>0</v>
      </c>
      <c r="AI21" s="112">
        <f>AI9*Inputs!C54*Inputs!C20/1000</f>
        <v>0</v>
      </c>
      <c r="AJ21" s="112">
        <f>AJ9*Inputs!C54*Inputs!C20/1000</f>
        <v>0</v>
      </c>
      <c r="AK21" s="112">
        <f>AK9*Inputs!C54*Inputs!C20/1000</f>
        <v>0</v>
      </c>
      <c r="AL21" s="112">
        <f>AL9*Inputs!C54*Inputs!C20/1000</f>
        <v>0</v>
      </c>
      <c r="AM21" s="113">
        <f>AM9*Inputs!C54*Inputs!C20/1000</f>
        <v>0</v>
      </c>
    </row>
    <row r="22" spans="1:39">
      <c r="A22" s="26" t="s">
        <v>473</v>
      </c>
      <c r="B22" t="s">
        <v>221</v>
      </c>
      <c r="C22" s="27" t="s">
        <v>472</v>
      </c>
      <c r="D22" s="111">
        <f>D9*Inputs!C55</f>
        <v>0</v>
      </c>
      <c r="E22" s="112">
        <f>E9*Inputs!C55</f>
        <v>0</v>
      </c>
      <c r="F22" s="112">
        <f>F9*Inputs!C55</f>
        <v>450</v>
      </c>
      <c r="G22" s="112">
        <f>G9*Inputs!C55</f>
        <v>300</v>
      </c>
      <c r="H22" s="112">
        <f>H9*Inputs!C55</f>
        <v>300</v>
      </c>
      <c r="I22" s="112">
        <f>I9*Inputs!C55</f>
        <v>450</v>
      </c>
      <c r="J22" s="112">
        <f>J9*Inputs!C55</f>
        <v>0</v>
      </c>
      <c r="K22" s="112">
        <f>K9*Inputs!C55</f>
        <v>0</v>
      </c>
      <c r="L22" s="112">
        <f>L9*Inputs!C55</f>
        <v>0</v>
      </c>
      <c r="M22" s="112">
        <f>M9*Inputs!C55</f>
        <v>0</v>
      </c>
      <c r="N22" s="112">
        <f>N9*Inputs!C55</f>
        <v>0</v>
      </c>
      <c r="O22" s="112">
        <f>O9*Inputs!C55</f>
        <v>0</v>
      </c>
      <c r="P22" s="112">
        <f>P9*Inputs!C55</f>
        <v>0</v>
      </c>
      <c r="Q22" s="112">
        <f>Q9*Inputs!C55</f>
        <v>0</v>
      </c>
      <c r="R22" s="112">
        <f>R9*Inputs!C55</f>
        <v>0</v>
      </c>
      <c r="S22" s="112">
        <f>S9*Inputs!C55</f>
        <v>0</v>
      </c>
      <c r="T22" s="112">
        <f>T9*Inputs!C55</f>
        <v>0</v>
      </c>
      <c r="U22" s="112">
        <f>U9*Inputs!C55</f>
        <v>0</v>
      </c>
      <c r="V22" s="112">
        <f>V9*Inputs!C55</f>
        <v>0</v>
      </c>
      <c r="W22" s="112">
        <f>W9*Inputs!C55</f>
        <v>0</v>
      </c>
      <c r="X22" s="112">
        <f>X9*Inputs!C55</f>
        <v>0</v>
      </c>
      <c r="Y22" s="112">
        <f>Y9*Inputs!C55</f>
        <v>0</v>
      </c>
      <c r="Z22" s="112">
        <f>Z9*Inputs!C55</f>
        <v>0</v>
      </c>
      <c r="AA22" s="112">
        <f>AA9*Inputs!C55</f>
        <v>0</v>
      </c>
      <c r="AB22" s="112">
        <f>AB9*Inputs!C55</f>
        <v>0</v>
      </c>
      <c r="AC22" s="112">
        <f>AC9*Inputs!C55</f>
        <v>0</v>
      </c>
      <c r="AD22" s="112">
        <f>AD9*Inputs!C55</f>
        <v>0</v>
      </c>
      <c r="AE22" s="112">
        <f>AE9*Inputs!C55</f>
        <v>0</v>
      </c>
      <c r="AF22" s="112">
        <f>AF9*Inputs!C55</f>
        <v>0</v>
      </c>
      <c r="AG22" s="112">
        <f>AG9*Inputs!C55</f>
        <v>0</v>
      </c>
      <c r="AH22" s="112">
        <f>AH9*Inputs!C55</f>
        <v>0</v>
      </c>
      <c r="AI22" s="112">
        <f>AI9*Inputs!C55</f>
        <v>0</v>
      </c>
      <c r="AJ22" s="112">
        <f>AJ9*Inputs!C55</f>
        <v>0</v>
      </c>
      <c r="AK22" s="112">
        <f>AK9*Inputs!C55</f>
        <v>0</v>
      </c>
      <c r="AL22" s="112">
        <f>AL9*Inputs!C55</f>
        <v>0</v>
      </c>
      <c r="AM22" s="113">
        <f>AM9*Inputs!C55</f>
        <v>0</v>
      </c>
    </row>
    <row r="23" spans="1:39">
      <c r="A23" s="26" t="s">
        <v>474</v>
      </c>
      <c r="B23" t="s">
        <v>221</v>
      </c>
      <c r="C23" s="27" t="s">
        <v>472</v>
      </c>
      <c r="D23" s="111">
        <f>D9*Inputs!C56</f>
        <v>0</v>
      </c>
      <c r="E23" s="112">
        <f>E9*Inputs!C56</f>
        <v>0</v>
      </c>
      <c r="F23" s="112">
        <f>F9*Inputs!C56</f>
        <v>210</v>
      </c>
      <c r="G23" s="112">
        <f>G9*Inputs!C56</f>
        <v>140</v>
      </c>
      <c r="H23" s="112">
        <f>H9*Inputs!C56</f>
        <v>140</v>
      </c>
      <c r="I23" s="112">
        <f>I9*Inputs!C56</f>
        <v>210</v>
      </c>
      <c r="J23" s="112">
        <f>J9*Inputs!C56</f>
        <v>0</v>
      </c>
      <c r="K23" s="112">
        <f>K9*Inputs!C56</f>
        <v>0</v>
      </c>
      <c r="L23" s="112">
        <f>L9*Inputs!C56</f>
        <v>0</v>
      </c>
      <c r="M23" s="112">
        <f>M9*Inputs!C56</f>
        <v>0</v>
      </c>
      <c r="N23" s="112">
        <f>N9*Inputs!C56</f>
        <v>0</v>
      </c>
      <c r="O23" s="112">
        <f>O9*Inputs!C56</f>
        <v>0</v>
      </c>
      <c r="P23" s="112">
        <f>P9*Inputs!C56</f>
        <v>0</v>
      </c>
      <c r="Q23" s="112">
        <f>Q9*Inputs!C56</f>
        <v>0</v>
      </c>
      <c r="R23" s="112">
        <f>R9*Inputs!C56</f>
        <v>0</v>
      </c>
      <c r="S23" s="112">
        <f>S9*Inputs!C56</f>
        <v>0</v>
      </c>
      <c r="T23" s="112">
        <f>T9*Inputs!C56</f>
        <v>0</v>
      </c>
      <c r="U23" s="112">
        <f>U9*Inputs!C56</f>
        <v>0</v>
      </c>
      <c r="V23" s="112">
        <f>V9*Inputs!C56</f>
        <v>0</v>
      </c>
      <c r="W23" s="112">
        <f>W9*Inputs!C56</f>
        <v>0</v>
      </c>
      <c r="X23" s="112">
        <f>X9*Inputs!C56</f>
        <v>0</v>
      </c>
      <c r="Y23" s="112">
        <f>Y9*Inputs!C56</f>
        <v>0</v>
      </c>
      <c r="Z23" s="112">
        <f>Z9*Inputs!C56</f>
        <v>0</v>
      </c>
      <c r="AA23" s="112">
        <f>AA9*Inputs!C56</f>
        <v>0</v>
      </c>
      <c r="AB23" s="112">
        <f>AB9*Inputs!C56</f>
        <v>0</v>
      </c>
      <c r="AC23" s="112">
        <f>AC9*Inputs!C56</f>
        <v>0</v>
      </c>
      <c r="AD23" s="112">
        <f>AD9*Inputs!C56</f>
        <v>0</v>
      </c>
      <c r="AE23" s="112">
        <f>AE9*Inputs!C56</f>
        <v>0</v>
      </c>
      <c r="AF23" s="112">
        <f>AF9*Inputs!C56</f>
        <v>0</v>
      </c>
      <c r="AG23" s="112">
        <f>AG9*Inputs!C56</f>
        <v>0</v>
      </c>
      <c r="AH23" s="112">
        <f>AH9*Inputs!C56</f>
        <v>0</v>
      </c>
      <c r="AI23" s="112">
        <f>AI9*Inputs!C56</f>
        <v>0</v>
      </c>
      <c r="AJ23" s="112">
        <f>AJ9*Inputs!C56</f>
        <v>0</v>
      </c>
      <c r="AK23" s="112">
        <f>AK9*Inputs!C56</f>
        <v>0</v>
      </c>
      <c r="AL23" s="112">
        <f>AL9*Inputs!C56</f>
        <v>0</v>
      </c>
      <c r="AM23" s="113">
        <f>AM9*Inputs!C56</f>
        <v>0</v>
      </c>
    </row>
    <row r="24" spans="1:39">
      <c r="A24" s="26" t="s">
        <v>475</v>
      </c>
      <c r="B24" t="s">
        <v>221</v>
      </c>
      <c r="C24" s="27" t="s">
        <v>472</v>
      </c>
      <c r="D24" s="111">
        <f>D9*Inputs!C57</f>
        <v>0</v>
      </c>
      <c r="E24" s="112">
        <f>E9*Inputs!C57</f>
        <v>0</v>
      </c>
      <c r="F24" s="112">
        <f>F9*Inputs!C57</f>
        <v>150</v>
      </c>
      <c r="G24" s="112">
        <f>G9*Inputs!C57</f>
        <v>100</v>
      </c>
      <c r="H24" s="112">
        <f>H9*Inputs!C57</f>
        <v>100</v>
      </c>
      <c r="I24" s="112">
        <f>I9*Inputs!C57</f>
        <v>150</v>
      </c>
      <c r="J24" s="112">
        <f>J9*Inputs!C57</f>
        <v>0</v>
      </c>
      <c r="K24" s="112">
        <f>K9*Inputs!C57</f>
        <v>0</v>
      </c>
      <c r="L24" s="112">
        <f>L9*Inputs!C57</f>
        <v>0</v>
      </c>
      <c r="M24" s="112">
        <f>M9*Inputs!C57</f>
        <v>0</v>
      </c>
      <c r="N24" s="112">
        <f>N9*Inputs!C57</f>
        <v>0</v>
      </c>
      <c r="O24" s="112">
        <f>O9*Inputs!C57</f>
        <v>0</v>
      </c>
      <c r="P24" s="112">
        <f>P9*Inputs!C57</f>
        <v>0</v>
      </c>
      <c r="Q24" s="112">
        <f>Q9*Inputs!C57</f>
        <v>0</v>
      </c>
      <c r="R24" s="112">
        <f>R9*Inputs!C57</f>
        <v>0</v>
      </c>
      <c r="S24" s="112">
        <f>S9*Inputs!C57</f>
        <v>0</v>
      </c>
      <c r="T24" s="112">
        <f>T9*Inputs!C57</f>
        <v>0</v>
      </c>
      <c r="U24" s="112">
        <f>U9*Inputs!C57</f>
        <v>0</v>
      </c>
      <c r="V24" s="112">
        <f>V9*Inputs!C57</f>
        <v>0</v>
      </c>
      <c r="W24" s="112">
        <f>W9*Inputs!C57</f>
        <v>0</v>
      </c>
      <c r="X24" s="112">
        <f>X9*Inputs!C57</f>
        <v>0</v>
      </c>
      <c r="Y24" s="112">
        <f>Y9*Inputs!C57</f>
        <v>0</v>
      </c>
      <c r="Z24" s="112">
        <f>Z9*Inputs!C57</f>
        <v>0</v>
      </c>
      <c r="AA24" s="112">
        <f>AA9*Inputs!C57</f>
        <v>0</v>
      </c>
      <c r="AB24" s="112">
        <f>AB9*Inputs!C57</f>
        <v>0</v>
      </c>
      <c r="AC24" s="112">
        <f>AC9*Inputs!C57</f>
        <v>0</v>
      </c>
      <c r="AD24" s="112">
        <f>AD9*Inputs!C57</f>
        <v>0</v>
      </c>
      <c r="AE24" s="112">
        <f>AE9*Inputs!C57</f>
        <v>0</v>
      </c>
      <c r="AF24" s="112">
        <f>AF9*Inputs!C57</f>
        <v>0</v>
      </c>
      <c r="AG24" s="112">
        <f>AG9*Inputs!C57</f>
        <v>0</v>
      </c>
      <c r="AH24" s="112">
        <f>AH9*Inputs!C57</f>
        <v>0</v>
      </c>
      <c r="AI24" s="112">
        <f>AI9*Inputs!C57</f>
        <v>0</v>
      </c>
      <c r="AJ24" s="112">
        <f>AJ9*Inputs!C57</f>
        <v>0</v>
      </c>
      <c r="AK24" s="112">
        <f>AK9*Inputs!C57</f>
        <v>0</v>
      </c>
      <c r="AL24" s="112">
        <f>AL9*Inputs!C57</f>
        <v>0</v>
      </c>
      <c r="AM24" s="113">
        <f>AM9*Inputs!C57</f>
        <v>0</v>
      </c>
    </row>
    <row r="25" spans="1:39">
      <c r="A25" s="26" t="s">
        <v>476</v>
      </c>
      <c r="B25" t="s">
        <v>221</v>
      </c>
      <c r="C25" s="27" t="s">
        <v>466</v>
      </c>
      <c r="D25" s="111">
        <f>(D14+D15)*Inputs!C58</f>
        <v>0</v>
      </c>
      <c r="E25" s="112">
        <f>(E14+E15)*Inputs!C58</f>
        <v>0</v>
      </c>
      <c r="F25" s="112">
        <f>(F14+F15)*Inputs!C58</f>
        <v>724.37</v>
      </c>
      <c r="G25" s="112">
        <f>(G14+G15)*Inputs!C58</f>
        <v>664.87</v>
      </c>
      <c r="H25" s="112">
        <f>(H14+H15)*Inputs!C58</f>
        <v>664.87</v>
      </c>
      <c r="I25" s="112">
        <f>(I14+I15)*Inputs!C58</f>
        <v>724.37</v>
      </c>
      <c r="J25" s="112">
        <f>(J14+J15)*Inputs!C58</f>
        <v>0</v>
      </c>
      <c r="K25" s="112">
        <f>(K14+K15)*Inputs!C58</f>
        <v>0</v>
      </c>
      <c r="L25" s="112">
        <f>(L14+L15)*Inputs!C58</f>
        <v>0</v>
      </c>
      <c r="M25" s="112">
        <f>(M14+M15)*Inputs!C58</f>
        <v>0</v>
      </c>
      <c r="N25" s="112">
        <f>(N14+N15)*Inputs!C58</f>
        <v>0</v>
      </c>
      <c r="O25" s="112">
        <f>(O14+O15)*Inputs!C58</f>
        <v>0</v>
      </c>
      <c r="P25" s="112">
        <f>(P14+P15)*Inputs!C58</f>
        <v>0</v>
      </c>
      <c r="Q25" s="112">
        <f>(Q14+Q15)*Inputs!C58</f>
        <v>0</v>
      </c>
      <c r="R25" s="112">
        <f>(R14+R15)*Inputs!C58</f>
        <v>0</v>
      </c>
      <c r="S25" s="112">
        <f>(S14+S15)*Inputs!C58</f>
        <v>0</v>
      </c>
      <c r="T25" s="112">
        <f>(T14+T15)*Inputs!C58</f>
        <v>0</v>
      </c>
      <c r="U25" s="112">
        <f>(U14+U15)*Inputs!C58</f>
        <v>0</v>
      </c>
      <c r="V25" s="112">
        <f>(V14+V15)*Inputs!C58</f>
        <v>0</v>
      </c>
      <c r="W25" s="112">
        <f>(W14+W15)*Inputs!C58</f>
        <v>0</v>
      </c>
      <c r="X25" s="112">
        <f>(X14+X15)*Inputs!C58</f>
        <v>0</v>
      </c>
      <c r="Y25" s="112">
        <f>(Y14+Y15)*Inputs!C58</f>
        <v>0</v>
      </c>
      <c r="Z25" s="112">
        <f>(Z14+Z15)*Inputs!C58</f>
        <v>0</v>
      </c>
      <c r="AA25" s="112">
        <f>(AA14+AA15)*Inputs!C58</f>
        <v>0</v>
      </c>
      <c r="AB25" s="112">
        <f>(AB14+AB15)*Inputs!C58</f>
        <v>0</v>
      </c>
      <c r="AC25" s="112">
        <f>(AC14+AC15)*Inputs!C58</f>
        <v>0</v>
      </c>
      <c r="AD25" s="112">
        <f>(AD14+AD15)*Inputs!C58</f>
        <v>0</v>
      </c>
      <c r="AE25" s="112">
        <f>(AE14+AE15)*Inputs!C58</f>
        <v>0</v>
      </c>
      <c r="AF25" s="112">
        <f>(AF14+AF15)*Inputs!C58</f>
        <v>0</v>
      </c>
      <c r="AG25" s="112">
        <f>(AG14+AG15)*Inputs!C58</f>
        <v>0</v>
      </c>
      <c r="AH25" s="112">
        <f>(AH14+AH15)*Inputs!C58</f>
        <v>0</v>
      </c>
      <c r="AI25" s="112">
        <f>(AI14+AI15)*Inputs!C58</f>
        <v>0</v>
      </c>
      <c r="AJ25" s="112">
        <f>(AJ14+AJ15)*Inputs!C58</f>
        <v>0</v>
      </c>
      <c r="AK25" s="112">
        <f>(AK14+AK15)*Inputs!C58</f>
        <v>0</v>
      </c>
      <c r="AL25" s="112">
        <f>(AL14+AL15)*Inputs!C58</f>
        <v>0</v>
      </c>
      <c r="AM25" s="113">
        <f>(AM14+AM15)*Inputs!C58</f>
        <v>0</v>
      </c>
    </row>
    <row r="26" spans="1:39">
      <c r="A26" s="34" t="s">
        <v>477</v>
      </c>
      <c r="B26" s="35" t="s">
        <v>221</v>
      </c>
      <c r="C26" s="36" t="s">
        <v>466</v>
      </c>
      <c r="D26" s="117">
        <f>(D14+D15)*Inputs!C59</f>
        <v>0</v>
      </c>
      <c r="E26" s="118">
        <f>(E14+E15)*Inputs!C59</f>
        <v>0</v>
      </c>
      <c r="F26" s="118">
        <f>(F14+F15)*Inputs!C59</f>
        <v>3621.8500000000004</v>
      </c>
      <c r="G26" s="118">
        <f>(G14+G15)*Inputs!C59</f>
        <v>3324.3500000000004</v>
      </c>
      <c r="H26" s="118">
        <f>(H14+H15)*Inputs!C59</f>
        <v>3324.3500000000004</v>
      </c>
      <c r="I26" s="118">
        <f>(I14+I15)*Inputs!C59</f>
        <v>3621.8500000000004</v>
      </c>
      <c r="J26" s="118">
        <f>(J14+J15)*Inputs!C59</f>
        <v>0</v>
      </c>
      <c r="K26" s="118">
        <f>(K14+K15)*Inputs!C59</f>
        <v>0</v>
      </c>
      <c r="L26" s="118">
        <f>(L14+L15)*Inputs!C59</f>
        <v>0</v>
      </c>
      <c r="M26" s="118">
        <f>(M14+M15)*Inputs!C59</f>
        <v>0</v>
      </c>
      <c r="N26" s="118">
        <f>(N14+N15)*Inputs!C59</f>
        <v>0</v>
      </c>
      <c r="O26" s="118">
        <f>(O14+O15)*Inputs!C59</f>
        <v>0</v>
      </c>
      <c r="P26" s="118">
        <f>(P14+P15)*Inputs!C59</f>
        <v>0</v>
      </c>
      <c r="Q26" s="118">
        <f>(Q14+Q15)*Inputs!C59</f>
        <v>0</v>
      </c>
      <c r="R26" s="118">
        <f>(R14+R15)*Inputs!C59</f>
        <v>0</v>
      </c>
      <c r="S26" s="118">
        <f>(S14+S15)*Inputs!C59</f>
        <v>0</v>
      </c>
      <c r="T26" s="118">
        <f>(T14+T15)*Inputs!C59</f>
        <v>0</v>
      </c>
      <c r="U26" s="118">
        <f>(U14+U15)*Inputs!C59</f>
        <v>0</v>
      </c>
      <c r="V26" s="118">
        <f>(V14+V15)*Inputs!C59</f>
        <v>0</v>
      </c>
      <c r="W26" s="118">
        <f>(W14+W15)*Inputs!C59</f>
        <v>0</v>
      </c>
      <c r="X26" s="118">
        <f>(X14+X15)*Inputs!C59</f>
        <v>0</v>
      </c>
      <c r="Y26" s="118">
        <f>(Y14+Y15)*Inputs!C59</f>
        <v>0</v>
      </c>
      <c r="Z26" s="118">
        <f>(Z14+Z15)*Inputs!C59</f>
        <v>0</v>
      </c>
      <c r="AA26" s="118">
        <f>(AA14+AA15)*Inputs!C59</f>
        <v>0</v>
      </c>
      <c r="AB26" s="118">
        <f>(AB14+AB15)*Inputs!C59</f>
        <v>0</v>
      </c>
      <c r="AC26" s="118">
        <f>(AC14+AC15)*Inputs!C59</f>
        <v>0</v>
      </c>
      <c r="AD26" s="118">
        <f>(AD14+AD15)*Inputs!C59</f>
        <v>0</v>
      </c>
      <c r="AE26" s="118">
        <f>(AE14+AE15)*Inputs!C59</f>
        <v>0</v>
      </c>
      <c r="AF26" s="118">
        <f>(AF14+AF15)*Inputs!C59</f>
        <v>0</v>
      </c>
      <c r="AG26" s="118">
        <f>(AG14+AG15)*Inputs!C59</f>
        <v>0</v>
      </c>
      <c r="AH26" s="118">
        <f>(AH14+AH15)*Inputs!C59</f>
        <v>0</v>
      </c>
      <c r="AI26" s="118">
        <f>(AI14+AI15)*Inputs!C59</f>
        <v>0</v>
      </c>
      <c r="AJ26" s="118">
        <f>(AJ14+AJ15)*Inputs!C59</f>
        <v>0</v>
      </c>
      <c r="AK26" s="118">
        <f>(AK14+AK15)*Inputs!C59</f>
        <v>0</v>
      </c>
      <c r="AL26" s="118">
        <f>(AL14+AL15)*Inputs!C59</f>
        <v>0</v>
      </c>
      <c r="AM26" s="119">
        <f>(AM14+AM15)*Inputs!C59</f>
        <v>0</v>
      </c>
    </row>
    <row r="27" spans="1:39">
      <c r="A27" s="34" t="s">
        <v>478</v>
      </c>
      <c r="B27" s="35" t="s">
        <v>221</v>
      </c>
      <c r="C27" s="36" t="s">
        <v>479</v>
      </c>
      <c r="D27" s="117">
        <f>IF(1=1,Inputs!C51+Inputs!C52+Inputs!C53,0)</f>
        <v>2450</v>
      </c>
      <c r="E27" s="118">
        <f>IF(2=1,Inputs!C51+Inputs!C52+Inputs!C53,0)</f>
        <v>0</v>
      </c>
      <c r="F27" s="118">
        <f>IF(3=1,Inputs!C51+Inputs!C52+Inputs!C53,0)</f>
        <v>0</v>
      </c>
      <c r="G27" s="118">
        <f>IF(4=1,Inputs!C51+Inputs!C52+Inputs!C53,0)</f>
        <v>0</v>
      </c>
      <c r="H27" s="118">
        <f>IF(5=1,Inputs!C51+Inputs!C52+Inputs!C53,0)</f>
        <v>0</v>
      </c>
      <c r="I27" s="118">
        <f>IF(6=1,Inputs!C51+Inputs!C52+Inputs!C53,0)</f>
        <v>0</v>
      </c>
      <c r="J27" s="118">
        <f>IF(7=1,Inputs!C51+Inputs!C52+Inputs!C53,0)</f>
        <v>0</v>
      </c>
      <c r="K27" s="118">
        <f>IF(8=1,Inputs!C51+Inputs!C52+Inputs!C53,0)</f>
        <v>0</v>
      </c>
      <c r="L27" s="118">
        <f>IF(9=1,Inputs!C51+Inputs!C52+Inputs!C53,0)</f>
        <v>0</v>
      </c>
      <c r="M27" s="118">
        <f>IF(10=1,Inputs!C51+Inputs!C52+Inputs!C53,0)</f>
        <v>0</v>
      </c>
      <c r="N27" s="118">
        <f>IF(11=1,Inputs!C51+Inputs!C52+Inputs!C53,0)</f>
        <v>0</v>
      </c>
      <c r="O27" s="118">
        <f>IF(12=1,Inputs!C51+Inputs!C52+Inputs!C53,0)</f>
        <v>0</v>
      </c>
      <c r="P27" s="118">
        <f>IF(13=1,Inputs!C51+Inputs!C52+Inputs!C53,0)</f>
        <v>0</v>
      </c>
      <c r="Q27" s="118">
        <f>IF(14=1,Inputs!C51+Inputs!C52+Inputs!C53,0)</f>
        <v>0</v>
      </c>
      <c r="R27" s="118">
        <f>IF(15=1,Inputs!C51+Inputs!C52+Inputs!C53,0)</f>
        <v>0</v>
      </c>
      <c r="S27" s="118">
        <f>IF(16=1,Inputs!C51+Inputs!C52+Inputs!C53,0)</f>
        <v>0</v>
      </c>
      <c r="T27" s="118">
        <f>IF(17=1,Inputs!C51+Inputs!C52+Inputs!C53,0)</f>
        <v>0</v>
      </c>
      <c r="U27" s="118">
        <f>IF(18=1,Inputs!C51+Inputs!C52+Inputs!C53,0)</f>
        <v>0</v>
      </c>
      <c r="V27" s="118">
        <f>IF(19=1,Inputs!C51+Inputs!C52+Inputs!C53,0)</f>
        <v>0</v>
      </c>
      <c r="W27" s="118">
        <f>IF(20=1,Inputs!C51+Inputs!C52+Inputs!C53,0)</f>
        <v>0</v>
      </c>
      <c r="X27" s="118">
        <f>IF(21=1,Inputs!C51+Inputs!C52+Inputs!C53,0)</f>
        <v>0</v>
      </c>
      <c r="Y27" s="118">
        <f>IF(22=1,Inputs!C51+Inputs!C52+Inputs!C53,0)</f>
        <v>0</v>
      </c>
      <c r="Z27" s="118">
        <f>IF(23=1,Inputs!C51+Inputs!C52+Inputs!C53,0)</f>
        <v>0</v>
      </c>
      <c r="AA27" s="118">
        <f>IF(24=1,Inputs!C51+Inputs!C52+Inputs!C53,0)</f>
        <v>0</v>
      </c>
      <c r="AB27" s="118">
        <f>IF(25=1,Inputs!C51+Inputs!C52+Inputs!C53,0)</f>
        <v>0</v>
      </c>
      <c r="AC27" s="118">
        <f>IF(26=1,Inputs!C51+Inputs!C52+Inputs!C53,0)</f>
        <v>0</v>
      </c>
      <c r="AD27" s="118">
        <f>IF(27=1,Inputs!C51+Inputs!C52+Inputs!C53,0)</f>
        <v>0</v>
      </c>
      <c r="AE27" s="118">
        <f>IF(28=1,Inputs!C51+Inputs!C52+Inputs!C53,0)</f>
        <v>0</v>
      </c>
      <c r="AF27" s="118">
        <f>IF(29=1,Inputs!C51+Inputs!C52+Inputs!C53,0)</f>
        <v>0</v>
      </c>
      <c r="AG27" s="118">
        <f>IF(30=1,Inputs!C51+Inputs!C52+Inputs!C53,0)</f>
        <v>0</v>
      </c>
      <c r="AH27" s="118">
        <f>IF(31=1,Inputs!C51+Inputs!C52+Inputs!C53,0)</f>
        <v>0</v>
      </c>
      <c r="AI27" s="118">
        <f>IF(32=1,Inputs!C51+Inputs!C52+Inputs!C53,0)</f>
        <v>0</v>
      </c>
      <c r="AJ27" s="118">
        <f>IF(33=1,Inputs!C51+Inputs!C52+Inputs!C53,0)</f>
        <v>0</v>
      </c>
      <c r="AK27" s="118">
        <f>IF(34=1,Inputs!C51+Inputs!C52+Inputs!C53,0)</f>
        <v>0</v>
      </c>
      <c r="AL27" s="118">
        <f>IF(35=1,Inputs!C51+Inputs!C52+Inputs!C53,0)</f>
        <v>0</v>
      </c>
      <c r="AM27" s="119">
        <f>IF(36=1,Inputs!C51+Inputs!C52+Inputs!C53,0)</f>
        <v>0</v>
      </c>
    </row>
    <row r="28" spans="1:39">
      <c r="A28" s="26"/>
      <c r="C28" s="27"/>
      <c r="D28" s="111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3"/>
    </row>
    <row r="29" spans="1:39">
      <c r="A29" s="26"/>
      <c r="C29" s="27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3"/>
    </row>
    <row r="30" spans="1:39">
      <c r="A30" s="34" t="s">
        <v>480</v>
      </c>
      <c r="B30" s="35" t="s">
        <v>221</v>
      </c>
      <c r="C30" s="36" t="s">
        <v>481</v>
      </c>
      <c r="D30" s="117">
        <f>Inputs!C100*F14</f>
        <v>32752.199999999997</v>
      </c>
      <c r="E30" s="118">
        <f>Inputs!C100*G14</f>
        <v>32752.199999999997</v>
      </c>
      <c r="F30" s="118">
        <f>Inputs!C100*H14</f>
        <v>32752.199999999997</v>
      </c>
      <c r="G30" s="118">
        <f>Inputs!C100*I14</f>
        <v>32752.199999999997</v>
      </c>
      <c r="H30" s="118">
        <f>Inputs!C100*J14</f>
        <v>0</v>
      </c>
      <c r="I30" s="118">
        <f>Inputs!C100*K14</f>
        <v>0</v>
      </c>
      <c r="J30" s="118">
        <f>Inputs!C100*L14</f>
        <v>0</v>
      </c>
      <c r="K30" s="118">
        <f>Inputs!C100*M14</f>
        <v>0</v>
      </c>
      <c r="L30" s="118">
        <f>Inputs!C100*N14</f>
        <v>0</v>
      </c>
      <c r="M30" s="118">
        <f>Inputs!C100*O14</f>
        <v>0</v>
      </c>
      <c r="N30" s="118">
        <f>Inputs!C100*P14</f>
        <v>0</v>
      </c>
      <c r="O30" s="118">
        <f>Inputs!C100*Q14</f>
        <v>0</v>
      </c>
      <c r="P30" s="118">
        <f>Inputs!C100*R14</f>
        <v>0</v>
      </c>
      <c r="Q30" s="118">
        <f>Inputs!C100*S14</f>
        <v>0</v>
      </c>
      <c r="R30" s="118">
        <f>Inputs!C100*T14</f>
        <v>0</v>
      </c>
      <c r="S30" s="118">
        <f>Inputs!C100*U14</f>
        <v>0</v>
      </c>
      <c r="T30" s="118">
        <f>Inputs!C100*V14</f>
        <v>0</v>
      </c>
      <c r="U30" s="118">
        <f>Inputs!C100*W14</f>
        <v>0</v>
      </c>
      <c r="V30" s="118">
        <f>Inputs!C100*X14</f>
        <v>0</v>
      </c>
      <c r="W30" s="118">
        <f>Inputs!C100*Y14</f>
        <v>0</v>
      </c>
      <c r="X30" s="118">
        <f>Inputs!C100*Z14</f>
        <v>0</v>
      </c>
      <c r="Y30" s="118">
        <f>Inputs!C100*AA14</f>
        <v>0</v>
      </c>
      <c r="Z30" s="118">
        <f>Inputs!C100*AB14</f>
        <v>0</v>
      </c>
      <c r="AA30" s="118">
        <f>Inputs!C100*AC14</f>
        <v>0</v>
      </c>
      <c r="AB30" s="118">
        <f>Inputs!C100*AD14</f>
        <v>0</v>
      </c>
      <c r="AC30" s="118">
        <f>Inputs!C100*AE14</f>
        <v>0</v>
      </c>
      <c r="AD30" s="118">
        <f>Inputs!C100*AF14</f>
        <v>0</v>
      </c>
      <c r="AE30" s="118">
        <f>Inputs!C100*AG14</f>
        <v>0</v>
      </c>
      <c r="AF30" s="118">
        <f>Inputs!C100*AH14</f>
        <v>0</v>
      </c>
      <c r="AG30" s="118">
        <f>Inputs!C100*AI14</f>
        <v>0</v>
      </c>
      <c r="AH30" s="118">
        <f>Inputs!C100*AJ14</f>
        <v>0</v>
      </c>
      <c r="AI30" s="118">
        <f>Inputs!C100*AK14</f>
        <v>0</v>
      </c>
      <c r="AJ30" s="118">
        <f>Inputs!C100*AL14</f>
        <v>0</v>
      </c>
      <c r="AK30" s="118">
        <f>Inputs!C100*AM14</f>
        <v>0</v>
      </c>
      <c r="AL30" s="118">
        <f>0</f>
        <v>0</v>
      </c>
      <c r="AM30" s="119">
        <f>0</f>
        <v>0</v>
      </c>
    </row>
    <row r="31" spans="1:39">
      <c r="A31" s="34" t="s">
        <v>482</v>
      </c>
      <c r="B31" s="35" t="s">
        <v>221</v>
      </c>
      <c r="C31" s="36" t="s">
        <v>483</v>
      </c>
      <c r="D31" s="117">
        <f>Inputs!C101*D14</f>
        <v>0</v>
      </c>
      <c r="E31" s="118">
        <f>Inputs!C101*E14</f>
        <v>0</v>
      </c>
      <c r="F31" s="118">
        <f>Inputs!C101*F14</f>
        <v>21834.800000000003</v>
      </c>
      <c r="G31" s="118">
        <f>Inputs!C101*G14</f>
        <v>21834.800000000003</v>
      </c>
      <c r="H31" s="118">
        <f>Inputs!C101*H14</f>
        <v>21834.800000000003</v>
      </c>
      <c r="I31" s="118">
        <f>Inputs!C101*I14</f>
        <v>21834.800000000003</v>
      </c>
      <c r="J31" s="118">
        <f>Inputs!C101*J14</f>
        <v>0</v>
      </c>
      <c r="K31" s="118">
        <f>Inputs!C101*K14</f>
        <v>0</v>
      </c>
      <c r="L31" s="118">
        <f>Inputs!C101*L14</f>
        <v>0</v>
      </c>
      <c r="M31" s="118">
        <f>Inputs!C101*M14</f>
        <v>0</v>
      </c>
      <c r="N31" s="118">
        <f>Inputs!C101*N14</f>
        <v>0</v>
      </c>
      <c r="O31" s="118">
        <f>Inputs!C101*O14</f>
        <v>0</v>
      </c>
      <c r="P31" s="118">
        <f>Inputs!C101*P14</f>
        <v>0</v>
      </c>
      <c r="Q31" s="118">
        <f>Inputs!C101*Q14</f>
        <v>0</v>
      </c>
      <c r="R31" s="118">
        <f>Inputs!C101*R14</f>
        <v>0</v>
      </c>
      <c r="S31" s="118">
        <f>Inputs!C101*S14</f>
        <v>0</v>
      </c>
      <c r="T31" s="118">
        <f>Inputs!C101*T14</f>
        <v>0</v>
      </c>
      <c r="U31" s="118">
        <f>Inputs!C101*U14</f>
        <v>0</v>
      </c>
      <c r="V31" s="118">
        <f>Inputs!C101*V14</f>
        <v>0</v>
      </c>
      <c r="W31" s="118">
        <f>Inputs!C101*W14</f>
        <v>0</v>
      </c>
      <c r="X31" s="118">
        <f>Inputs!C101*X14</f>
        <v>0</v>
      </c>
      <c r="Y31" s="118">
        <f>Inputs!C101*Y14</f>
        <v>0</v>
      </c>
      <c r="Z31" s="118">
        <f>Inputs!C101*Z14</f>
        <v>0</v>
      </c>
      <c r="AA31" s="118">
        <f>Inputs!C101*AA14</f>
        <v>0</v>
      </c>
      <c r="AB31" s="118">
        <f>Inputs!C101*AB14</f>
        <v>0</v>
      </c>
      <c r="AC31" s="118">
        <f>Inputs!C101*AC14</f>
        <v>0</v>
      </c>
      <c r="AD31" s="118">
        <f>Inputs!C101*AD14</f>
        <v>0</v>
      </c>
      <c r="AE31" s="118">
        <f>Inputs!C101*AE14</f>
        <v>0</v>
      </c>
      <c r="AF31" s="118">
        <f>Inputs!C101*AF14</f>
        <v>0</v>
      </c>
      <c r="AG31" s="118">
        <f>Inputs!C101*AG14</f>
        <v>0</v>
      </c>
      <c r="AH31" s="118">
        <f>Inputs!C101*AH14</f>
        <v>0</v>
      </c>
      <c r="AI31" s="118">
        <f>Inputs!C101*AI14</f>
        <v>0</v>
      </c>
      <c r="AJ31" s="118">
        <f>Inputs!C101*AJ14</f>
        <v>0</v>
      </c>
      <c r="AK31" s="118">
        <f>Inputs!C101*AK14</f>
        <v>0</v>
      </c>
      <c r="AL31" s="118">
        <f>Inputs!C101*AL14</f>
        <v>0</v>
      </c>
      <c r="AM31" s="119">
        <f>Inputs!C101*AM14</f>
        <v>0</v>
      </c>
    </row>
    <row r="32" spans="1:39">
      <c r="A32" s="26" t="s">
        <v>484</v>
      </c>
      <c r="B32" t="s">
        <v>221</v>
      </c>
      <c r="C32" s="27" t="s">
        <v>481</v>
      </c>
      <c r="D32" s="111">
        <f>Inputs!C103*F15</f>
        <v>3570</v>
      </c>
      <c r="E32" s="112">
        <f>Inputs!C103*G15</f>
        <v>2380</v>
      </c>
      <c r="F32" s="112">
        <f>Inputs!C103*H15</f>
        <v>2380</v>
      </c>
      <c r="G32" s="112">
        <f>Inputs!C103*I15</f>
        <v>3570</v>
      </c>
      <c r="H32" s="112">
        <f>Inputs!C103*J15</f>
        <v>0</v>
      </c>
      <c r="I32" s="112">
        <f>Inputs!C103*K15</f>
        <v>0</v>
      </c>
      <c r="J32" s="112">
        <f>Inputs!C103*L15</f>
        <v>0</v>
      </c>
      <c r="K32" s="112">
        <f>Inputs!C103*M15</f>
        <v>0</v>
      </c>
      <c r="L32" s="112">
        <f>Inputs!C103*N15</f>
        <v>0</v>
      </c>
      <c r="M32" s="112">
        <f>Inputs!C103*O15</f>
        <v>0</v>
      </c>
      <c r="N32" s="112">
        <f>Inputs!C103*P15</f>
        <v>0</v>
      </c>
      <c r="O32" s="112">
        <f>Inputs!C103*Q15</f>
        <v>0</v>
      </c>
      <c r="P32" s="112">
        <f>Inputs!C103*R15</f>
        <v>0</v>
      </c>
      <c r="Q32" s="112">
        <f>Inputs!C103*S15</f>
        <v>0</v>
      </c>
      <c r="R32" s="112">
        <f>Inputs!C103*T15</f>
        <v>0</v>
      </c>
      <c r="S32" s="112">
        <f>Inputs!C103*U15</f>
        <v>0</v>
      </c>
      <c r="T32" s="112">
        <f>Inputs!C103*V15</f>
        <v>0</v>
      </c>
      <c r="U32" s="112">
        <f>Inputs!C103*W15</f>
        <v>0</v>
      </c>
      <c r="V32" s="112">
        <f>Inputs!C103*X15</f>
        <v>0</v>
      </c>
      <c r="W32" s="112">
        <f>Inputs!C103*Y15</f>
        <v>0</v>
      </c>
      <c r="X32" s="112">
        <f>Inputs!C103*Z15</f>
        <v>0</v>
      </c>
      <c r="Y32" s="112">
        <f>Inputs!C103*AA15</f>
        <v>0</v>
      </c>
      <c r="Z32" s="112">
        <f>Inputs!C103*AB15</f>
        <v>0</v>
      </c>
      <c r="AA32" s="112">
        <f>Inputs!C103*AC15</f>
        <v>0</v>
      </c>
      <c r="AB32" s="112">
        <f>Inputs!C103*AD15</f>
        <v>0</v>
      </c>
      <c r="AC32" s="112">
        <f>Inputs!C103*AE15</f>
        <v>0</v>
      </c>
      <c r="AD32" s="112">
        <f>Inputs!C103*AF15</f>
        <v>0</v>
      </c>
      <c r="AE32" s="112">
        <f>Inputs!C103*AG15</f>
        <v>0</v>
      </c>
      <c r="AF32" s="112">
        <f>Inputs!C103*AH15</f>
        <v>0</v>
      </c>
      <c r="AG32" s="112">
        <f>Inputs!C103*AI15</f>
        <v>0</v>
      </c>
      <c r="AH32" s="112">
        <f>Inputs!C103*AJ15</f>
        <v>0</v>
      </c>
      <c r="AI32" s="112">
        <f>Inputs!C103*AK15</f>
        <v>0</v>
      </c>
      <c r="AJ32" s="112">
        <f>Inputs!C103*AL15</f>
        <v>0</v>
      </c>
      <c r="AK32" s="112">
        <f>Inputs!C103*AM15</f>
        <v>0</v>
      </c>
      <c r="AL32" s="112">
        <f>0</f>
        <v>0</v>
      </c>
      <c r="AM32" s="113">
        <f>0</f>
        <v>0</v>
      </c>
    </row>
    <row r="33" spans="1:39">
      <c r="A33" s="26" t="s">
        <v>485</v>
      </c>
      <c r="B33" t="s">
        <v>221</v>
      </c>
      <c r="C33" s="27" t="s">
        <v>486</v>
      </c>
      <c r="D33" s="111">
        <f>Inputs!C104*E15</f>
        <v>0</v>
      </c>
      <c r="E33" s="112">
        <f>Inputs!C104*F15</f>
        <v>5355</v>
      </c>
      <c r="F33" s="112">
        <f>Inputs!C104*G15</f>
        <v>3570</v>
      </c>
      <c r="G33" s="112">
        <f>Inputs!C104*H15</f>
        <v>3570</v>
      </c>
      <c r="H33" s="112">
        <f>Inputs!C104*I15</f>
        <v>5355</v>
      </c>
      <c r="I33" s="112">
        <f>Inputs!C104*J15</f>
        <v>0</v>
      </c>
      <c r="J33" s="112">
        <f>Inputs!C104*K15</f>
        <v>0</v>
      </c>
      <c r="K33" s="112">
        <f>Inputs!C104*L15</f>
        <v>0</v>
      </c>
      <c r="L33" s="112">
        <f>Inputs!C104*M15</f>
        <v>0</v>
      </c>
      <c r="M33" s="112">
        <f>Inputs!C104*N15</f>
        <v>0</v>
      </c>
      <c r="N33" s="112">
        <f>Inputs!C104*O15</f>
        <v>0</v>
      </c>
      <c r="O33" s="112">
        <f>Inputs!C104*P15</f>
        <v>0</v>
      </c>
      <c r="P33" s="112">
        <f>Inputs!C104*Q15</f>
        <v>0</v>
      </c>
      <c r="Q33" s="112">
        <f>Inputs!C104*R15</f>
        <v>0</v>
      </c>
      <c r="R33" s="112">
        <f>Inputs!C104*S15</f>
        <v>0</v>
      </c>
      <c r="S33" s="112">
        <f>Inputs!C104*T15</f>
        <v>0</v>
      </c>
      <c r="T33" s="112">
        <f>Inputs!C104*U15</f>
        <v>0</v>
      </c>
      <c r="U33" s="112">
        <f>Inputs!C104*V15</f>
        <v>0</v>
      </c>
      <c r="V33" s="112">
        <f>Inputs!C104*W15</f>
        <v>0</v>
      </c>
      <c r="W33" s="112">
        <f>Inputs!C104*X15</f>
        <v>0</v>
      </c>
      <c r="X33" s="112">
        <f>Inputs!C104*Y15</f>
        <v>0</v>
      </c>
      <c r="Y33" s="112">
        <f>Inputs!C104*Z15</f>
        <v>0</v>
      </c>
      <c r="Z33" s="112">
        <f>Inputs!C104*AA15</f>
        <v>0</v>
      </c>
      <c r="AA33" s="112">
        <f>Inputs!C104*AB15</f>
        <v>0</v>
      </c>
      <c r="AB33" s="112">
        <f>Inputs!C104*AC15</f>
        <v>0</v>
      </c>
      <c r="AC33" s="112">
        <f>Inputs!C104*AD15</f>
        <v>0</v>
      </c>
      <c r="AD33" s="112">
        <f>Inputs!C104*AE15</f>
        <v>0</v>
      </c>
      <c r="AE33" s="112">
        <f>Inputs!C104*AF15</f>
        <v>0</v>
      </c>
      <c r="AF33" s="112">
        <f>Inputs!C104*AG15</f>
        <v>0</v>
      </c>
      <c r="AG33" s="112">
        <f>Inputs!C104*AH15</f>
        <v>0</v>
      </c>
      <c r="AH33" s="112">
        <f>Inputs!C104*AI15</f>
        <v>0</v>
      </c>
      <c r="AI33" s="112">
        <f>Inputs!C104*AJ15</f>
        <v>0</v>
      </c>
      <c r="AJ33" s="112">
        <f>Inputs!C104*AK15</f>
        <v>0</v>
      </c>
      <c r="AK33" s="112">
        <f>Inputs!C104*AL15</f>
        <v>0</v>
      </c>
      <c r="AL33" s="112">
        <f>Inputs!C104*AM15</f>
        <v>0</v>
      </c>
      <c r="AM33" s="113">
        <f>0</f>
        <v>0</v>
      </c>
    </row>
    <row r="34" spans="1:39">
      <c r="A34" s="34" t="s">
        <v>487</v>
      </c>
      <c r="B34" s="35" t="s">
        <v>221</v>
      </c>
      <c r="C34" s="36" t="s">
        <v>488</v>
      </c>
      <c r="D34" s="117">
        <f>Inputs!C105*D15</f>
        <v>0</v>
      </c>
      <c r="E34" s="118">
        <f>Inputs!C105*E15</f>
        <v>0</v>
      </c>
      <c r="F34" s="118">
        <f>Inputs!C105*F15</f>
        <v>8925</v>
      </c>
      <c r="G34" s="118">
        <f>Inputs!C105*G15</f>
        <v>5950</v>
      </c>
      <c r="H34" s="118">
        <f>Inputs!C105*H15</f>
        <v>5950</v>
      </c>
      <c r="I34" s="118">
        <f>Inputs!C105*I15</f>
        <v>8925</v>
      </c>
      <c r="J34" s="118">
        <f>Inputs!C105*J15</f>
        <v>0</v>
      </c>
      <c r="K34" s="118">
        <f>Inputs!C105*K15</f>
        <v>0</v>
      </c>
      <c r="L34" s="118">
        <f>Inputs!C105*L15</f>
        <v>0</v>
      </c>
      <c r="M34" s="118">
        <f>Inputs!C105*M15</f>
        <v>0</v>
      </c>
      <c r="N34" s="118">
        <f>Inputs!C105*N15</f>
        <v>0</v>
      </c>
      <c r="O34" s="118">
        <f>Inputs!C105*O15</f>
        <v>0</v>
      </c>
      <c r="P34" s="118">
        <f>Inputs!C105*P15</f>
        <v>0</v>
      </c>
      <c r="Q34" s="118">
        <f>Inputs!C105*Q15</f>
        <v>0</v>
      </c>
      <c r="R34" s="118">
        <f>Inputs!C105*R15</f>
        <v>0</v>
      </c>
      <c r="S34" s="118">
        <f>Inputs!C105*S15</f>
        <v>0</v>
      </c>
      <c r="T34" s="118">
        <f>Inputs!C105*T15</f>
        <v>0</v>
      </c>
      <c r="U34" s="118">
        <f>Inputs!C105*U15</f>
        <v>0</v>
      </c>
      <c r="V34" s="118">
        <f>Inputs!C105*V15</f>
        <v>0</v>
      </c>
      <c r="W34" s="118">
        <f>Inputs!C105*W15</f>
        <v>0</v>
      </c>
      <c r="X34" s="118">
        <f>Inputs!C105*X15</f>
        <v>0</v>
      </c>
      <c r="Y34" s="118">
        <f>Inputs!C105*Y15</f>
        <v>0</v>
      </c>
      <c r="Z34" s="118">
        <f>Inputs!C105*Z15</f>
        <v>0</v>
      </c>
      <c r="AA34" s="118">
        <f>Inputs!C105*AA15</f>
        <v>0</v>
      </c>
      <c r="AB34" s="118">
        <f>Inputs!C105*AB15</f>
        <v>0</v>
      </c>
      <c r="AC34" s="118">
        <f>Inputs!C105*AC15</f>
        <v>0</v>
      </c>
      <c r="AD34" s="118">
        <f>Inputs!C105*AD15</f>
        <v>0</v>
      </c>
      <c r="AE34" s="118">
        <f>Inputs!C105*AE15</f>
        <v>0</v>
      </c>
      <c r="AF34" s="118">
        <f>Inputs!C105*AF15</f>
        <v>0</v>
      </c>
      <c r="AG34" s="118">
        <f>Inputs!C105*AG15</f>
        <v>0</v>
      </c>
      <c r="AH34" s="118">
        <f>Inputs!C105*AH15</f>
        <v>0</v>
      </c>
      <c r="AI34" s="118">
        <f>Inputs!C105*AI15</f>
        <v>0</v>
      </c>
      <c r="AJ34" s="118">
        <f>Inputs!C105*AJ15</f>
        <v>0</v>
      </c>
      <c r="AK34" s="118">
        <f>Inputs!C105*AK15</f>
        <v>0</v>
      </c>
      <c r="AL34" s="118">
        <f>Inputs!C105*AL15</f>
        <v>0</v>
      </c>
      <c r="AM34" s="119">
        <f>Inputs!C105*AM15</f>
        <v>0</v>
      </c>
    </row>
    <row r="35" spans="1:39">
      <c r="A35" s="26" t="s">
        <v>489</v>
      </c>
      <c r="B35" t="s">
        <v>221</v>
      </c>
      <c r="C35" s="27" t="s">
        <v>481</v>
      </c>
      <c r="D35" s="111">
        <f>Inputs!C107*F16</f>
        <v>6661.136565105</v>
      </c>
      <c r="E35" s="112">
        <f>Inputs!C107*G16</f>
        <v>2854.7728136549999</v>
      </c>
      <c r="F35" s="112">
        <f>Inputs!C107*H16</f>
        <v>2854.7728136549999</v>
      </c>
      <c r="G35" s="112">
        <f>Inputs!C107*I16</f>
        <v>6661.136565105</v>
      </c>
      <c r="H35" s="112">
        <f>Inputs!C107*J16</f>
        <v>0</v>
      </c>
      <c r="I35" s="112">
        <f>Inputs!C107*K16</f>
        <v>0</v>
      </c>
      <c r="J35" s="112">
        <f>Inputs!C107*L16</f>
        <v>0</v>
      </c>
      <c r="K35" s="112">
        <f>Inputs!C107*M16</f>
        <v>0</v>
      </c>
      <c r="L35" s="112">
        <f>Inputs!C107*N16</f>
        <v>0</v>
      </c>
      <c r="M35" s="112">
        <f>Inputs!C107*O16</f>
        <v>0</v>
      </c>
      <c r="N35" s="112">
        <f>Inputs!C107*P16</f>
        <v>0</v>
      </c>
      <c r="O35" s="112">
        <f>Inputs!C107*Q16</f>
        <v>0</v>
      </c>
      <c r="P35" s="112">
        <f>Inputs!C107*R16</f>
        <v>0</v>
      </c>
      <c r="Q35" s="112">
        <f>Inputs!C107*S16</f>
        <v>0</v>
      </c>
      <c r="R35" s="112">
        <f>Inputs!C107*T16</f>
        <v>0</v>
      </c>
      <c r="S35" s="112">
        <f>Inputs!C107*U16</f>
        <v>0</v>
      </c>
      <c r="T35" s="112">
        <f>Inputs!C107*V16</f>
        <v>0</v>
      </c>
      <c r="U35" s="112">
        <f>Inputs!C107*W16</f>
        <v>0</v>
      </c>
      <c r="V35" s="112">
        <f>Inputs!C107*X16</f>
        <v>0</v>
      </c>
      <c r="W35" s="112">
        <f>Inputs!C107*Y16</f>
        <v>0</v>
      </c>
      <c r="X35" s="112">
        <f>Inputs!C107*Z16</f>
        <v>0</v>
      </c>
      <c r="Y35" s="112">
        <f>Inputs!C107*AA16</f>
        <v>0</v>
      </c>
      <c r="Z35" s="112">
        <f>Inputs!C107*AB16</f>
        <v>0</v>
      </c>
      <c r="AA35" s="112">
        <f>Inputs!C107*AC16</f>
        <v>0</v>
      </c>
      <c r="AB35" s="112">
        <f>Inputs!C107*AD16</f>
        <v>0</v>
      </c>
      <c r="AC35" s="112">
        <f>Inputs!C107*AE16</f>
        <v>0</v>
      </c>
      <c r="AD35" s="112">
        <f>Inputs!C107*AF16</f>
        <v>0</v>
      </c>
      <c r="AE35" s="112">
        <f>Inputs!C107*AG16</f>
        <v>0</v>
      </c>
      <c r="AF35" s="112">
        <f>Inputs!C107*AH16</f>
        <v>0</v>
      </c>
      <c r="AG35" s="112">
        <f>Inputs!C107*AI16</f>
        <v>0</v>
      </c>
      <c r="AH35" s="112">
        <f>Inputs!C107*AJ16</f>
        <v>0</v>
      </c>
      <c r="AI35" s="112">
        <f>Inputs!C107*AK16</f>
        <v>0</v>
      </c>
      <c r="AJ35" s="112">
        <f>Inputs!C107*AL16</f>
        <v>0</v>
      </c>
      <c r="AK35" s="112">
        <f>Inputs!C107*AM16</f>
        <v>0</v>
      </c>
      <c r="AL35" s="112">
        <f>0</f>
        <v>0</v>
      </c>
      <c r="AM35" s="113">
        <f>0</f>
        <v>0</v>
      </c>
    </row>
    <row r="36" spans="1:39">
      <c r="A36" s="26" t="s">
        <v>490</v>
      </c>
      <c r="B36" t="s">
        <v>221</v>
      </c>
      <c r="C36" s="27" t="s">
        <v>486</v>
      </c>
      <c r="D36" s="111">
        <f>Inputs!C108*E16</f>
        <v>0</v>
      </c>
      <c r="E36" s="112">
        <f>Inputs!C108*F16</f>
        <v>15542.651985244998</v>
      </c>
      <c r="F36" s="112">
        <f>Inputs!C108*G16</f>
        <v>6661.1365651949991</v>
      </c>
      <c r="G36" s="112">
        <f>Inputs!C108*H16</f>
        <v>6661.1365651949991</v>
      </c>
      <c r="H36" s="112">
        <f>Inputs!C108*I16</f>
        <v>15542.651985244998</v>
      </c>
      <c r="I36" s="112">
        <f>Inputs!C108*J16</f>
        <v>0</v>
      </c>
      <c r="J36" s="112">
        <f>Inputs!C108*K16</f>
        <v>0</v>
      </c>
      <c r="K36" s="112">
        <f>Inputs!C108*L16</f>
        <v>0</v>
      </c>
      <c r="L36" s="112">
        <f>Inputs!C108*M16</f>
        <v>0</v>
      </c>
      <c r="M36" s="112">
        <f>Inputs!C108*N16</f>
        <v>0</v>
      </c>
      <c r="N36" s="112">
        <f>Inputs!C108*O16</f>
        <v>0</v>
      </c>
      <c r="O36" s="112">
        <f>Inputs!C108*P16</f>
        <v>0</v>
      </c>
      <c r="P36" s="112">
        <f>Inputs!C108*Q16</f>
        <v>0</v>
      </c>
      <c r="Q36" s="112">
        <f>Inputs!C108*R16</f>
        <v>0</v>
      </c>
      <c r="R36" s="112">
        <f>Inputs!C108*S16</f>
        <v>0</v>
      </c>
      <c r="S36" s="112">
        <f>Inputs!C108*T16</f>
        <v>0</v>
      </c>
      <c r="T36" s="112">
        <f>Inputs!C108*U16</f>
        <v>0</v>
      </c>
      <c r="U36" s="112">
        <f>Inputs!C108*V16</f>
        <v>0</v>
      </c>
      <c r="V36" s="112">
        <f>Inputs!C108*W16</f>
        <v>0</v>
      </c>
      <c r="W36" s="112">
        <f>Inputs!C108*X16</f>
        <v>0</v>
      </c>
      <c r="X36" s="112">
        <f>Inputs!C108*Y16</f>
        <v>0</v>
      </c>
      <c r="Y36" s="112">
        <f>Inputs!C108*Z16</f>
        <v>0</v>
      </c>
      <c r="Z36" s="112">
        <f>Inputs!C108*AA16</f>
        <v>0</v>
      </c>
      <c r="AA36" s="112">
        <f>Inputs!C108*AB16</f>
        <v>0</v>
      </c>
      <c r="AB36" s="112">
        <f>Inputs!C108*AC16</f>
        <v>0</v>
      </c>
      <c r="AC36" s="112">
        <f>Inputs!C108*AD16</f>
        <v>0</v>
      </c>
      <c r="AD36" s="112">
        <f>Inputs!C108*AE16</f>
        <v>0</v>
      </c>
      <c r="AE36" s="112">
        <f>Inputs!C108*AF16</f>
        <v>0</v>
      </c>
      <c r="AF36" s="112">
        <f>Inputs!C108*AG16</f>
        <v>0</v>
      </c>
      <c r="AG36" s="112">
        <f>Inputs!C108*AH16</f>
        <v>0</v>
      </c>
      <c r="AH36" s="112">
        <f>Inputs!C108*AI16</f>
        <v>0</v>
      </c>
      <c r="AI36" s="112">
        <f>Inputs!C108*AJ16</f>
        <v>0</v>
      </c>
      <c r="AJ36" s="112">
        <f>Inputs!C108*AK16</f>
        <v>0</v>
      </c>
      <c r="AK36" s="112">
        <f>Inputs!C108*AL16</f>
        <v>0</v>
      </c>
      <c r="AL36" s="112">
        <f>Inputs!C108*AM16</f>
        <v>0</v>
      </c>
      <c r="AM36" s="113">
        <f>0</f>
        <v>0</v>
      </c>
    </row>
    <row r="37" spans="1:39">
      <c r="A37" s="26" t="s">
        <v>491</v>
      </c>
      <c r="B37" t="s">
        <v>221</v>
      </c>
      <c r="C37" s="27" t="s">
        <v>488</v>
      </c>
      <c r="D37" s="111">
        <f>Inputs!C109*D16</f>
        <v>0</v>
      </c>
      <c r="E37" s="112">
        <f>Inputs!C109*E16</f>
        <v>0</v>
      </c>
      <c r="F37" s="112">
        <f>Inputs!C109*F16</f>
        <v>17763.03084028</v>
      </c>
      <c r="G37" s="112">
        <f>Inputs!C109*G16</f>
        <v>7612.7275030800001</v>
      </c>
      <c r="H37" s="112">
        <f>Inputs!C109*H16</f>
        <v>7612.7275030800001</v>
      </c>
      <c r="I37" s="112">
        <f>Inputs!C109*I16</f>
        <v>17763.03084028</v>
      </c>
      <c r="J37" s="112">
        <f>Inputs!C109*J16</f>
        <v>0</v>
      </c>
      <c r="K37" s="112">
        <f>Inputs!C109*K16</f>
        <v>0</v>
      </c>
      <c r="L37" s="112">
        <f>Inputs!C109*L16</f>
        <v>0</v>
      </c>
      <c r="M37" s="112">
        <f>Inputs!C109*M16</f>
        <v>0</v>
      </c>
      <c r="N37" s="112">
        <f>Inputs!C109*N16</f>
        <v>0</v>
      </c>
      <c r="O37" s="112">
        <f>Inputs!C109*O16</f>
        <v>0</v>
      </c>
      <c r="P37" s="112">
        <f>Inputs!C109*P16</f>
        <v>0</v>
      </c>
      <c r="Q37" s="112">
        <f>Inputs!C109*Q16</f>
        <v>0</v>
      </c>
      <c r="R37" s="112">
        <f>Inputs!C109*R16</f>
        <v>0</v>
      </c>
      <c r="S37" s="112">
        <f>Inputs!C109*S16</f>
        <v>0</v>
      </c>
      <c r="T37" s="112">
        <f>Inputs!C109*T16</f>
        <v>0</v>
      </c>
      <c r="U37" s="112">
        <f>Inputs!C109*U16</f>
        <v>0</v>
      </c>
      <c r="V37" s="112">
        <f>Inputs!C109*V16</f>
        <v>0</v>
      </c>
      <c r="W37" s="112">
        <f>Inputs!C109*W16</f>
        <v>0</v>
      </c>
      <c r="X37" s="112">
        <f>Inputs!C109*X16</f>
        <v>0</v>
      </c>
      <c r="Y37" s="112">
        <f>Inputs!C109*Y16</f>
        <v>0</v>
      </c>
      <c r="Z37" s="112">
        <f>Inputs!C109*Z16</f>
        <v>0</v>
      </c>
      <c r="AA37" s="112">
        <f>Inputs!C109*AA16</f>
        <v>0</v>
      </c>
      <c r="AB37" s="112">
        <f>Inputs!C109*AB16</f>
        <v>0</v>
      </c>
      <c r="AC37" s="112">
        <f>Inputs!C109*AC16</f>
        <v>0</v>
      </c>
      <c r="AD37" s="112">
        <f>Inputs!C109*AD16</f>
        <v>0</v>
      </c>
      <c r="AE37" s="112">
        <f>Inputs!C109*AE16</f>
        <v>0</v>
      </c>
      <c r="AF37" s="112">
        <f>Inputs!C109*AF16</f>
        <v>0</v>
      </c>
      <c r="AG37" s="112">
        <f>Inputs!C109*AG16</f>
        <v>0</v>
      </c>
      <c r="AH37" s="112">
        <f>Inputs!C109*AH16</f>
        <v>0</v>
      </c>
      <c r="AI37" s="112">
        <f>Inputs!C109*AI16</f>
        <v>0</v>
      </c>
      <c r="AJ37" s="112">
        <f>Inputs!C109*AJ16</f>
        <v>0</v>
      </c>
      <c r="AK37" s="112">
        <f>Inputs!C109*AK16</f>
        <v>0</v>
      </c>
      <c r="AL37" s="112">
        <f>Inputs!C109*AL16</f>
        <v>0</v>
      </c>
      <c r="AM37" s="113">
        <f>Inputs!C109*AM16</f>
        <v>0</v>
      </c>
    </row>
    <row r="38" spans="1:39">
      <c r="A38" s="34" t="s">
        <v>492</v>
      </c>
      <c r="B38" s="35" t="s">
        <v>221</v>
      </c>
      <c r="C38" s="36" t="s">
        <v>493</v>
      </c>
      <c r="D38" s="117">
        <f>0</f>
        <v>0</v>
      </c>
      <c r="E38" s="118">
        <f>Inputs!C110*D16</f>
        <v>0</v>
      </c>
      <c r="F38" s="118">
        <f>Inputs!C110*E16</f>
        <v>0</v>
      </c>
      <c r="G38" s="118">
        <f>Inputs!C110*F16</f>
        <v>4440.75771007</v>
      </c>
      <c r="H38" s="118">
        <f>Inputs!C110*G16</f>
        <v>1903.18187577</v>
      </c>
      <c r="I38" s="118">
        <f>Inputs!C110*H16</f>
        <v>1903.18187577</v>
      </c>
      <c r="J38" s="118">
        <f>Inputs!C110*I16</f>
        <v>4440.75771007</v>
      </c>
      <c r="K38" s="118">
        <f>Inputs!C110*J16</f>
        <v>0</v>
      </c>
      <c r="L38" s="118">
        <f>Inputs!C110*K16</f>
        <v>0</v>
      </c>
      <c r="M38" s="118">
        <f>Inputs!C110*L16</f>
        <v>0</v>
      </c>
      <c r="N38" s="118">
        <f>Inputs!C110*M16</f>
        <v>0</v>
      </c>
      <c r="O38" s="118">
        <f>Inputs!C110*N16</f>
        <v>0</v>
      </c>
      <c r="P38" s="118">
        <f>Inputs!C110*O16</f>
        <v>0</v>
      </c>
      <c r="Q38" s="118">
        <f>Inputs!C110*P16</f>
        <v>0</v>
      </c>
      <c r="R38" s="118">
        <f>Inputs!C110*Q16</f>
        <v>0</v>
      </c>
      <c r="S38" s="118">
        <f>Inputs!C110*R16</f>
        <v>0</v>
      </c>
      <c r="T38" s="118">
        <f>Inputs!C110*S16</f>
        <v>0</v>
      </c>
      <c r="U38" s="118">
        <f>Inputs!C110*T16</f>
        <v>0</v>
      </c>
      <c r="V38" s="118">
        <f>Inputs!C110*U16</f>
        <v>0</v>
      </c>
      <c r="W38" s="118">
        <f>Inputs!C110*V16</f>
        <v>0</v>
      </c>
      <c r="X38" s="118">
        <f>Inputs!C110*W16</f>
        <v>0</v>
      </c>
      <c r="Y38" s="118">
        <f>Inputs!C110*X16</f>
        <v>0</v>
      </c>
      <c r="Z38" s="118">
        <f>Inputs!C110*Y16</f>
        <v>0</v>
      </c>
      <c r="AA38" s="118">
        <f>Inputs!C110*Z16</f>
        <v>0</v>
      </c>
      <c r="AB38" s="118">
        <f>Inputs!C110*AA16</f>
        <v>0</v>
      </c>
      <c r="AC38" s="118">
        <f>Inputs!C110*AB16</f>
        <v>0</v>
      </c>
      <c r="AD38" s="118">
        <f>Inputs!C110*AC16</f>
        <v>0</v>
      </c>
      <c r="AE38" s="118">
        <f>Inputs!C110*AD16</f>
        <v>0</v>
      </c>
      <c r="AF38" s="118">
        <f>Inputs!C110*AE16</f>
        <v>0</v>
      </c>
      <c r="AG38" s="118">
        <f>Inputs!C110*AF16</f>
        <v>0</v>
      </c>
      <c r="AH38" s="118">
        <f>Inputs!C110*AG16</f>
        <v>0</v>
      </c>
      <c r="AI38" s="118">
        <f>Inputs!C110*AH16</f>
        <v>0</v>
      </c>
      <c r="AJ38" s="118">
        <f>Inputs!C110*AI16</f>
        <v>0</v>
      </c>
      <c r="AK38" s="118">
        <f>Inputs!C110*AJ16</f>
        <v>0</v>
      </c>
      <c r="AL38" s="118">
        <f>Inputs!C110*AK16</f>
        <v>0</v>
      </c>
      <c r="AM38" s="119">
        <f>Inputs!C110*AL16</f>
        <v>0</v>
      </c>
    </row>
    <row r="39" spans="1:39">
      <c r="A39" s="26" t="s">
        <v>494</v>
      </c>
      <c r="B39" t="s">
        <v>221</v>
      </c>
      <c r="C39" s="27" t="s">
        <v>495</v>
      </c>
      <c r="D39" s="111">
        <f t="shared" ref="D39:AK39" si="0">0.2*F17</f>
        <v>0</v>
      </c>
      <c r="E39" s="112">
        <f t="shared" si="0"/>
        <v>0</v>
      </c>
      <c r="F39" s="112">
        <f t="shared" si="0"/>
        <v>14000</v>
      </c>
      <c r="G39" s="112">
        <f t="shared" si="0"/>
        <v>0</v>
      </c>
      <c r="H39" s="112">
        <f t="shared" si="0"/>
        <v>0</v>
      </c>
      <c r="I39" s="112">
        <f t="shared" si="0"/>
        <v>0</v>
      </c>
      <c r="J39" s="112">
        <f t="shared" si="0"/>
        <v>0</v>
      </c>
      <c r="K39" s="112">
        <f t="shared" si="0"/>
        <v>0</v>
      </c>
      <c r="L39" s="112">
        <f t="shared" si="0"/>
        <v>0</v>
      </c>
      <c r="M39" s="112">
        <f t="shared" si="0"/>
        <v>0</v>
      </c>
      <c r="N39" s="112">
        <f t="shared" si="0"/>
        <v>0</v>
      </c>
      <c r="O39" s="112">
        <f t="shared" si="0"/>
        <v>0</v>
      </c>
      <c r="P39" s="112">
        <f t="shared" si="0"/>
        <v>0</v>
      </c>
      <c r="Q39" s="112">
        <f t="shared" si="0"/>
        <v>0</v>
      </c>
      <c r="R39" s="112">
        <f t="shared" si="0"/>
        <v>0</v>
      </c>
      <c r="S39" s="112">
        <f t="shared" si="0"/>
        <v>0</v>
      </c>
      <c r="T39" s="112">
        <f t="shared" si="0"/>
        <v>0</v>
      </c>
      <c r="U39" s="112">
        <f t="shared" si="0"/>
        <v>0</v>
      </c>
      <c r="V39" s="112">
        <f t="shared" si="0"/>
        <v>0</v>
      </c>
      <c r="W39" s="112">
        <f t="shared" si="0"/>
        <v>0</v>
      </c>
      <c r="X39" s="112">
        <f t="shared" si="0"/>
        <v>0</v>
      </c>
      <c r="Y39" s="112">
        <f t="shared" si="0"/>
        <v>0</v>
      </c>
      <c r="Z39" s="112">
        <f t="shared" si="0"/>
        <v>0</v>
      </c>
      <c r="AA39" s="112">
        <f t="shared" si="0"/>
        <v>0</v>
      </c>
      <c r="AB39" s="112">
        <f t="shared" si="0"/>
        <v>0</v>
      </c>
      <c r="AC39" s="112">
        <f t="shared" si="0"/>
        <v>0</v>
      </c>
      <c r="AD39" s="112">
        <f t="shared" si="0"/>
        <v>0</v>
      </c>
      <c r="AE39" s="112">
        <f t="shared" si="0"/>
        <v>0</v>
      </c>
      <c r="AF39" s="112">
        <f t="shared" si="0"/>
        <v>0</v>
      </c>
      <c r="AG39" s="112">
        <f t="shared" si="0"/>
        <v>0</v>
      </c>
      <c r="AH39" s="112">
        <f t="shared" si="0"/>
        <v>0</v>
      </c>
      <c r="AI39" s="112">
        <f t="shared" si="0"/>
        <v>0</v>
      </c>
      <c r="AJ39" s="112">
        <f t="shared" si="0"/>
        <v>0</v>
      </c>
      <c r="AK39" s="112">
        <f t="shared" si="0"/>
        <v>0</v>
      </c>
      <c r="AL39" s="112">
        <f>0</f>
        <v>0</v>
      </c>
      <c r="AM39" s="113">
        <f>0</f>
        <v>0</v>
      </c>
    </row>
    <row r="40" spans="1:39">
      <c r="A40" s="26" t="s">
        <v>496</v>
      </c>
      <c r="B40" t="s">
        <v>221</v>
      </c>
      <c r="C40" s="27" t="s">
        <v>495</v>
      </c>
      <c r="D40" s="111">
        <f t="shared" ref="D40:AL40" si="1">0.3*E17</f>
        <v>0</v>
      </c>
      <c r="E40" s="112">
        <f t="shared" si="1"/>
        <v>0</v>
      </c>
      <c r="F40" s="112">
        <f t="shared" si="1"/>
        <v>0</v>
      </c>
      <c r="G40" s="112">
        <f t="shared" si="1"/>
        <v>21000</v>
      </c>
      <c r="H40" s="112">
        <f t="shared" si="1"/>
        <v>0</v>
      </c>
      <c r="I40" s="112">
        <f t="shared" si="1"/>
        <v>0</v>
      </c>
      <c r="J40" s="112">
        <f t="shared" si="1"/>
        <v>0</v>
      </c>
      <c r="K40" s="112">
        <f t="shared" si="1"/>
        <v>0</v>
      </c>
      <c r="L40" s="112">
        <f t="shared" si="1"/>
        <v>0</v>
      </c>
      <c r="M40" s="112">
        <f t="shared" si="1"/>
        <v>0</v>
      </c>
      <c r="N40" s="112">
        <f t="shared" si="1"/>
        <v>0</v>
      </c>
      <c r="O40" s="112">
        <f t="shared" si="1"/>
        <v>0</v>
      </c>
      <c r="P40" s="112">
        <f t="shared" si="1"/>
        <v>0</v>
      </c>
      <c r="Q40" s="112">
        <f t="shared" si="1"/>
        <v>0</v>
      </c>
      <c r="R40" s="112">
        <f t="shared" si="1"/>
        <v>0</v>
      </c>
      <c r="S40" s="112">
        <f t="shared" si="1"/>
        <v>0</v>
      </c>
      <c r="T40" s="112">
        <f t="shared" si="1"/>
        <v>0</v>
      </c>
      <c r="U40" s="112">
        <f t="shared" si="1"/>
        <v>0</v>
      </c>
      <c r="V40" s="112">
        <f t="shared" si="1"/>
        <v>0</v>
      </c>
      <c r="W40" s="112">
        <f t="shared" si="1"/>
        <v>0</v>
      </c>
      <c r="X40" s="112">
        <f t="shared" si="1"/>
        <v>0</v>
      </c>
      <c r="Y40" s="112">
        <f t="shared" si="1"/>
        <v>0</v>
      </c>
      <c r="Z40" s="112">
        <f t="shared" si="1"/>
        <v>0</v>
      </c>
      <c r="AA40" s="112">
        <f t="shared" si="1"/>
        <v>0</v>
      </c>
      <c r="AB40" s="112">
        <f t="shared" si="1"/>
        <v>0</v>
      </c>
      <c r="AC40" s="112">
        <f t="shared" si="1"/>
        <v>0</v>
      </c>
      <c r="AD40" s="112">
        <f t="shared" si="1"/>
        <v>0</v>
      </c>
      <c r="AE40" s="112">
        <f t="shared" si="1"/>
        <v>0</v>
      </c>
      <c r="AF40" s="112">
        <f t="shared" si="1"/>
        <v>0</v>
      </c>
      <c r="AG40" s="112">
        <f t="shared" si="1"/>
        <v>0</v>
      </c>
      <c r="AH40" s="112">
        <f t="shared" si="1"/>
        <v>0</v>
      </c>
      <c r="AI40" s="112">
        <f t="shared" si="1"/>
        <v>0</v>
      </c>
      <c r="AJ40" s="112">
        <f t="shared" si="1"/>
        <v>0</v>
      </c>
      <c r="AK40" s="112">
        <f t="shared" si="1"/>
        <v>0</v>
      </c>
      <c r="AL40" s="112">
        <f t="shared" si="1"/>
        <v>0</v>
      </c>
      <c r="AM40" s="113">
        <f>0</f>
        <v>0</v>
      </c>
    </row>
    <row r="41" spans="1:39">
      <c r="A41" s="34" t="s">
        <v>497</v>
      </c>
      <c r="B41" s="35" t="s">
        <v>221</v>
      </c>
      <c r="C41" s="36" t="s">
        <v>495</v>
      </c>
      <c r="D41" s="117">
        <f t="shared" ref="D41:AM41" si="2">0.5*D17</f>
        <v>0</v>
      </c>
      <c r="E41" s="118">
        <f t="shared" si="2"/>
        <v>0</v>
      </c>
      <c r="F41" s="118">
        <f t="shared" si="2"/>
        <v>0</v>
      </c>
      <c r="G41" s="118">
        <f t="shared" si="2"/>
        <v>0</v>
      </c>
      <c r="H41" s="118">
        <f t="shared" si="2"/>
        <v>35000</v>
      </c>
      <c r="I41" s="118">
        <f t="shared" si="2"/>
        <v>0</v>
      </c>
      <c r="J41" s="118">
        <f t="shared" si="2"/>
        <v>0</v>
      </c>
      <c r="K41" s="118">
        <f t="shared" si="2"/>
        <v>0</v>
      </c>
      <c r="L41" s="118">
        <f t="shared" si="2"/>
        <v>0</v>
      </c>
      <c r="M41" s="118">
        <f t="shared" si="2"/>
        <v>0</v>
      </c>
      <c r="N41" s="118">
        <f t="shared" si="2"/>
        <v>0</v>
      </c>
      <c r="O41" s="118">
        <f t="shared" si="2"/>
        <v>0</v>
      </c>
      <c r="P41" s="118">
        <f t="shared" si="2"/>
        <v>0</v>
      </c>
      <c r="Q41" s="118">
        <f t="shared" si="2"/>
        <v>0</v>
      </c>
      <c r="R41" s="118">
        <f t="shared" si="2"/>
        <v>0</v>
      </c>
      <c r="S41" s="118">
        <f t="shared" si="2"/>
        <v>0</v>
      </c>
      <c r="T41" s="118">
        <f t="shared" si="2"/>
        <v>0</v>
      </c>
      <c r="U41" s="118">
        <f t="shared" si="2"/>
        <v>0</v>
      </c>
      <c r="V41" s="118">
        <f t="shared" si="2"/>
        <v>0</v>
      </c>
      <c r="W41" s="118">
        <f t="shared" si="2"/>
        <v>0</v>
      </c>
      <c r="X41" s="118">
        <f t="shared" si="2"/>
        <v>0</v>
      </c>
      <c r="Y41" s="118">
        <f t="shared" si="2"/>
        <v>0</v>
      </c>
      <c r="Z41" s="118">
        <f t="shared" si="2"/>
        <v>0</v>
      </c>
      <c r="AA41" s="118">
        <f t="shared" si="2"/>
        <v>0</v>
      </c>
      <c r="AB41" s="118">
        <f t="shared" si="2"/>
        <v>0</v>
      </c>
      <c r="AC41" s="118">
        <f t="shared" si="2"/>
        <v>0</v>
      </c>
      <c r="AD41" s="118">
        <f t="shared" si="2"/>
        <v>0</v>
      </c>
      <c r="AE41" s="118">
        <f t="shared" si="2"/>
        <v>0</v>
      </c>
      <c r="AF41" s="118">
        <f t="shared" si="2"/>
        <v>0</v>
      </c>
      <c r="AG41" s="118">
        <f t="shared" si="2"/>
        <v>0</v>
      </c>
      <c r="AH41" s="118">
        <f t="shared" si="2"/>
        <v>0</v>
      </c>
      <c r="AI41" s="118">
        <f t="shared" si="2"/>
        <v>0</v>
      </c>
      <c r="AJ41" s="118">
        <f t="shared" si="2"/>
        <v>0</v>
      </c>
      <c r="AK41" s="118">
        <f t="shared" si="2"/>
        <v>0</v>
      </c>
      <c r="AL41" s="118">
        <f t="shared" si="2"/>
        <v>0</v>
      </c>
      <c r="AM41" s="119">
        <f t="shared" si="2"/>
        <v>0</v>
      </c>
    </row>
    <row r="42" spans="1:39">
      <c r="A42" s="34" t="s">
        <v>498</v>
      </c>
      <c r="B42" s="35" t="s">
        <v>221</v>
      </c>
      <c r="C42" s="36" t="s">
        <v>499</v>
      </c>
      <c r="D42" s="117">
        <f t="shared" ref="D42:AM42" si="3">D18</f>
        <v>0</v>
      </c>
      <c r="E42" s="118">
        <f t="shared" si="3"/>
        <v>0</v>
      </c>
      <c r="F42" s="118">
        <f t="shared" si="3"/>
        <v>1448.74</v>
      </c>
      <c r="G42" s="118">
        <f t="shared" si="3"/>
        <v>1329.74</v>
      </c>
      <c r="H42" s="118">
        <f t="shared" si="3"/>
        <v>1329.74</v>
      </c>
      <c r="I42" s="118">
        <f t="shared" si="3"/>
        <v>1448.74</v>
      </c>
      <c r="J42" s="118">
        <f t="shared" si="3"/>
        <v>0</v>
      </c>
      <c r="K42" s="118">
        <f t="shared" si="3"/>
        <v>0</v>
      </c>
      <c r="L42" s="118">
        <f t="shared" si="3"/>
        <v>0</v>
      </c>
      <c r="M42" s="118">
        <f t="shared" si="3"/>
        <v>0</v>
      </c>
      <c r="N42" s="118">
        <f t="shared" si="3"/>
        <v>0</v>
      </c>
      <c r="O42" s="118">
        <f t="shared" si="3"/>
        <v>0</v>
      </c>
      <c r="P42" s="118">
        <f t="shared" si="3"/>
        <v>0</v>
      </c>
      <c r="Q42" s="118">
        <f t="shared" si="3"/>
        <v>0</v>
      </c>
      <c r="R42" s="118">
        <f t="shared" si="3"/>
        <v>0</v>
      </c>
      <c r="S42" s="118">
        <f t="shared" si="3"/>
        <v>0</v>
      </c>
      <c r="T42" s="118">
        <f t="shared" si="3"/>
        <v>0</v>
      </c>
      <c r="U42" s="118">
        <f t="shared" si="3"/>
        <v>0</v>
      </c>
      <c r="V42" s="118">
        <f t="shared" si="3"/>
        <v>0</v>
      </c>
      <c r="W42" s="118">
        <f t="shared" si="3"/>
        <v>0</v>
      </c>
      <c r="X42" s="118">
        <f t="shared" si="3"/>
        <v>0</v>
      </c>
      <c r="Y42" s="118">
        <f t="shared" si="3"/>
        <v>0</v>
      </c>
      <c r="Z42" s="118">
        <f t="shared" si="3"/>
        <v>0</v>
      </c>
      <c r="AA42" s="118">
        <f t="shared" si="3"/>
        <v>0</v>
      </c>
      <c r="AB42" s="118">
        <f t="shared" si="3"/>
        <v>0</v>
      </c>
      <c r="AC42" s="118">
        <f t="shared" si="3"/>
        <v>0</v>
      </c>
      <c r="AD42" s="118">
        <f t="shared" si="3"/>
        <v>0</v>
      </c>
      <c r="AE42" s="118">
        <f t="shared" si="3"/>
        <v>0</v>
      </c>
      <c r="AF42" s="118">
        <f t="shared" si="3"/>
        <v>0</v>
      </c>
      <c r="AG42" s="118">
        <f t="shared" si="3"/>
        <v>0</v>
      </c>
      <c r="AH42" s="118">
        <f t="shared" si="3"/>
        <v>0</v>
      </c>
      <c r="AI42" s="118">
        <f t="shared" si="3"/>
        <v>0</v>
      </c>
      <c r="AJ42" s="118">
        <f t="shared" si="3"/>
        <v>0</v>
      </c>
      <c r="AK42" s="118">
        <f t="shared" si="3"/>
        <v>0</v>
      </c>
      <c r="AL42" s="118">
        <f t="shared" si="3"/>
        <v>0</v>
      </c>
      <c r="AM42" s="119">
        <f t="shared" si="3"/>
        <v>0</v>
      </c>
    </row>
    <row r="43" spans="1:39">
      <c r="A43" s="26" t="s">
        <v>500</v>
      </c>
      <c r="B43" t="s">
        <v>221</v>
      </c>
      <c r="C43" s="27" t="s">
        <v>501</v>
      </c>
      <c r="D43" s="111">
        <f t="shared" ref="D43:AM43" si="4">D19</f>
        <v>0</v>
      </c>
      <c r="E43" s="112">
        <f t="shared" si="4"/>
        <v>0</v>
      </c>
      <c r="F43" s="112">
        <f t="shared" si="4"/>
        <v>750</v>
      </c>
      <c r="G43" s="112">
        <f t="shared" si="4"/>
        <v>0</v>
      </c>
      <c r="H43" s="112">
        <f t="shared" si="4"/>
        <v>0</v>
      </c>
      <c r="I43" s="112">
        <f t="shared" si="4"/>
        <v>750</v>
      </c>
      <c r="J43" s="112">
        <f t="shared" si="4"/>
        <v>0</v>
      </c>
      <c r="K43" s="112">
        <f t="shared" si="4"/>
        <v>0</v>
      </c>
      <c r="L43" s="112">
        <f t="shared" si="4"/>
        <v>0</v>
      </c>
      <c r="M43" s="112">
        <f t="shared" si="4"/>
        <v>0</v>
      </c>
      <c r="N43" s="112">
        <f t="shared" si="4"/>
        <v>0</v>
      </c>
      <c r="O43" s="112">
        <f t="shared" si="4"/>
        <v>0</v>
      </c>
      <c r="P43" s="112">
        <f t="shared" si="4"/>
        <v>0</v>
      </c>
      <c r="Q43" s="112">
        <f t="shared" si="4"/>
        <v>0</v>
      </c>
      <c r="R43" s="112">
        <f t="shared" si="4"/>
        <v>0</v>
      </c>
      <c r="S43" s="112">
        <f t="shared" si="4"/>
        <v>0</v>
      </c>
      <c r="T43" s="112">
        <f t="shared" si="4"/>
        <v>0</v>
      </c>
      <c r="U43" s="112">
        <f t="shared" si="4"/>
        <v>0</v>
      </c>
      <c r="V43" s="112">
        <f t="shared" si="4"/>
        <v>0</v>
      </c>
      <c r="W43" s="112">
        <f t="shared" si="4"/>
        <v>0</v>
      </c>
      <c r="X43" s="112">
        <f t="shared" si="4"/>
        <v>0</v>
      </c>
      <c r="Y43" s="112">
        <f t="shared" si="4"/>
        <v>0</v>
      </c>
      <c r="Z43" s="112">
        <f t="shared" si="4"/>
        <v>0</v>
      </c>
      <c r="AA43" s="112">
        <f t="shared" si="4"/>
        <v>0</v>
      </c>
      <c r="AB43" s="112">
        <f t="shared" si="4"/>
        <v>0</v>
      </c>
      <c r="AC43" s="112">
        <f t="shared" si="4"/>
        <v>0</v>
      </c>
      <c r="AD43" s="112">
        <f t="shared" si="4"/>
        <v>0</v>
      </c>
      <c r="AE43" s="112">
        <f t="shared" si="4"/>
        <v>0</v>
      </c>
      <c r="AF43" s="112">
        <f t="shared" si="4"/>
        <v>0</v>
      </c>
      <c r="AG43" s="112">
        <f t="shared" si="4"/>
        <v>0</v>
      </c>
      <c r="AH43" s="112">
        <f t="shared" si="4"/>
        <v>0</v>
      </c>
      <c r="AI43" s="112">
        <f t="shared" si="4"/>
        <v>0</v>
      </c>
      <c r="AJ43" s="112">
        <f t="shared" si="4"/>
        <v>0</v>
      </c>
      <c r="AK43" s="112">
        <f t="shared" si="4"/>
        <v>0</v>
      </c>
      <c r="AL43" s="112">
        <f t="shared" si="4"/>
        <v>0</v>
      </c>
      <c r="AM43" s="113">
        <f t="shared" si="4"/>
        <v>0</v>
      </c>
    </row>
    <row r="44" spans="1:39">
      <c r="A44" s="26" t="s">
        <v>502</v>
      </c>
      <c r="B44" t="s">
        <v>221</v>
      </c>
      <c r="C44" s="27" t="s">
        <v>503</v>
      </c>
      <c r="D44" s="111">
        <f t="shared" ref="D44:AM44" si="5">D20</f>
        <v>0</v>
      </c>
      <c r="E44" s="112">
        <f t="shared" si="5"/>
        <v>0</v>
      </c>
      <c r="F44" s="112">
        <f t="shared" si="5"/>
        <v>145.25</v>
      </c>
      <c r="G44" s="112">
        <f t="shared" si="5"/>
        <v>75.25</v>
      </c>
      <c r="H44" s="112">
        <f t="shared" si="5"/>
        <v>75.25</v>
      </c>
      <c r="I44" s="112">
        <f t="shared" si="5"/>
        <v>145.25</v>
      </c>
      <c r="J44" s="112">
        <f t="shared" si="5"/>
        <v>0</v>
      </c>
      <c r="K44" s="112">
        <f t="shared" si="5"/>
        <v>0</v>
      </c>
      <c r="L44" s="112">
        <f t="shared" si="5"/>
        <v>0</v>
      </c>
      <c r="M44" s="112">
        <f t="shared" si="5"/>
        <v>0</v>
      </c>
      <c r="N44" s="112">
        <f t="shared" si="5"/>
        <v>0</v>
      </c>
      <c r="O44" s="112">
        <f t="shared" si="5"/>
        <v>0</v>
      </c>
      <c r="P44" s="112">
        <f t="shared" si="5"/>
        <v>0</v>
      </c>
      <c r="Q44" s="112">
        <f t="shared" si="5"/>
        <v>0</v>
      </c>
      <c r="R44" s="112">
        <f t="shared" si="5"/>
        <v>0</v>
      </c>
      <c r="S44" s="112">
        <f t="shared" si="5"/>
        <v>0</v>
      </c>
      <c r="T44" s="112">
        <f t="shared" si="5"/>
        <v>0</v>
      </c>
      <c r="U44" s="112">
        <f t="shared" si="5"/>
        <v>0</v>
      </c>
      <c r="V44" s="112">
        <f t="shared" si="5"/>
        <v>0</v>
      </c>
      <c r="W44" s="112">
        <f t="shared" si="5"/>
        <v>0</v>
      </c>
      <c r="X44" s="112">
        <f t="shared" si="5"/>
        <v>0</v>
      </c>
      <c r="Y44" s="112">
        <f t="shared" si="5"/>
        <v>0</v>
      </c>
      <c r="Z44" s="112">
        <f t="shared" si="5"/>
        <v>0</v>
      </c>
      <c r="AA44" s="112">
        <f t="shared" si="5"/>
        <v>0</v>
      </c>
      <c r="AB44" s="112">
        <f t="shared" si="5"/>
        <v>0</v>
      </c>
      <c r="AC44" s="112">
        <f t="shared" si="5"/>
        <v>0</v>
      </c>
      <c r="AD44" s="112">
        <f t="shared" si="5"/>
        <v>0</v>
      </c>
      <c r="AE44" s="112">
        <f t="shared" si="5"/>
        <v>0</v>
      </c>
      <c r="AF44" s="112">
        <f t="shared" si="5"/>
        <v>0</v>
      </c>
      <c r="AG44" s="112">
        <f t="shared" si="5"/>
        <v>0</v>
      </c>
      <c r="AH44" s="112">
        <f t="shared" si="5"/>
        <v>0</v>
      </c>
      <c r="AI44" s="112">
        <f t="shared" si="5"/>
        <v>0</v>
      </c>
      <c r="AJ44" s="112">
        <f t="shared" si="5"/>
        <v>0</v>
      </c>
      <c r="AK44" s="112">
        <f t="shared" si="5"/>
        <v>0</v>
      </c>
      <c r="AL44" s="112">
        <f t="shared" si="5"/>
        <v>0</v>
      </c>
      <c r="AM44" s="113">
        <f t="shared" si="5"/>
        <v>0</v>
      </c>
    </row>
    <row r="45" spans="1:39">
      <c r="A45" s="26" t="s">
        <v>504</v>
      </c>
      <c r="B45" t="s">
        <v>221</v>
      </c>
      <c r="C45" s="27" t="s">
        <v>505</v>
      </c>
      <c r="D45" s="111">
        <f t="shared" ref="D45:AL45" si="6">E21</f>
        <v>0</v>
      </c>
      <c r="E45" s="112">
        <f t="shared" si="6"/>
        <v>408</v>
      </c>
      <c r="F45" s="112">
        <f t="shared" si="6"/>
        <v>272</v>
      </c>
      <c r="G45" s="112">
        <f t="shared" si="6"/>
        <v>272</v>
      </c>
      <c r="H45" s="112">
        <f t="shared" si="6"/>
        <v>408</v>
      </c>
      <c r="I45" s="112">
        <f t="shared" si="6"/>
        <v>0</v>
      </c>
      <c r="J45" s="112">
        <f t="shared" si="6"/>
        <v>0</v>
      </c>
      <c r="K45" s="112">
        <f t="shared" si="6"/>
        <v>0</v>
      </c>
      <c r="L45" s="112">
        <f t="shared" si="6"/>
        <v>0</v>
      </c>
      <c r="M45" s="112">
        <f t="shared" si="6"/>
        <v>0</v>
      </c>
      <c r="N45" s="112">
        <f t="shared" si="6"/>
        <v>0</v>
      </c>
      <c r="O45" s="112">
        <f t="shared" si="6"/>
        <v>0</v>
      </c>
      <c r="P45" s="112">
        <f t="shared" si="6"/>
        <v>0</v>
      </c>
      <c r="Q45" s="112">
        <f t="shared" si="6"/>
        <v>0</v>
      </c>
      <c r="R45" s="112">
        <f t="shared" si="6"/>
        <v>0</v>
      </c>
      <c r="S45" s="112">
        <f t="shared" si="6"/>
        <v>0</v>
      </c>
      <c r="T45" s="112">
        <f t="shared" si="6"/>
        <v>0</v>
      </c>
      <c r="U45" s="112">
        <f t="shared" si="6"/>
        <v>0</v>
      </c>
      <c r="V45" s="112">
        <f t="shared" si="6"/>
        <v>0</v>
      </c>
      <c r="W45" s="112">
        <f t="shared" si="6"/>
        <v>0</v>
      </c>
      <c r="X45" s="112">
        <f t="shared" si="6"/>
        <v>0</v>
      </c>
      <c r="Y45" s="112">
        <f t="shared" si="6"/>
        <v>0</v>
      </c>
      <c r="Z45" s="112">
        <f t="shared" si="6"/>
        <v>0</v>
      </c>
      <c r="AA45" s="112">
        <f t="shared" si="6"/>
        <v>0</v>
      </c>
      <c r="AB45" s="112">
        <f t="shared" si="6"/>
        <v>0</v>
      </c>
      <c r="AC45" s="112">
        <f t="shared" si="6"/>
        <v>0</v>
      </c>
      <c r="AD45" s="112">
        <f t="shared" si="6"/>
        <v>0</v>
      </c>
      <c r="AE45" s="112">
        <f t="shared" si="6"/>
        <v>0</v>
      </c>
      <c r="AF45" s="112">
        <f t="shared" si="6"/>
        <v>0</v>
      </c>
      <c r="AG45" s="112">
        <f t="shared" si="6"/>
        <v>0</v>
      </c>
      <c r="AH45" s="112">
        <f t="shared" si="6"/>
        <v>0</v>
      </c>
      <c r="AI45" s="112">
        <f t="shared" si="6"/>
        <v>0</v>
      </c>
      <c r="AJ45" s="112">
        <f t="shared" si="6"/>
        <v>0</v>
      </c>
      <c r="AK45" s="112">
        <f t="shared" si="6"/>
        <v>0</v>
      </c>
      <c r="AL45" s="112">
        <f t="shared" si="6"/>
        <v>0</v>
      </c>
      <c r="AM45" s="113">
        <f>0</f>
        <v>0</v>
      </c>
    </row>
    <row r="46" spans="1:39">
      <c r="A46" s="26" t="s">
        <v>506</v>
      </c>
      <c r="B46" t="s">
        <v>221</v>
      </c>
      <c r="C46" s="27" t="s">
        <v>505</v>
      </c>
      <c r="D46" s="111">
        <f t="shared" ref="D46:AL46" si="7">E22</f>
        <v>0</v>
      </c>
      <c r="E46" s="112">
        <f t="shared" si="7"/>
        <v>450</v>
      </c>
      <c r="F46" s="112">
        <f t="shared" si="7"/>
        <v>300</v>
      </c>
      <c r="G46" s="112">
        <f t="shared" si="7"/>
        <v>300</v>
      </c>
      <c r="H46" s="112">
        <f t="shared" si="7"/>
        <v>450</v>
      </c>
      <c r="I46" s="112">
        <f t="shared" si="7"/>
        <v>0</v>
      </c>
      <c r="J46" s="112">
        <f t="shared" si="7"/>
        <v>0</v>
      </c>
      <c r="K46" s="112">
        <f t="shared" si="7"/>
        <v>0</v>
      </c>
      <c r="L46" s="112">
        <f t="shared" si="7"/>
        <v>0</v>
      </c>
      <c r="M46" s="112">
        <f t="shared" si="7"/>
        <v>0</v>
      </c>
      <c r="N46" s="112">
        <f t="shared" si="7"/>
        <v>0</v>
      </c>
      <c r="O46" s="112">
        <f t="shared" si="7"/>
        <v>0</v>
      </c>
      <c r="P46" s="112">
        <f t="shared" si="7"/>
        <v>0</v>
      </c>
      <c r="Q46" s="112">
        <f t="shared" si="7"/>
        <v>0</v>
      </c>
      <c r="R46" s="112">
        <f t="shared" si="7"/>
        <v>0</v>
      </c>
      <c r="S46" s="112">
        <f t="shared" si="7"/>
        <v>0</v>
      </c>
      <c r="T46" s="112">
        <f t="shared" si="7"/>
        <v>0</v>
      </c>
      <c r="U46" s="112">
        <f t="shared" si="7"/>
        <v>0</v>
      </c>
      <c r="V46" s="112">
        <f t="shared" si="7"/>
        <v>0</v>
      </c>
      <c r="W46" s="112">
        <f t="shared" si="7"/>
        <v>0</v>
      </c>
      <c r="X46" s="112">
        <f t="shared" si="7"/>
        <v>0</v>
      </c>
      <c r="Y46" s="112">
        <f t="shared" si="7"/>
        <v>0</v>
      </c>
      <c r="Z46" s="112">
        <f t="shared" si="7"/>
        <v>0</v>
      </c>
      <c r="AA46" s="112">
        <f t="shared" si="7"/>
        <v>0</v>
      </c>
      <c r="AB46" s="112">
        <f t="shared" si="7"/>
        <v>0</v>
      </c>
      <c r="AC46" s="112">
        <f t="shared" si="7"/>
        <v>0</v>
      </c>
      <c r="AD46" s="112">
        <f t="shared" si="7"/>
        <v>0</v>
      </c>
      <c r="AE46" s="112">
        <f t="shared" si="7"/>
        <v>0</v>
      </c>
      <c r="AF46" s="112">
        <f t="shared" si="7"/>
        <v>0</v>
      </c>
      <c r="AG46" s="112">
        <f t="shared" si="7"/>
        <v>0</v>
      </c>
      <c r="AH46" s="112">
        <f t="shared" si="7"/>
        <v>0</v>
      </c>
      <c r="AI46" s="112">
        <f t="shared" si="7"/>
        <v>0</v>
      </c>
      <c r="AJ46" s="112">
        <f t="shared" si="7"/>
        <v>0</v>
      </c>
      <c r="AK46" s="112">
        <f t="shared" si="7"/>
        <v>0</v>
      </c>
      <c r="AL46" s="112">
        <f t="shared" si="7"/>
        <v>0</v>
      </c>
      <c r="AM46" s="113">
        <f>0</f>
        <v>0</v>
      </c>
    </row>
    <row r="47" spans="1:39">
      <c r="A47" s="26" t="s">
        <v>507</v>
      </c>
      <c r="B47" t="s">
        <v>221</v>
      </c>
      <c r="C47" s="27" t="s">
        <v>505</v>
      </c>
      <c r="D47" s="111">
        <f t="shared" ref="D47:AL47" si="8">E23</f>
        <v>0</v>
      </c>
      <c r="E47" s="112">
        <f t="shared" si="8"/>
        <v>210</v>
      </c>
      <c r="F47" s="112">
        <f t="shared" si="8"/>
        <v>140</v>
      </c>
      <c r="G47" s="112">
        <f t="shared" si="8"/>
        <v>140</v>
      </c>
      <c r="H47" s="112">
        <f t="shared" si="8"/>
        <v>210</v>
      </c>
      <c r="I47" s="112">
        <f t="shared" si="8"/>
        <v>0</v>
      </c>
      <c r="J47" s="112">
        <f t="shared" si="8"/>
        <v>0</v>
      </c>
      <c r="K47" s="112">
        <f t="shared" si="8"/>
        <v>0</v>
      </c>
      <c r="L47" s="112">
        <f t="shared" si="8"/>
        <v>0</v>
      </c>
      <c r="M47" s="112">
        <f t="shared" si="8"/>
        <v>0</v>
      </c>
      <c r="N47" s="112">
        <f t="shared" si="8"/>
        <v>0</v>
      </c>
      <c r="O47" s="112">
        <f t="shared" si="8"/>
        <v>0</v>
      </c>
      <c r="P47" s="112">
        <f t="shared" si="8"/>
        <v>0</v>
      </c>
      <c r="Q47" s="112">
        <f t="shared" si="8"/>
        <v>0</v>
      </c>
      <c r="R47" s="112">
        <f t="shared" si="8"/>
        <v>0</v>
      </c>
      <c r="S47" s="112">
        <f t="shared" si="8"/>
        <v>0</v>
      </c>
      <c r="T47" s="112">
        <f t="shared" si="8"/>
        <v>0</v>
      </c>
      <c r="U47" s="112">
        <f t="shared" si="8"/>
        <v>0</v>
      </c>
      <c r="V47" s="112">
        <f t="shared" si="8"/>
        <v>0</v>
      </c>
      <c r="W47" s="112">
        <f t="shared" si="8"/>
        <v>0</v>
      </c>
      <c r="X47" s="112">
        <f t="shared" si="8"/>
        <v>0</v>
      </c>
      <c r="Y47" s="112">
        <f t="shared" si="8"/>
        <v>0</v>
      </c>
      <c r="Z47" s="112">
        <f t="shared" si="8"/>
        <v>0</v>
      </c>
      <c r="AA47" s="112">
        <f t="shared" si="8"/>
        <v>0</v>
      </c>
      <c r="AB47" s="112">
        <f t="shared" si="8"/>
        <v>0</v>
      </c>
      <c r="AC47" s="112">
        <f t="shared" si="8"/>
        <v>0</v>
      </c>
      <c r="AD47" s="112">
        <f t="shared" si="8"/>
        <v>0</v>
      </c>
      <c r="AE47" s="112">
        <f t="shared" si="8"/>
        <v>0</v>
      </c>
      <c r="AF47" s="112">
        <f t="shared" si="8"/>
        <v>0</v>
      </c>
      <c r="AG47" s="112">
        <f t="shared" si="8"/>
        <v>0</v>
      </c>
      <c r="AH47" s="112">
        <f t="shared" si="8"/>
        <v>0</v>
      </c>
      <c r="AI47" s="112">
        <f t="shared" si="8"/>
        <v>0</v>
      </c>
      <c r="AJ47" s="112">
        <f t="shared" si="8"/>
        <v>0</v>
      </c>
      <c r="AK47" s="112">
        <f t="shared" si="8"/>
        <v>0</v>
      </c>
      <c r="AL47" s="112">
        <f t="shared" si="8"/>
        <v>0</v>
      </c>
      <c r="AM47" s="113">
        <f>0</f>
        <v>0</v>
      </c>
    </row>
    <row r="48" spans="1:39">
      <c r="A48" s="26" t="s">
        <v>508</v>
      </c>
      <c r="B48" t="s">
        <v>221</v>
      </c>
      <c r="C48" s="27" t="s">
        <v>499</v>
      </c>
      <c r="D48" s="111">
        <f t="shared" ref="D48:AM48" si="9">D24</f>
        <v>0</v>
      </c>
      <c r="E48" s="112">
        <f t="shared" si="9"/>
        <v>0</v>
      </c>
      <c r="F48" s="112">
        <f t="shared" si="9"/>
        <v>150</v>
      </c>
      <c r="G48" s="112">
        <f t="shared" si="9"/>
        <v>100</v>
      </c>
      <c r="H48" s="112">
        <f t="shared" si="9"/>
        <v>100</v>
      </c>
      <c r="I48" s="112">
        <f t="shared" si="9"/>
        <v>150</v>
      </c>
      <c r="J48" s="112">
        <f t="shared" si="9"/>
        <v>0</v>
      </c>
      <c r="K48" s="112">
        <f t="shared" si="9"/>
        <v>0</v>
      </c>
      <c r="L48" s="112">
        <f t="shared" si="9"/>
        <v>0</v>
      </c>
      <c r="M48" s="112">
        <f t="shared" si="9"/>
        <v>0</v>
      </c>
      <c r="N48" s="112">
        <f t="shared" si="9"/>
        <v>0</v>
      </c>
      <c r="O48" s="112">
        <f t="shared" si="9"/>
        <v>0</v>
      </c>
      <c r="P48" s="112">
        <f t="shared" si="9"/>
        <v>0</v>
      </c>
      <c r="Q48" s="112">
        <f t="shared" si="9"/>
        <v>0</v>
      </c>
      <c r="R48" s="112">
        <f t="shared" si="9"/>
        <v>0</v>
      </c>
      <c r="S48" s="112">
        <f t="shared" si="9"/>
        <v>0</v>
      </c>
      <c r="T48" s="112">
        <f t="shared" si="9"/>
        <v>0</v>
      </c>
      <c r="U48" s="112">
        <f t="shared" si="9"/>
        <v>0</v>
      </c>
      <c r="V48" s="112">
        <f t="shared" si="9"/>
        <v>0</v>
      </c>
      <c r="W48" s="112">
        <f t="shared" si="9"/>
        <v>0</v>
      </c>
      <c r="X48" s="112">
        <f t="shared" si="9"/>
        <v>0</v>
      </c>
      <c r="Y48" s="112">
        <f t="shared" si="9"/>
        <v>0</v>
      </c>
      <c r="Z48" s="112">
        <f t="shared" si="9"/>
        <v>0</v>
      </c>
      <c r="AA48" s="112">
        <f t="shared" si="9"/>
        <v>0</v>
      </c>
      <c r="AB48" s="112">
        <f t="shared" si="9"/>
        <v>0</v>
      </c>
      <c r="AC48" s="112">
        <f t="shared" si="9"/>
        <v>0</v>
      </c>
      <c r="AD48" s="112">
        <f t="shared" si="9"/>
        <v>0</v>
      </c>
      <c r="AE48" s="112">
        <f t="shared" si="9"/>
        <v>0</v>
      </c>
      <c r="AF48" s="112">
        <f t="shared" si="9"/>
        <v>0</v>
      </c>
      <c r="AG48" s="112">
        <f t="shared" si="9"/>
        <v>0</v>
      </c>
      <c r="AH48" s="112">
        <f t="shared" si="9"/>
        <v>0</v>
      </c>
      <c r="AI48" s="112">
        <f t="shared" si="9"/>
        <v>0</v>
      </c>
      <c r="AJ48" s="112">
        <f t="shared" si="9"/>
        <v>0</v>
      </c>
      <c r="AK48" s="112">
        <f t="shared" si="9"/>
        <v>0</v>
      </c>
      <c r="AL48" s="112">
        <f t="shared" si="9"/>
        <v>0</v>
      </c>
      <c r="AM48" s="113">
        <f t="shared" si="9"/>
        <v>0</v>
      </c>
    </row>
    <row r="49" spans="1:39">
      <c r="A49" s="26" t="s">
        <v>509</v>
      </c>
      <c r="B49" t="s">
        <v>221</v>
      </c>
      <c r="C49" s="27" t="s">
        <v>505</v>
      </c>
      <c r="D49" s="111">
        <f t="shared" ref="D49:AL49" si="10">E25</f>
        <v>0</v>
      </c>
      <c r="E49" s="112">
        <f t="shared" si="10"/>
        <v>724.37</v>
      </c>
      <c r="F49" s="112">
        <f t="shared" si="10"/>
        <v>664.87</v>
      </c>
      <c r="G49" s="112">
        <f t="shared" si="10"/>
        <v>664.87</v>
      </c>
      <c r="H49" s="112">
        <f t="shared" si="10"/>
        <v>724.37</v>
      </c>
      <c r="I49" s="112">
        <f t="shared" si="10"/>
        <v>0</v>
      </c>
      <c r="J49" s="112">
        <f t="shared" si="10"/>
        <v>0</v>
      </c>
      <c r="K49" s="112">
        <f t="shared" si="10"/>
        <v>0</v>
      </c>
      <c r="L49" s="112">
        <f t="shared" si="10"/>
        <v>0</v>
      </c>
      <c r="M49" s="112">
        <f t="shared" si="10"/>
        <v>0</v>
      </c>
      <c r="N49" s="112">
        <f t="shared" si="10"/>
        <v>0</v>
      </c>
      <c r="O49" s="112">
        <f t="shared" si="10"/>
        <v>0</v>
      </c>
      <c r="P49" s="112">
        <f t="shared" si="10"/>
        <v>0</v>
      </c>
      <c r="Q49" s="112">
        <f t="shared" si="10"/>
        <v>0</v>
      </c>
      <c r="R49" s="112">
        <f t="shared" si="10"/>
        <v>0</v>
      </c>
      <c r="S49" s="112">
        <f t="shared" si="10"/>
        <v>0</v>
      </c>
      <c r="T49" s="112">
        <f t="shared" si="10"/>
        <v>0</v>
      </c>
      <c r="U49" s="112">
        <f t="shared" si="10"/>
        <v>0</v>
      </c>
      <c r="V49" s="112">
        <f t="shared" si="10"/>
        <v>0</v>
      </c>
      <c r="W49" s="112">
        <f t="shared" si="10"/>
        <v>0</v>
      </c>
      <c r="X49" s="112">
        <f t="shared" si="10"/>
        <v>0</v>
      </c>
      <c r="Y49" s="112">
        <f t="shared" si="10"/>
        <v>0</v>
      </c>
      <c r="Z49" s="112">
        <f t="shared" si="10"/>
        <v>0</v>
      </c>
      <c r="AA49" s="112">
        <f t="shared" si="10"/>
        <v>0</v>
      </c>
      <c r="AB49" s="112">
        <f t="shared" si="10"/>
        <v>0</v>
      </c>
      <c r="AC49" s="112">
        <f t="shared" si="10"/>
        <v>0</v>
      </c>
      <c r="AD49" s="112">
        <f t="shared" si="10"/>
        <v>0</v>
      </c>
      <c r="AE49" s="112">
        <f t="shared" si="10"/>
        <v>0</v>
      </c>
      <c r="AF49" s="112">
        <f t="shared" si="10"/>
        <v>0</v>
      </c>
      <c r="AG49" s="112">
        <f t="shared" si="10"/>
        <v>0</v>
      </c>
      <c r="AH49" s="112">
        <f t="shared" si="10"/>
        <v>0</v>
      </c>
      <c r="AI49" s="112">
        <f t="shared" si="10"/>
        <v>0</v>
      </c>
      <c r="AJ49" s="112">
        <f t="shared" si="10"/>
        <v>0</v>
      </c>
      <c r="AK49" s="112">
        <f t="shared" si="10"/>
        <v>0</v>
      </c>
      <c r="AL49" s="112">
        <f t="shared" si="10"/>
        <v>0</v>
      </c>
      <c r="AM49" s="113">
        <f>0</f>
        <v>0</v>
      </c>
    </row>
    <row r="50" spans="1:39">
      <c r="A50" s="26" t="s">
        <v>510</v>
      </c>
      <c r="B50" t="s">
        <v>221</v>
      </c>
      <c r="C50" s="27" t="s">
        <v>505</v>
      </c>
      <c r="D50" s="111">
        <f t="shared" ref="D50:AL50" si="11">E26</f>
        <v>0</v>
      </c>
      <c r="E50" s="112">
        <f t="shared" si="11"/>
        <v>3621.8500000000004</v>
      </c>
      <c r="F50" s="112">
        <f t="shared" si="11"/>
        <v>3324.3500000000004</v>
      </c>
      <c r="G50" s="112">
        <f t="shared" si="11"/>
        <v>3324.3500000000004</v>
      </c>
      <c r="H50" s="112">
        <f t="shared" si="11"/>
        <v>3621.8500000000004</v>
      </c>
      <c r="I50" s="112">
        <f t="shared" si="11"/>
        <v>0</v>
      </c>
      <c r="J50" s="112">
        <f t="shared" si="11"/>
        <v>0</v>
      </c>
      <c r="K50" s="112">
        <f t="shared" si="11"/>
        <v>0</v>
      </c>
      <c r="L50" s="112">
        <f t="shared" si="11"/>
        <v>0</v>
      </c>
      <c r="M50" s="112">
        <f t="shared" si="11"/>
        <v>0</v>
      </c>
      <c r="N50" s="112">
        <f t="shared" si="11"/>
        <v>0</v>
      </c>
      <c r="O50" s="112">
        <f t="shared" si="11"/>
        <v>0</v>
      </c>
      <c r="P50" s="112">
        <f t="shared" si="11"/>
        <v>0</v>
      </c>
      <c r="Q50" s="112">
        <f t="shared" si="11"/>
        <v>0</v>
      </c>
      <c r="R50" s="112">
        <f t="shared" si="11"/>
        <v>0</v>
      </c>
      <c r="S50" s="112">
        <f t="shared" si="11"/>
        <v>0</v>
      </c>
      <c r="T50" s="112">
        <f t="shared" si="11"/>
        <v>0</v>
      </c>
      <c r="U50" s="112">
        <f t="shared" si="11"/>
        <v>0</v>
      </c>
      <c r="V50" s="112">
        <f t="shared" si="11"/>
        <v>0</v>
      </c>
      <c r="W50" s="112">
        <f t="shared" si="11"/>
        <v>0</v>
      </c>
      <c r="X50" s="112">
        <f t="shared" si="11"/>
        <v>0</v>
      </c>
      <c r="Y50" s="112">
        <f t="shared" si="11"/>
        <v>0</v>
      </c>
      <c r="Z50" s="112">
        <f t="shared" si="11"/>
        <v>0</v>
      </c>
      <c r="AA50" s="112">
        <f t="shared" si="11"/>
        <v>0</v>
      </c>
      <c r="AB50" s="112">
        <f t="shared" si="11"/>
        <v>0</v>
      </c>
      <c r="AC50" s="112">
        <f t="shared" si="11"/>
        <v>0</v>
      </c>
      <c r="AD50" s="112">
        <f t="shared" si="11"/>
        <v>0</v>
      </c>
      <c r="AE50" s="112">
        <f t="shared" si="11"/>
        <v>0</v>
      </c>
      <c r="AF50" s="112">
        <f t="shared" si="11"/>
        <v>0</v>
      </c>
      <c r="AG50" s="112">
        <f t="shared" si="11"/>
        <v>0</v>
      </c>
      <c r="AH50" s="112">
        <f t="shared" si="11"/>
        <v>0</v>
      </c>
      <c r="AI50" s="112">
        <f t="shared" si="11"/>
        <v>0</v>
      </c>
      <c r="AJ50" s="112">
        <f t="shared" si="11"/>
        <v>0</v>
      </c>
      <c r="AK50" s="112">
        <f t="shared" si="11"/>
        <v>0</v>
      </c>
      <c r="AL50" s="112">
        <f t="shared" si="11"/>
        <v>0</v>
      </c>
      <c r="AM50" s="113">
        <f>0</f>
        <v>0</v>
      </c>
    </row>
    <row r="51" spans="1:39">
      <c r="A51" s="34" t="s">
        <v>511</v>
      </c>
      <c r="B51" s="35" t="s">
        <v>221</v>
      </c>
      <c r="C51" s="36" t="s">
        <v>512</v>
      </c>
      <c r="D51" s="117">
        <f t="shared" ref="D51:AM51" si="12">D27</f>
        <v>2450</v>
      </c>
      <c r="E51" s="118">
        <f t="shared" si="12"/>
        <v>0</v>
      </c>
      <c r="F51" s="118">
        <f t="shared" si="12"/>
        <v>0</v>
      </c>
      <c r="G51" s="118">
        <f t="shared" si="12"/>
        <v>0</v>
      </c>
      <c r="H51" s="118">
        <f t="shared" si="12"/>
        <v>0</v>
      </c>
      <c r="I51" s="118">
        <f t="shared" si="12"/>
        <v>0</v>
      </c>
      <c r="J51" s="118">
        <f t="shared" si="12"/>
        <v>0</v>
      </c>
      <c r="K51" s="118">
        <f t="shared" si="12"/>
        <v>0</v>
      </c>
      <c r="L51" s="118">
        <f t="shared" si="12"/>
        <v>0</v>
      </c>
      <c r="M51" s="118">
        <f t="shared" si="12"/>
        <v>0</v>
      </c>
      <c r="N51" s="118">
        <f t="shared" si="12"/>
        <v>0</v>
      </c>
      <c r="O51" s="118">
        <f t="shared" si="12"/>
        <v>0</v>
      </c>
      <c r="P51" s="118">
        <f t="shared" si="12"/>
        <v>0</v>
      </c>
      <c r="Q51" s="118">
        <f t="shared" si="12"/>
        <v>0</v>
      </c>
      <c r="R51" s="118">
        <f t="shared" si="12"/>
        <v>0</v>
      </c>
      <c r="S51" s="118">
        <f t="shared" si="12"/>
        <v>0</v>
      </c>
      <c r="T51" s="118">
        <f t="shared" si="12"/>
        <v>0</v>
      </c>
      <c r="U51" s="118">
        <f t="shared" si="12"/>
        <v>0</v>
      </c>
      <c r="V51" s="118">
        <f t="shared" si="12"/>
        <v>0</v>
      </c>
      <c r="W51" s="118">
        <f t="shared" si="12"/>
        <v>0</v>
      </c>
      <c r="X51" s="118">
        <f t="shared" si="12"/>
        <v>0</v>
      </c>
      <c r="Y51" s="118">
        <f t="shared" si="12"/>
        <v>0</v>
      </c>
      <c r="Z51" s="118">
        <f t="shared" si="12"/>
        <v>0</v>
      </c>
      <c r="AA51" s="118">
        <f t="shared" si="12"/>
        <v>0</v>
      </c>
      <c r="AB51" s="118">
        <f t="shared" si="12"/>
        <v>0</v>
      </c>
      <c r="AC51" s="118">
        <f t="shared" si="12"/>
        <v>0</v>
      </c>
      <c r="AD51" s="118">
        <f t="shared" si="12"/>
        <v>0</v>
      </c>
      <c r="AE51" s="118">
        <f t="shared" si="12"/>
        <v>0</v>
      </c>
      <c r="AF51" s="118">
        <f t="shared" si="12"/>
        <v>0</v>
      </c>
      <c r="AG51" s="118">
        <f t="shared" si="12"/>
        <v>0</v>
      </c>
      <c r="AH51" s="118">
        <f t="shared" si="12"/>
        <v>0</v>
      </c>
      <c r="AI51" s="118">
        <f t="shared" si="12"/>
        <v>0</v>
      </c>
      <c r="AJ51" s="118">
        <f t="shared" si="12"/>
        <v>0</v>
      </c>
      <c r="AK51" s="118">
        <f t="shared" si="12"/>
        <v>0</v>
      </c>
      <c r="AL51" s="118">
        <f t="shared" si="12"/>
        <v>0</v>
      </c>
      <c r="AM51" s="119">
        <f t="shared" si="12"/>
        <v>0</v>
      </c>
    </row>
    <row r="52" spans="1:39">
      <c r="A52" s="34" t="s">
        <v>513</v>
      </c>
      <c r="B52" s="35" t="s">
        <v>221</v>
      </c>
      <c r="C52" s="36" t="s">
        <v>514</v>
      </c>
      <c r="D52" s="117">
        <f t="shared" ref="D52:AM52" si="13">SUM(D30:D51)</f>
        <v>45433.336565104997</v>
      </c>
      <c r="E52" s="118">
        <f t="shared" si="13"/>
        <v>64298.844798899998</v>
      </c>
      <c r="F52" s="118">
        <f t="shared" si="13"/>
        <v>117936.15021913001</v>
      </c>
      <c r="G52" s="118">
        <f t="shared" si="13"/>
        <v>120258.96834345</v>
      </c>
      <c r="H52" s="118">
        <f t="shared" si="13"/>
        <v>100117.57136409501</v>
      </c>
      <c r="I52" s="118">
        <f t="shared" si="13"/>
        <v>52920.002716050003</v>
      </c>
      <c r="J52" s="118">
        <f t="shared" si="13"/>
        <v>4440.75771007</v>
      </c>
      <c r="K52" s="118">
        <f t="shared" si="13"/>
        <v>0</v>
      </c>
      <c r="L52" s="118">
        <f t="shared" si="13"/>
        <v>0</v>
      </c>
      <c r="M52" s="118">
        <f t="shared" si="13"/>
        <v>0</v>
      </c>
      <c r="N52" s="118">
        <f t="shared" si="13"/>
        <v>0</v>
      </c>
      <c r="O52" s="118">
        <f t="shared" si="13"/>
        <v>0</v>
      </c>
      <c r="P52" s="118">
        <f t="shared" si="13"/>
        <v>0</v>
      </c>
      <c r="Q52" s="118">
        <f t="shared" si="13"/>
        <v>0</v>
      </c>
      <c r="R52" s="118">
        <f t="shared" si="13"/>
        <v>0</v>
      </c>
      <c r="S52" s="118">
        <f t="shared" si="13"/>
        <v>0</v>
      </c>
      <c r="T52" s="118">
        <f t="shared" si="13"/>
        <v>0</v>
      </c>
      <c r="U52" s="118">
        <f t="shared" si="13"/>
        <v>0</v>
      </c>
      <c r="V52" s="118">
        <f t="shared" si="13"/>
        <v>0</v>
      </c>
      <c r="W52" s="118">
        <f t="shared" si="13"/>
        <v>0</v>
      </c>
      <c r="X52" s="118">
        <f t="shared" si="13"/>
        <v>0</v>
      </c>
      <c r="Y52" s="118">
        <f t="shared" si="13"/>
        <v>0</v>
      </c>
      <c r="Z52" s="118">
        <f t="shared" si="13"/>
        <v>0</v>
      </c>
      <c r="AA52" s="118">
        <f t="shared" si="13"/>
        <v>0</v>
      </c>
      <c r="AB52" s="118">
        <f t="shared" si="13"/>
        <v>0</v>
      </c>
      <c r="AC52" s="118">
        <f t="shared" si="13"/>
        <v>0</v>
      </c>
      <c r="AD52" s="118">
        <f t="shared" si="13"/>
        <v>0</v>
      </c>
      <c r="AE52" s="118">
        <f t="shared" si="13"/>
        <v>0</v>
      </c>
      <c r="AF52" s="118">
        <f t="shared" si="13"/>
        <v>0</v>
      </c>
      <c r="AG52" s="118">
        <f t="shared" si="13"/>
        <v>0</v>
      </c>
      <c r="AH52" s="118">
        <f t="shared" si="13"/>
        <v>0</v>
      </c>
      <c r="AI52" s="118">
        <f t="shared" si="13"/>
        <v>0</v>
      </c>
      <c r="AJ52" s="118">
        <f t="shared" si="13"/>
        <v>0</v>
      </c>
      <c r="AK52" s="118">
        <f t="shared" si="13"/>
        <v>0</v>
      </c>
      <c r="AL52" s="118">
        <f t="shared" si="13"/>
        <v>0</v>
      </c>
      <c r="AM52" s="119">
        <f t="shared" si="13"/>
        <v>0</v>
      </c>
    </row>
    <row r="53" spans="1:39">
      <c r="A53" s="37" t="s">
        <v>515</v>
      </c>
      <c r="B53" s="38" t="s">
        <v>221</v>
      </c>
      <c r="C53" s="39" t="s">
        <v>516</v>
      </c>
      <c r="D53" s="120">
        <f>D52</f>
        <v>45433.336565104997</v>
      </c>
      <c r="E53" s="121">
        <f t="shared" ref="E53:AM53" si="14">D53+E52</f>
        <v>109732.18136400499</v>
      </c>
      <c r="F53" s="121">
        <f t="shared" si="14"/>
        <v>227668.331583135</v>
      </c>
      <c r="G53" s="121">
        <f t="shared" si="14"/>
        <v>347927.29992658499</v>
      </c>
      <c r="H53" s="121">
        <f t="shared" si="14"/>
        <v>448044.87129068002</v>
      </c>
      <c r="I53" s="121">
        <f t="shared" si="14"/>
        <v>500964.87400673004</v>
      </c>
      <c r="J53" s="121">
        <f t="shared" si="14"/>
        <v>505405.63171680004</v>
      </c>
      <c r="K53" s="121">
        <f t="shared" si="14"/>
        <v>505405.63171680004</v>
      </c>
      <c r="L53" s="121">
        <f t="shared" si="14"/>
        <v>505405.63171680004</v>
      </c>
      <c r="M53" s="121">
        <f t="shared" si="14"/>
        <v>505405.63171680004</v>
      </c>
      <c r="N53" s="121">
        <f t="shared" si="14"/>
        <v>505405.63171680004</v>
      </c>
      <c r="O53" s="121">
        <f t="shared" si="14"/>
        <v>505405.63171680004</v>
      </c>
      <c r="P53" s="121">
        <f t="shared" si="14"/>
        <v>505405.63171680004</v>
      </c>
      <c r="Q53" s="121">
        <f t="shared" si="14"/>
        <v>505405.63171680004</v>
      </c>
      <c r="R53" s="121">
        <f t="shared" si="14"/>
        <v>505405.63171680004</v>
      </c>
      <c r="S53" s="121">
        <f t="shared" si="14"/>
        <v>505405.63171680004</v>
      </c>
      <c r="T53" s="121">
        <f t="shared" si="14"/>
        <v>505405.63171680004</v>
      </c>
      <c r="U53" s="121">
        <f t="shared" si="14"/>
        <v>505405.63171680004</v>
      </c>
      <c r="V53" s="121">
        <f t="shared" si="14"/>
        <v>505405.63171680004</v>
      </c>
      <c r="W53" s="121">
        <f t="shared" si="14"/>
        <v>505405.63171680004</v>
      </c>
      <c r="X53" s="121">
        <f t="shared" si="14"/>
        <v>505405.63171680004</v>
      </c>
      <c r="Y53" s="121">
        <f t="shared" si="14"/>
        <v>505405.63171680004</v>
      </c>
      <c r="Z53" s="121">
        <f t="shared" si="14"/>
        <v>505405.63171680004</v>
      </c>
      <c r="AA53" s="121">
        <f t="shared" si="14"/>
        <v>505405.63171680004</v>
      </c>
      <c r="AB53" s="121">
        <f t="shared" si="14"/>
        <v>505405.63171680004</v>
      </c>
      <c r="AC53" s="121">
        <f t="shared" si="14"/>
        <v>505405.63171680004</v>
      </c>
      <c r="AD53" s="121">
        <f t="shared" si="14"/>
        <v>505405.63171680004</v>
      </c>
      <c r="AE53" s="121">
        <f t="shared" si="14"/>
        <v>505405.63171680004</v>
      </c>
      <c r="AF53" s="121">
        <f t="shared" si="14"/>
        <v>505405.63171680004</v>
      </c>
      <c r="AG53" s="121">
        <f t="shared" si="14"/>
        <v>505405.63171680004</v>
      </c>
      <c r="AH53" s="121">
        <f t="shared" si="14"/>
        <v>505405.63171680004</v>
      </c>
      <c r="AI53" s="121">
        <f t="shared" si="14"/>
        <v>505405.63171680004</v>
      </c>
      <c r="AJ53" s="121">
        <f t="shared" si="14"/>
        <v>505405.63171680004</v>
      </c>
      <c r="AK53" s="121">
        <f t="shared" si="14"/>
        <v>505405.63171680004</v>
      </c>
      <c r="AL53" s="121">
        <f t="shared" si="14"/>
        <v>505405.63171680004</v>
      </c>
      <c r="AM53" s="122">
        <f t="shared" si="14"/>
        <v>505405.63171680004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9"/>
  <sheetViews>
    <sheetView workbookViewId="0">
      <selection activeCell="H18" sqref="H18"/>
    </sheetView>
  </sheetViews>
  <sheetFormatPr defaultRowHeight="13.8"/>
  <cols>
    <col min="1" max="1" width="32.09765625" customWidth="1"/>
    <col min="2" max="2" width="12.09765625" customWidth="1"/>
    <col min="3" max="3" width="30.69921875" customWidth="1"/>
    <col min="4" max="39" width="10.69921875" customWidth="1"/>
  </cols>
  <sheetData>
    <row r="1" spans="1:39" ht="17.399999999999999">
      <c r="A1" s="146" t="s">
        <v>517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>
      <c r="A2" s="147" t="s">
        <v>518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</row>
    <row r="4" spans="1:39">
      <c r="A4" s="19" t="s">
        <v>17</v>
      </c>
      <c r="B4" s="20" t="s">
        <v>84</v>
      </c>
      <c r="C4" s="21" t="s">
        <v>118</v>
      </c>
    </row>
    <row r="5" spans="1:39">
      <c r="A5" s="22" t="s">
        <v>347</v>
      </c>
      <c r="B5" s="18" t="s">
        <v>122</v>
      </c>
      <c r="C5" s="23" t="s">
        <v>390</v>
      </c>
      <c r="D5" s="105">
        <f>Deployment_36M!D5</f>
        <v>46204</v>
      </c>
      <c r="E5" s="106">
        <f>Deployment_36M!E5</f>
        <v>46235</v>
      </c>
      <c r="F5" s="106">
        <f>Deployment_36M!F5</f>
        <v>46266</v>
      </c>
      <c r="G5" s="106">
        <f>Deployment_36M!G5</f>
        <v>46296</v>
      </c>
      <c r="H5" s="106">
        <f>Deployment_36M!H5</f>
        <v>46327</v>
      </c>
      <c r="I5" s="106">
        <f>Deployment_36M!I5</f>
        <v>46357</v>
      </c>
      <c r="J5" s="106">
        <f>Deployment_36M!J5</f>
        <v>46388</v>
      </c>
      <c r="K5" s="106">
        <f>Deployment_36M!K5</f>
        <v>46419</v>
      </c>
      <c r="L5" s="106">
        <f>Deployment_36M!L5</f>
        <v>46447</v>
      </c>
      <c r="M5" s="106">
        <f>Deployment_36M!M5</f>
        <v>46478</v>
      </c>
      <c r="N5" s="106">
        <f>Deployment_36M!N5</f>
        <v>46508</v>
      </c>
      <c r="O5" s="106">
        <f>Deployment_36M!O5</f>
        <v>46539</v>
      </c>
      <c r="P5" s="106">
        <f>Deployment_36M!P5</f>
        <v>46569</v>
      </c>
      <c r="Q5" s="106">
        <f>Deployment_36M!Q5</f>
        <v>46600</v>
      </c>
      <c r="R5" s="106">
        <f>Deployment_36M!R5</f>
        <v>46631</v>
      </c>
      <c r="S5" s="106">
        <f>Deployment_36M!S5</f>
        <v>46661</v>
      </c>
      <c r="T5" s="106">
        <f>Deployment_36M!T5</f>
        <v>46692</v>
      </c>
      <c r="U5" s="106">
        <f>Deployment_36M!U5</f>
        <v>46722</v>
      </c>
      <c r="V5" s="106">
        <f>Deployment_36M!V5</f>
        <v>46753</v>
      </c>
      <c r="W5" s="106">
        <f>Deployment_36M!W5</f>
        <v>46784</v>
      </c>
      <c r="X5" s="106">
        <f>Deployment_36M!X5</f>
        <v>46813</v>
      </c>
      <c r="Y5" s="106">
        <f>Deployment_36M!Y5</f>
        <v>46844</v>
      </c>
      <c r="Z5" s="106">
        <f>Deployment_36M!Z5</f>
        <v>46874</v>
      </c>
      <c r="AA5" s="106">
        <f>Deployment_36M!AA5</f>
        <v>46905</v>
      </c>
      <c r="AB5" s="106">
        <f>Deployment_36M!AB5</f>
        <v>46935</v>
      </c>
      <c r="AC5" s="106">
        <f>Deployment_36M!AC5</f>
        <v>46966</v>
      </c>
      <c r="AD5" s="106">
        <f>Deployment_36M!AD5</f>
        <v>46997</v>
      </c>
      <c r="AE5" s="106">
        <f>Deployment_36M!AE5</f>
        <v>47027</v>
      </c>
      <c r="AF5" s="106">
        <f>Deployment_36M!AF5</f>
        <v>47058</v>
      </c>
      <c r="AG5" s="106">
        <f>Deployment_36M!AG5</f>
        <v>47088</v>
      </c>
      <c r="AH5" s="106">
        <f>Deployment_36M!AH5</f>
        <v>47119</v>
      </c>
      <c r="AI5" s="106">
        <f>Deployment_36M!AI5</f>
        <v>47150</v>
      </c>
      <c r="AJ5" s="106">
        <f>Deployment_36M!AJ5</f>
        <v>47178</v>
      </c>
      <c r="AK5" s="106">
        <f>Deployment_36M!AK5</f>
        <v>47209</v>
      </c>
      <c r="AL5" s="106">
        <f>Deployment_36M!AL5</f>
        <v>47239</v>
      </c>
      <c r="AM5" s="107">
        <f>Deployment_36M!AM5</f>
        <v>47270</v>
      </c>
    </row>
    <row r="6" spans="1:39">
      <c r="A6" s="22" t="s">
        <v>349</v>
      </c>
      <c r="B6" s="18" t="s">
        <v>350</v>
      </c>
      <c r="C6" s="23" t="s">
        <v>390</v>
      </c>
      <c r="D6" s="108">
        <f>Deployment_36M!D6</f>
        <v>31</v>
      </c>
      <c r="E6" s="109">
        <f>Deployment_36M!E6</f>
        <v>31</v>
      </c>
      <c r="F6" s="109">
        <f>Deployment_36M!F6</f>
        <v>30</v>
      </c>
      <c r="G6" s="109">
        <f>Deployment_36M!G6</f>
        <v>31</v>
      </c>
      <c r="H6" s="109">
        <f>Deployment_36M!H6</f>
        <v>30</v>
      </c>
      <c r="I6" s="109">
        <f>Deployment_36M!I6</f>
        <v>31</v>
      </c>
      <c r="J6" s="109">
        <f>Deployment_36M!J6</f>
        <v>31</v>
      </c>
      <c r="K6" s="109">
        <f>Deployment_36M!K6</f>
        <v>28</v>
      </c>
      <c r="L6" s="109">
        <f>Deployment_36M!L6</f>
        <v>31</v>
      </c>
      <c r="M6" s="109">
        <f>Deployment_36M!M6</f>
        <v>30</v>
      </c>
      <c r="N6" s="109">
        <f>Deployment_36M!N6</f>
        <v>31</v>
      </c>
      <c r="O6" s="109">
        <f>Deployment_36M!O6</f>
        <v>30</v>
      </c>
      <c r="P6" s="109">
        <f>Deployment_36M!P6</f>
        <v>31</v>
      </c>
      <c r="Q6" s="109">
        <f>Deployment_36M!Q6</f>
        <v>31</v>
      </c>
      <c r="R6" s="109">
        <f>Deployment_36M!R6</f>
        <v>30</v>
      </c>
      <c r="S6" s="109">
        <f>Deployment_36M!S6</f>
        <v>31</v>
      </c>
      <c r="T6" s="109">
        <f>Deployment_36M!T6</f>
        <v>30</v>
      </c>
      <c r="U6" s="109">
        <f>Deployment_36M!U6</f>
        <v>31</v>
      </c>
      <c r="V6" s="109">
        <f>Deployment_36M!V6</f>
        <v>31</v>
      </c>
      <c r="W6" s="109">
        <f>Deployment_36M!W6</f>
        <v>29</v>
      </c>
      <c r="X6" s="109">
        <f>Deployment_36M!X6</f>
        <v>31</v>
      </c>
      <c r="Y6" s="109">
        <f>Deployment_36M!Y6</f>
        <v>30</v>
      </c>
      <c r="Z6" s="109">
        <f>Deployment_36M!Z6</f>
        <v>31</v>
      </c>
      <c r="AA6" s="109">
        <f>Deployment_36M!AA6</f>
        <v>30</v>
      </c>
      <c r="AB6" s="109">
        <f>Deployment_36M!AB6</f>
        <v>31</v>
      </c>
      <c r="AC6" s="109">
        <f>Deployment_36M!AC6</f>
        <v>31</v>
      </c>
      <c r="AD6" s="109">
        <f>Deployment_36M!AD6</f>
        <v>30</v>
      </c>
      <c r="AE6" s="109">
        <f>Deployment_36M!AE6</f>
        <v>31</v>
      </c>
      <c r="AF6" s="109">
        <f>Deployment_36M!AF6</f>
        <v>30</v>
      </c>
      <c r="AG6" s="109">
        <f>Deployment_36M!AG6</f>
        <v>31</v>
      </c>
      <c r="AH6" s="109">
        <f>Deployment_36M!AH6</f>
        <v>31</v>
      </c>
      <c r="AI6" s="109">
        <f>Deployment_36M!AI6</f>
        <v>28</v>
      </c>
      <c r="AJ6" s="109">
        <f>Deployment_36M!AJ6</f>
        <v>31</v>
      </c>
      <c r="AK6" s="109">
        <f>Deployment_36M!AK6</f>
        <v>30</v>
      </c>
      <c r="AL6" s="109">
        <f>Deployment_36M!AL6</f>
        <v>31</v>
      </c>
      <c r="AM6" s="110">
        <f>Deployment_36M!AM6</f>
        <v>30</v>
      </c>
    </row>
    <row r="7" spans="1:39">
      <c r="A7" s="26"/>
      <c r="C7" s="27"/>
      <c r="D7" s="81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3"/>
    </row>
    <row r="8" spans="1:39">
      <c r="A8" s="26" t="s">
        <v>519</v>
      </c>
      <c r="B8" t="s">
        <v>221</v>
      </c>
      <c r="C8" s="27" t="s">
        <v>520</v>
      </c>
      <c r="D8" s="111">
        <f>0</f>
        <v>0</v>
      </c>
      <c r="E8" s="112">
        <f t="shared" ref="E8:AM8" si="0">D15</f>
        <v>0</v>
      </c>
      <c r="F8" s="112">
        <f t="shared" si="0"/>
        <v>0</v>
      </c>
      <c r="G8" s="112">
        <f t="shared" si="0"/>
        <v>0</v>
      </c>
      <c r="H8" s="112">
        <f t="shared" si="0"/>
        <v>0</v>
      </c>
      <c r="I8" s="112">
        <f t="shared" si="0"/>
        <v>0</v>
      </c>
      <c r="J8" s="112">
        <f t="shared" si="0"/>
        <v>0</v>
      </c>
      <c r="K8" s="112">
        <f t="shared" si="0"/>
        <v>13432.378082050847</v>
      </c>
      <c r="L8" s="112">
        <f t="shared" si="0"/>
        <v>29503.851399483981</v>
      </c>
      <c r="M8" s="112">
        <f t="shared" si="0"/>
        <v>47610.256432389739</v>
      </c>
      <c r="N8" s="112">
        <f t="shared" si="0"/>
        <v>65187.03266841633</v>
      </c>
      <c r="O8" s="112">
        <f t="shared" si="0"/>
        <v>83528.441564576118</v>
      </c>
      <c r="P8" s="112">
        <f t="shared" si="0"/>
        <v>101333.48490279188</v>
      </c>
      <c r="Q8" s="112">
        <f t="shared" si="0"/>
        <v>120418.35768356842</v>
      </c>
      <c r="R8" s="112">
        <f t="shared" si="0"/>
        <v>139622.2655342767</v>
      </c>
      <c r="S8" s="112">
        <f t="shared" si="0"/>
        <v>158260.49864009474</v>
      </c>
      <c r="T8" s="112">
        <f t="shared" si="0"/>
        <v>177703.80355290469</v>
      </c>
      <c r="U8" s="112">
        <f t="shared" si="0"/>
        <v>196574.57102169821</v>
      </c>
      <c r="V8" s="112">
        <f t="shared" si="0"/>
        <v>216259.05318640929</v>
      </c>
      <c r="W8" s="112">
        <f t="shared" si="0"/>
        <v>236064.79568120232</v>
      </c>
      <c r="X8" s="112">
        <f t="shared" si="0"/>
        <v>254582.97323433205</v>
      </c>
      <c r="Y8" s="112">
        <f t="shared" si="0"/>
        <v>274632.5881172184</v>
      </c>
      <c r="Z8" s="112">
        <f t="shared" si="0"/>
        <v>294092.28471245838</v>
      </c>
      <c r="AA8" s="112">
        <f t="shared" si="0"/>
        <v>314387.58545238303</v>
      </c>
      <c r="AB8" s="112">
        <f t="shared" si="0"/>
        <v>334085.92492718442</v>
      </c>
      <c r="AC8" s="112">
        <f t="shared" si="0"/>
        <v>355131.1661032993</v>
      </c>
      <c r="AD8" s="112">
        <f t="shared" si="0"/>
        <v>376300.85303434281</v>
      </c>
      <c r="AE8" s="112">
        <f t="shared" si="0"/>
        <v>396843.80591391015</v>
      </c>
      <c r="AF8" s="112">
        <f t="shared" si="0"/>
        <v>418263.77159169631</v>
      </c>
      <c r="AG8" s="112">
        <f t="shared" si="0"/>
        <v>439049.82857801073</v>
      </c>
      <c r="AH8" s="112">
        <f t="shared" si="0"/>
        <v>460721.93411005713</v>
      </c>
      <c r="AI8" s="112">
        <f t="shared" si="0"/>
        <v>482520.81180537108</v>
      </c>
      <c r="AJ8" s="112">
        <f t="shared" si="0"/>
        <v>502130.8917959127</v>
      </c>
      <c r="AK8" s="112">
        <f t="shared" si="0"/>
        <v>524184.72698786965</v>
      </c>
      <c r="AL8" s="112">
        <f t="shared" si="0"/>
        <v>545586.48260637815</v>
      </c>
      <c r="AM8" s="113">
        <f t="shared" si="0"/>
        <v>567897.17119432974</v>
      </c>
    </row>
    <row r="9" spans="1:39">
      <c r="A9" s="26" t="s">
        <v>521</v>
      </c>
      <c r="B9" t="s">
        <v>221</v>
      </c>
      <c r="C9" s="27" t="s">
        <v>522</v>
      </c>
      <c r="D9" s="111">
        <f>Revenue_36M!D20-Opex_36M!D28-Capex_36M!D52</f>
        <v>-45956.336565104997</v>
      </c>
      <c r="E9" s="112">
        <f>Revenue_36M!E20-Opex_36M!E28-Capex_36M!E52</f>
        <v>-64821.844798899998</v>
      </c>
      <c r="F9" s="112">
        <f>Revenue_36M!F20-Opex_36M!F28-Capex_36M!F52</f>
        <v>-116872.39988994895</v>
      </c>
      <c r="G9" s="112">
        <f>Revenue_36M!G20-Opex_36M!G28-Capex_36M!G52</f>
        <v>-114536.19490869239</v>
      </c>
      <c r="H9" s="112">
        <f>Revenue_36M!H20-Opex_36M!H28-Capex_36M!H52</f>
        <v>-90423.490068414467</v>
      </c>
      <c r="I9" s="112">
        <f>Revenue_36M!I20-Opex_36M!I28-Capex_36M!I52</f>
        <v>-38277.985198829279</v>
      </c>
      <c r="J9" s="112">
        <f>Revenue_36M!J20-Opex_36M!J28-Capex_36M!J52</f>
        <v>13432.378082050847</v>
      </c>
      <c r="K9" s="112">
        <f>Revenue_36M!K20-Opex_36M!K28-Capex_36M!K52</f>
        <v>16071.473317433134</v>
      </c>
      <c r="L9" s="112">
        <f>Revenue_36M!L20-Opex_36M!L28-Capex_36M!L52</f>
        <v>18106.405032905754</v>
      </c>
      <c r="M9" s="112">
        <f>Revenue_36M!M20-Opex_36M!M28-Capex_36M!M52</f>
        <v>17576.776236026592</v>
      </c>
      <c r="N9" s="112">
        <f>Revenue_36M!N20-Opex_36M!N28-Capex_36M!N52</f>
        <v>18341.408896159792</v>
      </c>
      <c r="O9" s="112">
        <f>Revenue_36M!O20-Opex_36M!O28-Capex_36M!O52</f>
        <v>17805.043338215768</v>
      </c>
      <c r="P9" s="112">
        <f>Revenue_36M!P20-Opex_36M!P28-Capex_36M!P52</f>
        <v>19084.872780776539</v>
      </c>
      <c r="Q9" s="112">
        <f>Revenue_36M!Q20-Opex_36M!Q28-Capex_36M!Q52</f>
        <v>19203.907850708267</v>
      </c>
      <c r="R9" s="112">
        <f>Revenue_36M!R20-Opex_36M!R28-Capex_36M!R52</f>
        <v>18638.233105818032</v>
      </c>
      <c r="S9" s="112">
        <f>Revenue_36M!S20-Opex_36M!S28-Capex_36M!S52</f>
        <v>19443.304912809952</v>
      </c>
      <c r="T9" s="112">
        <f>Revenue_36M!T20-Opex_36M!T28-Capex_36M!T52</f>
        <v>18870.767468793514</v>
      </c>
      <c r="U9" s="112">
        <f>Revenue_36M!U20-Opex_36M!U28-Capex_36M!U52</f>
        <v>19684.482164711066</v>
      </c>
      <c r="V9" s="112">
        <f>Revenue_36M!V20-Opex_36M!V28-Capex_36M!V52</f>
        <v>19805.742494793034</v>
      </c>
      <c r="W9" s="112">
        <f>Revenue_36M!W20-Opex_36M!W28-Capex_36M!W52</f>
        <v>18518.177553129732</v>
      </c>
      <c r="X9" s="112">
        <f>Revenue_36M!X20-Opex_36M!X28-Capex_36M!X52</f>
        <v>20049.614882886344</v>
      </c>
      <c r="Y9" s="112">
        <f>Revenue_36M!Y20-Opex_36M!Y28-Capex_36M!Y52</f>
        <v>19459.696595239959</v>
      </c>
      <c r="Z9" s="112">
        <f>Revenue_36M!Z20-Opex_36M!Z28-Capex_36M!Z52</f>
        <v>20295.300739924664</v>
      </c>
      <c r="AA9" s="112">
        <f>Revenue_36M!AA20-Opex_36M!AA28-Capex_36M!AA52</f>
        <v>19698.33947480136</v>
      </c>
      <c r="AB9" s="112">
        <f>Revenue_36M!AB20-Opex_36M!AB28-Capex_36M!AB52</f>
        <v>21045.241176114883</v>
      </c>
      <c r="AC9" s="112">
        <f>Revenue_36M!AC20-Opex_36M!AC28-Capex_36M!AC52</f>
        <v>21169.686931043514</v>
      </c>
      <c r="AD9" s="112">
        <f>Revenue_36M!AD20-Opex_36M!AD28-Capex_36M!AD52</f>
        <v>20542.952879567369</v>
      </c>
      <c r="AE9" s="112">
        <f>Revenue_36M!AE20-Opex_36M!AE28-Capex_36M!AE52</f>
        <v>21419.965677786182</v>
      </c>
      <c r="AF9" s="112">
        <f>Revenue_36M!AF20-Opex_36M!AF28-Capex_36M!AF52</f>
        <v>20786.056986314441</v>
      </c>
      <c r="AG9" s="112">
        <f>Revenue_36M!AG20-Opex_36M!AG28-Capex_36M!AG52</f>
        <v>21672.105532046429</v>
      </c>
      <c r="AH9" s="112">
        <f>Revenue_36M!AH20-Opex_36M!AH28-Capex_36M!AH52</f>
        <v>21798.877695313953</v>
      </c>
      <c r="AI9" s="112">
        <f>Revenue_36M!AI20-Opex_36M!AI28-Capex_36M!AI52</f>
        <v>19610.079990541628</v>
      </c>
      <c r="AJ9" s="112">
        <f>Revenue_36M!AJ20-Opex_36M!AJ28-Capex_36M!AJ52</f>
        <v>22053.835191956947</v>
      </c>
      <c r="AK9" s="112">
        <f>Revenue_36M!AK20-Opex_36M!AK28-Capex_36M!AK52</f>
        <v>21401.755618508447</v>
      </c>
      <c r="AL9" s="112">
        <f>Revenue_36M!AL20-Opex_36M!AL28-Capex_36M!AL52</f>
        <v>22310.688587951561</v>
      </c>
      <c r="AM9" s="113">
        <f>Revenue_36M!AM20-Opex_36M!AM28-Capex_36M!AM52</f>
        <v>21651.245901686285</v>
      </c>
    </row>
    <row r="10" spans="1:39">
      <c r="A10" s="34" t="s">
        <v>523</v>
      </c>
      <c r="B10" s="35" t="s">
        <v>221</v>
      </c>
      <c r="C10" s="36" t="s">
        <v>524</v>
      </c>
      <c r="D10" s="117">
        <f>MAX(Inputs!C99-(D8+D9),0)</f>
        <v>45956.336565104997</v>
      </c>
      <c r="E10" s="118">
        <f>MAX(Inputs!C99-(E8+E9),0)</f>
        <v>64821.844798899998</v>
      </c>
      <c r="F10" s="118">
        <f>MAX(Inputs!C99-(F8+F9),0)</f>
        <v>116872.39988994895</v>
      </c>
      <c r="G10" s="118">
        <f>MAX(Inputs!C99-(G8+G9),0)</f>
        <v>114536.19490869239</v>
      </c>
      <c r="H10" s="118">
        <f>MAX(Inputs!C99-(H8+H9),0)</f>
        <v>90423.490068414467</v>
      </c>
      <c r="I10" s="118">
        <f>MAX(Inputs!C99-(I8+I9),0)</f>
        <v>38277.985198829279</v>
      </c>
      <c r="J10" s="118">
        <f>MAX(Inputs!C99-(J8+J9),0)</f>
        <v>0</v>
      </c>
      <c r="K10" s="118">
        <f>MAX(Inputs!C99-(K8+K9),0)</f>
        <v>0</v>
      </c>
      <c r="L10" s="118">
        <f>MAX(Inputs!C99-(L8+L9),0)</f>
        <v>0</v>
      </c>
      <c r="M10" s="118">
        <f>MAX(Inputs!C99-(M8+M9),0)</f>
        <v>0</v>
      </c>
      <c r="N10" s="118">
        <f>MAX(Inputs!C99-(N8+N9),0)</f>
        <v>0</v>
      </c>
      <c r="O10" s="118">
        <f>MAX(Inputs!C99-(O8+O9),0)</f>
        <v>0</v>
      </c>
      <c r="P10" s="118">
        <f>MAX(Inputs!C99-(P8+P9),0)</f>
        <v>0</v>
      </c>
      <c r="Q10" s="118">
        <f>MAX(Inputs!C99-(Q8+Q9),0)</f>
        <v>0</v>
      </c>
      <c r="R10" s="118">
        <f>MAX(Inputs!C99-(R8+R9),0)</f>
        <v>0</v>
      </c>
      <c r="S10" s="118">
        <f>MAX(Inputs!C99-(S8+S9),0)</f>
        <v>0</v>
      </c>
      <c r="T10" s="118">
        <f>MAX(Inputs!C99-(T8+T9),0)</f>
        <v>0</v>
      </c>
      <c r="U10" s="118">
        <f>MAX(Inputs!C99-(U8+U9),0)</f>
        <v>0</v>
      </c>
      <c r="V10" s="118">
        <f>MAX(Inputs!C99-(V8+V9),0)</f>
        <v>0</v>
      </c>
      <c r="W10" s="118">
        <f>MAX(Inputs!C99-(W8+W9),0)</f>
        <v>0</v>
      </c>
      <c r="X10" s="118">
        <f>MAX(Inputs!C99-(X8+X9),0)</f>
        <v>0</v>
      </c>
      <c r="Y10" s="118">
        <f>MAX(Inputs!C99-(Y8+Y9),0)</f>
        <v>0</v>
      </c>
      <c r="Z10" s="118">
        <f>MAX(Inputs!C99-(Z8+Z9),0)</f>
        <v>0</v>
      </c>
      <c r="AA10" s="118">
        <f>MAX(Inputs!C99-(AA8+AA9),0)</f>
        <v>0</v>
      </c>
      <c r="AB10" s="118">
        <f>MAX(Inputs!C99-(AB8+AB9),0)</f>
        <v>0</v>
      </c>
      <c r="AC10" s="118">
        <f>MAX(Inputs!C99-(AC8+AC9),0)</f>
        <v>0</v>
      </c>
      <c r="AD10" s="118">
        <f>MAX(Inputs!C99-(AD8+AD9),0)</f>
        <v>0</v>
      </c>
      <c r="AE10" s="118">
        <f>MAX(Inputs!C99-(AE8+AE9),0)</f>
        <v>0</v>
      </c>
      <c r="AF10" s="118">
        <f>MAX(Inputs!C99-(AF8+AF9),0)</f>
        <v>0</v>
      </c>
      <c r="AG10" s="118">
        <f>MAX(Inputs!C99-(AG8+AG9),0)</f>
        <v>0</v>
      </c>
      <c r="AH10" s="118">
        <f>MAX(Inputs!C99-(AH8+AH9),0)</f>
        <v>0</v>
      </c>
      <c r="AI10" s="118">
        <f>MAX(Inputs!C99-(AI8+AI9),0)</f>
        <v>0</v>
      </c>
      <c r="AJ10" s="118">
        <f>MAX(Inputs!C99-(AJ8+AJ9),0)</f>
        <v>0</v>
      </c>
      <c r="AK10" s="118">
        <f>MAX(Inputs!C99-(AK8+AK9),0)</f>
        <v>0</v>
      </c>
      <c r="AL10" s="118">
        <f>MAX(Inputs!C99-(AL8+AL9),0)</f>
        <v>0</v>
      </c>
      <c r="AM10" s="119">
        <f>MAX(Inputs!C99-(AM8+AM9),0)</f>
        <v>0</v>
      </c>
    </row>
    <row r="11" spans="1:39">
      <c r="A11" s="26" t="s">
        <v>525</v>
      </c>
      <c r="B11" t="s">
        <v>221</v>
      </c>
      <c r="C11" s="27" t="s">
        <v>526</v>
      </c>
      <c r="D11" s="111">
        <f>D10*Inputs!C93</f>
        <v>45956.336565104997</v>
      </c>
      <c r="E11" s="112">
        <f>E10*Inputs!C93</f>
        <v>64821.844798899998</v>
      </c>
      <c r="F11" s="112">
        <f>F10*Inputs!C93</f>
        <v>116872.39988994895</v>
      </c>
      <c r="G11" s="112">
        <f>G10*Inputs!C93</f>
        <v>114536.19490869239</v>
      </c>
      <c r="H11" s="112">
        <f>H10*Inputs!C93</f>
        <v>90423.490068414467</v>
      </c>
      <c r="I11" s="112">
        <f>I10*Inputs!C93</f>
        <v>38277.985198829279</v>
      </c>
      <c r="J11" s="112">
        <f>J10*Inputs!C93</f>
        <v>0</v>
      </c>
      <c r="K11" s="112">
        <f>K10*Inputs!C93</f>
        <v>0</v>
      </c>
      <c r="L11" s="112">
        <f>L10*Inputs!C93</f>
        <v>0</v>
      </c>
      <c r="M11" s="112">
        <f>M10*Inputs!C93</f>
        <v>0</v>
      </c>
      <c r="N11" s="112">
        <f>N10*Inputs!C93</f>
        <v>0</v>
      </c>
      <c r="O11" s="112">
        <f>O10*Inputs!C93</f>
        <v>0</v>
      </c>
      <c r="P11" s="112">
        <f>P10*Inputs!C93</f>
        <v>0</v>
      </c>
      <c r="Q11" s="112">
        <f>Q10*Inputs!C93</f>
        <v>0</v>
      </c>
      <c r="R11" s="112">
        <f>R10*Inputs!C93</f>
        <v>0</v>
      </c>
      <c r="S11" s="112">
        <f>S10*Inputs!C93</f>
        <v>0</v>
      </c>
      <c r="T11" s="112">
        <f>T10*Inputs!C93</f>
        <v>0</v>
      </c>
      <c r="U11" s="112">
        <f>U10*Inputs!C93</f>
        <v>0</v>
      </c>
      <c r="V11" s="112">
        <f>V10*Inputs!C93</f>
        <v>0</v>
      </c>
      <c r="W11" s="112">
        <f>W10*Inputs!C93</f>
        <v>0</v>
      </c>
      <c r="X11" s="112">
        <f>X10*Inputs!C93</f>
        <v>0</v>
      </c>
      <c r="Y11" s="112">
        <f>Y10*Inputs!C93</f>
        <v>0</v>
      </c>
      <c r="Z11" s="112">
        <f>Z10*Inputs!C93</f>
        <v>0</v>
      </c>
      <c r="AA11" s="112">
        <f>AA10*Inputs!C93</f>
        <v>0</v>
      </c>
      <c r="AB11" s="112">
        <f>AB10*Inputs!C93</f>
        <v>0</v>
      </c>
      <c r="AC11" s="112">
        <f>AC10*Inputs!C93</f>
        <v>0</v>
      </c>
      <c r="AD11" s="112">
        <f>AD10*Inputs!C93</f>
        <v>0</v>
      </c>
      <c r="AE11" s="112">
        <f>AE10*Inputs!C93</f>
        <v>0</v>
      </c>
      <c r="AF11" s="112">
        <f>AF10*Inputs!C93</f>
        <v>0</v>
      </c>
      <c r="AG11" s="112">
        <f>AG10*Inputs!C93</f>
        <v>0</v>
      </c>
      <c r="AH11" s="112">
        <f>AH10*Inputs!C93</f>
        <v>0</v>
      </c>
      <c r="AI11" s="112">
        <f>AI10*Inputs!C93</f>
        <v>0</v>
      </c>
      <c r="AJ11" s="112">
        <f>AJ10*Inputs!C93</f>
        <v>0</v>
      </c>
      <c r="AK11" s="112">
        <f>AK10*Inputs!C93</f>
        <v>0</v>
      </c>
      <c r="AL11" s="112">
        <f>AL10*Inputs!C93</f>
        <v>0</v>
      </c>
      <c r="AM11" s="113">
        <f>AM10*Inputs!C93</f>
        <v>0</v>
      </c>
    </row>
    <row r="12" spans="1:39">
      <c r="A12" s="26" t="s">
        <v>527</v>
      </c>
      <c r="B12" t="s">
        <v>221</v>
      </c>
      <c r="C12" s="27" t="s">
        <v>528</v>
      </c>
      <c r="D12" s="111">
        <f>IF(Inputs!C94=0,0,(D10*Inputs!C94)/(1-Inputs!C98))</f>
        <v>0</v>
      </c>
      <c r="E12" s="112">
        <f>IF(Inputs!C94=0,0,(E10*Inputs!C94)/(1-Inputs!C98))</f>
        <v>0</v>
      </c>
      <c r="F12" s="112">
        <f>IF(Inputs!C94=0,0,(F10*Inputs!C94)/(1-Inputs!C98))</f>
        <v>0</v>
      </c>
      <c r="G12" s="112">
        <f>IF(Inputs!C94=0,0,(G10*Inputs!C94)/(1-Inputs!C98))</f>
        <v>0</v>
      </c>
      <c r="H12" s="112">
        <f>IF(Inputs!C94=0,0,(H10*Inputs!C94)/(1-Inputs!C98))</f>
        <v>0</v>
      </c>
      <c r="I12" s="112">
        <f>IF(Inputs!C94=0,0,(I10*Inputs!C94)/(1-Inputs!C98))</f>
        <v>0</v>
      </c>
      <c r="J12" s="112">
        <f>IF(Inputs!C94=0,0,(J10*Inputs!C94)/(1-Inputs!C98))</f>
        <v>0</v>
      </c>
      <c r="K12" s="112">
        <f>IF(Inputs!C94=0,0,(K10*Inputs!C94)/(1-Inputs!C98))</f>
        <v>0</v>
      </c>
      <c r="L12" s="112">
        <f>IF(Inputs!C94=0,0,(L10*Inputs!C94)/(1-Inputs!C98))</f>
        <v>0</v>
      </c>
      <c r="M12" s="112">
        <f>IF(Inputs!C94=0,0,(M10*Inputs!C94)/(1-Inputs!C98))</f>
        <v>0</v>
      </c>
      <c r="N12" s="112">
        <f>IF(Inputs!C94=0,0,(N10*Inputs!C94)/(1-Inputs!C98))</f>
        <v>0</v>
      </c>
      <c r="O12" s="112">
        <f>IF(Inputs!C94=0,0,(O10*Inputs!C94)/(1-Inputs!C98))</f>
        <v>0</v>
      </c>
      <c r="P12" s="112">
        <f>IF(Inputs!C94=0,0,(P10*Inputs!C94)/(1-Inputs!C98))</f>
        <v>0</v>
      </c>
      <c r="Q12" s="112">
        <f>IF(Inputs!C94=0,0,(Q10*Inputs!C94)/(1-Inputs!C98))</f>
        <v>0</v>
      </c>
      <c r="R12" s="112">
        <f>IF(Inputs!C94=0,0,(R10*Inputs!C94)/(1-Inputs!C98))</f>
        <v>0</v>
      </c>
      <c r="S12" s="112">
        <f>IF(Inputs!C94=0,0,(S10*Inputs!C94)/(1-Inputs!C98))</f>
        <v>0</v>
      </c>
      <c r="T12" s="112">
        <f>IF(Inputs!C94=0,0,(T10*Inputs!C94)/(1-Inputs!C98))</f>
        <v>0</v>
      </c>
      <c r="U12" s="112">
        <f>IF(Inputs!C94=0,0,(U10*Inputs!C94)/(1-Inputs!C98))</f>
        <v>0</v>
      </c>
      <c r="V12" s="112">
        <f>IF(Inputs!C94=0,0,(V10*Inputs!C94)/(1-Inputs!C98))</f>
        <v>0</v>
      </c>
      <c r="W12" s="112">
        <f>IF(Inputs!C94=0,0,(W10*Inputs!C94)/(1-Inputs!C98))</f>
        <v>0</v>
      </c>
      <c r="X12" s="112">
        <f>IF(Inputs!C94=0,0,(X10*Inputs!C94)/(1-Inputs!C98))</f>
        <v>0</v>
      </c>
      <c r="Y12" s="112">
        <f>IF(Inputs!C94=0,0,(Y10*Inputs!C94)/(1-Inputs!C98))</f>
        <v>0</v>
      </c>
      <c r="Z12" s="112">
        <f>IF(Inputs!C94=0,0,(Z10*Inputs!C94)/(1-Inputs!C98))</f>
        <v>0</v>
      </c>
      <c r="AA12" s="112">
        <f>IF(Inputs!C94=0,0,(AA10*Inputs!C94)/(1-Inputs!C98))</f>
        <v>0</v>
      </c>
      <c r="AB12" s="112">
        <f>IF(Inputs!C94=0,0,(AB10*Inputs!C94)/(1-Inputs!C98))</f>
        <v>0</v>
      </c>
      <c r="AC12" s="112">
        <f>IF(Inputs!C94=0,0,(AC10*Inputs!C94)/(1-Inputs!C98))</f>
        <v>0</v>
      </c>
      <c r="AD12" s="112">
        <f>IF(Inputs!C94=0,0,(AD10*Inputs!C94)/(1-Inputs!C98))</f>
        <v>0</v>
      </c>
      <c r="AE12" s="112">
        <f>IF(Inputs!C94=0,0,(AE10*Inputs!C94)/(1-Inputs!C98))</f>
        <v>0</v>
      </c>
      <c r="AF12" s="112">
        <f>IF(Inputs!C94=0,0,(AF10*Inputs!C94)/(1-Inputs!C98))</f>
        <v>0</v>
      </c>
      <c r="AG12" s="112">
        <f>IF(Inputs!C94=0,0,(AG10*Inputs!C94)/(1-Inputs!C98))</f>
        <v>0</v>
      </c>
      <c r="AH12" s="112">
        <f>IF(Inputs!C94=0,0,(AH10*Inputs!C94)/(1-Inputs!C98))</f>
        <v>0</v>
      </c>
      <c r="AI12" s="112">
        <f>IF(Inputs!C94=0,0,(AI10*Inputs!C94)/(1-Inputs!C98))</f>
        <v>0</v>
      </c>
      <c r="AJ12" s="112">
        <f>IF(Inputs!C94=0,0,(AJ10*Inputs!C94)/(1-Inputs!C98))</f>
        <v>0</v>
      </c>
      <c r="AK12" s="112">
        <f>IF(Inputs!C94=0,0,(AK10*Inputs!C94)/(1-Inputs!C98))</f>
        <v>0</v>
      </c>
      <c r="AL12" s="112">
        <f>IF(Inputs!C94=0,0,(AL10*Inputs!C94)/(1-Inputs!C98))</f>
        <v>0</v>
      </c>
      <c r="AM12" s="113">
        <f>IF(Inputs!C94=0,0,(AM10*Inputs!C94)/(1-Inputs!C98))</f>
        <v>0</v>
      </c>
    </row>
    <row r="13" spans="1:39">
      <c r="A13" s="26" t="s">
        <v>322</v>
      </c>
      <c r="B13" t="s">
        <v>221</v>
      </c>
      <c r="C13" s="27" t="s">
        <v>529</v>
      </c>
      <c r="D13" s="111">
        <f>D12*Inputs!C98</f>
        <v>0</v>
      </c>
      <c r="E13" s="112">
        <f>E12*Inputs!C98</f>
        <v>0</v>
      </c>
      <c r="F13" s="112">
        <f>F12*Inputs!C98</f>
        <v>0</v>
      </c>
      <c r="G13" s="112">
        <f>G12*Inputs!C98</f>
        <v>0</v>
      </c>
      <c r="H13" s="112">
        <f>H12*Inputs!C98</f>
        <v>0</v>
      </c>
      <c r="I13" s="112">
        <f>I12*Inputs!C98</f>
        <v>0</v>
      </c>
      <c r="J13" s="112">
        <f>J12*Inputs!C98</f>
        <v>0</v>
      </c>
      <c r="K13" s="112">
        <f>K12*Inputs!C98</f>
        <v>0</v>
      </c>
      <c r="L13" s="112">
        <f>L12*Inputs!C98</f>
        <v>0</v>
      </c>
      <c r="M13" s="112">
        <f>M12*Inputs!C98</f>
        <v>0</v>
      </c>
      <c r="N13" s="112">
        <f>N12*Inputs!C98</f>
        <v>0</v>
      </c>
      <c r="O13" s="112">
        <f>O12*Inputs!C98</f>
        <v>0</v>
      </c>
      <c r="P13" s="112">
        <f>P12*Inputs!C98</f>
        <v>0</v>
      </c>
      <c r="Q13" s="112">
        <f>Q12*Inputs!C98</f>
        <v>0</v>
      </c>
      <c r="R13" s="112">
        <f>R12*Inputs!C98</f>
        <v>0</v>
      </c>
      <c r="S13" s="112">
        <f>S12*Inputs!C98</f>
        <v>0</v>
      </c>
      <c r="T13" s="112">
        <f>T12*Inputs!C98</f>
        <v>0</v>
      </c>
      <c r="U13" s="112">
        <f>U12*Inputs!C98</f>
        <v>0</v>
      </c>
      <c r="V13" s="112">
        <f>V12*Inputs!C98</f>
        <v>0</v>
      </c>
      <c r="W13" s="112">
        <f>W12*Inputs!C98</f>
        <v>0</v>
      </c>
      <c r="X13" s="112">
        <f>X12*Inputs!C98</f>
        <v>0</v>
      </c>
      <c r="Y13" s="112">
        <f>Y12*Inputs!C98</f>
        <v>0</v>
      </c>
      <c r="Z13" s="112">
        <f>Z12*Inputs!C98</f>
        <v>0</v>
      </c>
      <c r="AA13" s="112">
        <f>AA12*Inputs!C98</f>
        <v>0</v>
      </c>
      <c r="AB13" s="112">
        <f>AB12*Inputs!C98</f>
        <v>0</v>
      </c>
      <c r="AC13" s="112">
        <f>AC12*Inputs!C98</f>
        <v>0</v>
      </c>
      <c r="AD13" s="112">
        <f>AD12*Inputs!C98</f>
        <v>0</v>
      </c>
      <c r="AE13" s="112">
        <f>AE12*Inputs!C98</f>
        <v>0</v>
      </c>
      <c r="AF13" s="112">
        <f>AF12*Inputs!C98</f>
        <v>0</v>
      </c>
      <c r="AG13" s="112">
        <f>AG12*Inputs!C98</f>
        <v>0</v>
      </c>
      <c r="AH13" s="112">
        <f>AH12*Inputs!C98</f>
        <v>0</v>
      </c>
      <c r="AI13" s="112">
        <f>AI12*Inputs!C98</f>
        <v>0</v>
      </c>
      <c r="AJ13" s="112">
        <f>AJ12*Inputs!C98</f>
        <v>0</v>
      </c>
      <c r="AK13" s="112">
        <f>AK12*Inputs!C98</f>
        <v>0</v>
      </c>
      <c r="AL13" s="112">
        <f>AL12*Inputs!C98</f>
        <v>0</v>
      </c>
      <c r="AM13" s="113">
        <f>AM12*Inputs!C98</f>
        <v>0</v>
      </c>
    </row>
    <row r="14" spans="1:39">
      <c r="A14" s="34" t="s">
        <v>530</v>
      </c>
      <c r="B14" s="35" t="s">
        <v>221</v>
      </c>
      <c r="C14" s="36" t="s">
        <v>531</v>
      </c>
      <c r="D14" s="117">
        <f t="shared" ref="D14:AM14" si="1">D11+D12-D13</f>
        <v>45956.336565104997</v>
      </c>
      <c r="E14" s="118">
        <f t="shared" si="1"/>
        <v>64821.844798899998</v>
      </c>
      <c r="F14" s="118">
        <f t="shared" si="1"/>
        <v>116872.39988994895</v>
      </c>
      <c r="G14" s="118">
        <f t="shared" si="1"/>
        <v>114536.19490869239</v>
      </c>
      <c r="H14" s="118">
        <f t="shared" si="1"/>
        <v>90423.490068414467</v>
      </c>
      <c r="I14" s="118">
        <f t="shared" si="1"/>
        <v>38277.985198829279</v>
      </c>
      <c r="J14" s="118">
        <f t="shared" si="1"/>
        <v>0</v>
      </c>
      <c r="K14" s="118">
        <f t="shared" si="1"/>
        <v>0</v>
      </c>
      <c r="L14" s="118">
        <f t="shared" si="1"/>
        <v>0</v>
      </c>
      <c r="M14" s="118">
        <f t="shared" si="1"/>
        <v>0</v>
      </c>
      <c r="N14" s="118">
        <f t="shared" si="1"/>
        <v>0</v>
      </c>
      <c r="O14" s="118">
        <f t="shared" si="1"/>
        <v>0</v>
      </c>
      <c r="P14" s="118">
        <f t="shared" si="1"/>
        <v>0</v>
      </c>
      <c r="Q14" s="118">
        <f t="shared" si="1"/>
        <v>0</v>
      </c>
      <c r="R14" s="118">
        <f t="shared" si="1"/>
        <v>0</v>
      </c>
      <c r="S14" s="118">
        <f t="shared" si="1"/>
        <v>0</v>
      </c>
      <c r="T14" s="118">
        <f t="shared" si="1"/>
        <v>0</v>
      </c>
      <c r="U14" s="118">
        <f t="shared" si="1"/>
        <v>0</v>
      </c>
      <c r="V14" s="118">
        <f t="shared" si="1"/>
        <v>0</v>
      </c>
      <c r="W14" s="118">
        <f t="shared" si="1"/>
        <v>0</v>
      </c>
      <c r="X14" s="118">
        <f t="shared" si="1"/>
        <v>0</v>
      </c>
      <c r="Y14" s="118">
        <f t="shared" si="1"/>
        <v>0</v>
      </c>
      <c r="Z14" s="118">
        <f t="shared" si="1"/>
        <v>0</v>
      </c>
      <c r="AA14" s="118">
        <f t="shared" si="1"/>
        <v>0</v>
      </c>
      <c r="AB14" s="118">
        <f t="shared" si="1"/>
        <v>0</v>
      </c>
      <c r="AC14" s="118">
        <f t="shared" si="1"/>
        <v>0</v>
      </c>
      <c r="AD14" s="118">
        <f t="shared" si="1"/>
        <v>0</v>
      </c>
      <c r="AE14" s="118">
        <f t="shared" si="1"/>
        <v>0</v>
      </c>
      <c r="AF14" s="118">
        <f t="shared" si="1"/>
        <v>0</v>
      </c>
      <c r="AG14" s="118">
        <f t="shared" si="1"/>
        <v>0</v>
      </c>
      <c r="AH14" s="118">
        <f t="shared" si="1"/>
        <v>0</v>
      </c>
      <c r="AI14" s="118">
        <f t="shared" si="1"/>
        <v>0</v>
      </c>
      <c r="AJ14" s="118">
        <f t="shared" si="1"/>
        <v>0</v>
      </c>
      <c r="AK14" s="118">
        <f t="shared" si="1"/>
        <v>0</v>
      </c>
      <c r="AL14" s="118">
        <f t="shared" si="1"/>
        <v>0</v>
      </c>
      <c r="AM14" s="119">
        <f t="shared" si="1"/>
        <v>0</v>
      </c>
    </row>
    <row r="15" spans="1:39">
      <c r="A15" s="34" t="s">
        <v>532</v>
      </c>
      <c r="B15" s="35" t="s">
        <v>221</v>
      </c>
      <c r="C15" s="36" t="s">
        <v>533</v>
      </c>
      <c r="D15" s="117">
        <f t="shared" ref="D15:AM15" si="2">D8+D9+D14</f>
        <v>0</v>
      </c>
      <c r="E15" s="118">
        <f t="shared" si="2"/>
        <v>0</v>
      </c>
      <c r="F15" s="118">
        <f t="shared" si="2"/>
        <v>0</v>
      </c>
      <c r="G15" s="118">
        <f t="shared" si="2"/>
        <v>0</v>
      </c>
      <c r="H15" s="118">
        <f t="shared" si="2"/>
        <v>0</v>
      </c>
      <c r="I15" s="118">
        <f t="shared" si="2"/>
        <v>0</v>
      </c>
      <c r="J15" s="118">
        <f t="shared" si="2"/>
        <v>13432.378082050847</v>
      </c>
      <c r="K15" s="118">
        <f t="shared" si="2"/>
        <v>29503.851399483981</v>
      </c>
      <c r="L15" s="118">
        <f t="shared" si="2"/>
        <v>47610.256432389739</v>
      </c>
      <c r="M15" s="118">
        <f t="shared" si="2"/>
        <v>65187.03266841633</v>
      </c>
      <c r="N15" s="118">
        <f t="shared" si="2"/>
        <v>83528.441564576118</v>
      </c>
      <c r="O15" s="118">
        <f t="shared" si="2"/>
        <v>101333.48490279188</v>
      </c>
      <c r="P15" s="118">
        <f t="shared" si="2"/>
        <v>120418.35768356842</v>
      </c>
      <c r="Q15" s="118">
        <f t="shared" si="2"/>
        <v>139622.2655342767</v>
      </c>
      <c r="R15" s="118">
        <f t="shared" si="2"/>
        <v>158260.49864009474</v>
      </c>
      <c r="S15" s="118">
        <f t="shared" si="2"/>
        <v>177703.80355290469</v>
      </c>
      <c r="T15" s="118">
        <f t="shared" si="2"/>
        <v>196574.57102169821</v>
      </c>
      <c r="U15" s="118">
        <f t="shared" si="2"/>
        <v>216259.05318640929</v>
      </c>
      <c r="V15" s="118">
        <f t="shared" si="2"/>
        <v>236064.79568120232</v>
      </c>
      <c r="W15" s="118">
        <f t="shared" si="2"/>
        <v>254582.97323433205</v>
      </c>
      <c r="X15" s="118">
        <f t="shared" si="2"/>
        <v>274632.5881172184</v>
      </c>
      <c r="Y15" s="118">
        <f t="shared" si="2"/>
        <v>294092.28471245838</v>
      </c>
      <c r="Z15" s="118">
        <f t="shared" si="2"/>
        <v>314387.58545238303</v>
      </c>
      <c r="AA15" s="118">
        <f t="shared" si="2"/>
        <v>334085.92492718442</v>
      </c>
      <c r="AB15" s="118">
        <f t="shared" si="2"/>
        <v>355131.1661032993</v>
      </c>
      <c r="AC15" s="118">
        <f t="shared" si="2"/>
        <v>376300.85303434281</v>
      </c>
      <c r="AD15" s="118">
        <f t="shared" si="2"/>
        <v>396843.80591391015</v>
      </c>
      <c r="AE15" s="118">
        <f t="shared" si="2"/>
        <v>418263.77159169631</v>
      </c>
      <c r="AF15" s="118">
        <f t="shared" si="2"/>
        <v>439049.82857801073</v>
      </c>
      <c r="AG15" s="118">
        <f t="shared" si="2"/>
        <v>460721.93411005713</v>
      </c>
      <c r="AH15" s="118">
        <f t="shared" si="2"/>
        <v>482520.81180537108</v>
      </c>
      <c r="AI15" s="118">
        <f t="shared" si="2"/>
        <v>502130.8917959127</v>
      </c>
      <c r="AJ15" s="118">
        <f t="shared" si="2"/>
        <v>524184.72698786965</v>
      </c>
      <c r="AK15" s="118">
        <f t="shared" si="2"/>
        <v>545586.48260637815</v>
      </c>
      <c r="AL15" s="118">
        <f t="shared" si="2"/>
        <v>567897.17119432974</v>
      </c>
      <c r="AM15" s="119">
        <f t="shared" si="2"/>
        <v>589548.417096016</v>
      </c>
    </row>
    <row r="16" spans="1:39">
      <c r="A16" s="26" t="s">
        <v>534</v>
      </c>
      <c r="B16" t="s">
        <v>221</v>
      </c>
      <c r="C16" s="27" t="s">
        <v>535</v>
      </c>
      <c r="D16" s="111">
        <f>D9</f>
        <v>-45956.336565104997</v>
      </c>
      <c r="E16" s="112">
        <f t="shared" ref="E16:AM16" si="3">D16+E9</f>
        <v>-110778.18136400499</v>
      </c>
      <c r="F16" s="112">
        <f t="shared" si="3"/>
        <v>-227650.58125395395</v>
      </c>
      <c r="G16" s="112">
        <f t="shared" si="3"/>
        <v>-342186.77616264636</v>
      </c>
      <c r="H16" s="112">
        <f t="shared" si="3"/>
        <v>-432610.26623106084</v>
      </c>
      <c r="I16" s="112">
        <f t="shared" si="3"/>
        <v>-470888.25142989011</v>
      </c>
      <c r="J16" s="112">
        <f t="shared" si="3"/>
        <v>-457455.87334783928</v>
      </c>
      <c r="K16" s="112">
        <f t="shared" si="3"/>
        <v>-441384.40003040613</v>
      </c>
      <c r="L16" s="112">
        <f t="shared" si="3"/>
        <v>-423277.99499750038</v>
      </c>
      <c r="M16" s="112">
        <f t="shared" si="3"/>
        <v>-405701.21876147378</v>
      </c>
      <c r="N16" s="112">
        <f t="shared" si="3"/>
        <v>-387359.80986531399</v>
      </c>
      <c r="O16" s="112">
        <f t="shared" si="3"/>
        <v>-369554.7665270982</v>
      </c>
      <c r="P16" s="112">
        <f t="shared" si="3"/>
        <v>-350469.89374632167</v>
      </c>
      <c r="Q16" s="112">
        <f t="shared" si="3"/>
        <v>-331265.98589561338</v>
      </c>
      <c r="R16" s="112">
        <f t="shared" si="3"/>
        <v>-312627.75278979534</v>
      </c>
      <c r="S16" s="112">
        <f t="shared" si="3"/>
        <v>-293184.44787698542</v>
      </c>
      <c r="T16" s="112">
        <f t="shared" si="3"/>
        <v>-274313.68040819193</v>
      </c>
      <c r="U16" s="112">
        <f t="shared" si="3"/>
        <v>-254629.19824348087</v>
      </c>
      <c r="V16" s="112">
        <f t="shared" si="3"/>
        <v>-234823.45574868785</v>
      </c>
      <c r="W16" s="112">
        <f t="shared" si="3"/>
        <v>-216305.27819555812</v>
      </c>
      <c r="X16" s="112">
        <f t="shared" si="3"/>
        <v>-196255.66331267176</v>
      </c>
      <c r="Y16" s="112">
        <f t="shared" si="3"/>
        <v>-176795.96671743182</v>
      </c>
      <c r="Z16" s="112">
        <f t="shared" si="3"/>
        <v>-156500.66597750716</v>
      </c>
      <c r="AA16" s="112">
        <f t="shared" si="3"/>
        <v>-136802.32650270581</v>
      </c>
      <c r="AB16" s="112">
        <f t="shared" si="3"/>
        <v>-115757.08532659092</v>
      </c>
      <c r="AC16" s="112">
        <f t="shared" si="3"/>
        <v>-94587.39839554741</v>
      </c>
      <c r="AD16" s="112">
        <f t="shared" si="3"/>
        <v>-74044.445515980042</v>
      </c>
      <c r="AE16" s="112">
        <f t="shared" si="3"/>
        <v>-52624.47983819386</v>
      </c>
      <c r="AF16" s="112">
        <f t="shared" si="3"/>
        <v>-31838.422851879419</v>
      </c>
      <c r="AG16" s="112">
        <f t="shared" si="3"/>
        <v>-10166.31731983299</v>
      </c>
      <c r="AH16" s="112">
        <f t="shared" si="3"/>
        <v>11632.560375480964</v>
      </c>
      <c r="AI16" s="112">
        <f t="shared" si="3"/>
        <v>31242.640366022591</v>
      </c>
      <c r="AJ16" s="112">
        <f t="shared" si="3"/>
        <v>53296.475557979538</v>
      </c>
      <c r="AK16" s="112">
        <f t="shared" si="3"/>
        <v>74698.231176487985</v>
      </c>
      <c r="AL16" s="112">
        <f t="shared" si="3"/>
        <v>97008.919764439546</v>
      </c>
      <c r="AM16" s="113">
        <f t="shared" si="3"/>
        <v>118660.16566612583</v>
      </c>
    </row>
    <row r="17" spans="1:39">
      <c r="A17" s="34" t="s">
        <v>7</v>
      </c>
      <c r="B17" s="35" t="s">
        <v>221</v>
      </c>
      <c r="C17" s="36" t="s">
        <v>536</v>
      </c>
      <c r="D17" s="117">
        <f>MAX(0,-D16)</f>
        <v>45956.336565104997</v>
      </c>
      <c r="E17" s="118">
        <f t="shared" ref="E17:AM17" si="4">MAX(D17,-E16)</f>
        <v>110778.18136400499</v>
      </c>
      <c r="F17" s="118">
        <f t="shared" si="4"/>
        <v>227650.58125395395</v>
      </c>
      <c r="G17" s="118">
        <f t="shared" si="4"/>
        <v>342186.77616264636</v>
      </c>
      <c r="H17" s="118">
        <f t="shared" si="4"/>
        <v>432610.26623106084</v>
      </c>
      <c r="I17" s="118">
        <f t="shared" si="4"/>
        <v>470888.25142989011</v>
      </c>
      <c r="J17" s="118">
        <f t="shared" si="4"/>
        <v>470888.25142989011</v>
      </c>
      <c r="K17" s="118">
        <f t="shared" si="4"/>
        <v>470888.25142989011</v>
      </c>
      <c r="L17" s="118">
        <f t="shared" si="4"/>
        <v>470888.25142989011</v>
      </c>
      <c r="M17" s="118">
        <f t="shared" si="4"/>
        <v>470888.25142989011</v>
      </c>
      <c r="N17" s="118">
        <f t="shared" si="4"/>
        <v>470888.25142989011</v>
      </c>
      <c r="O17" s="118">
        <f t="shared" si="4"/>
        <v>470888.25142989011</v>
      </c>
      <c r="P17" s="118">
        <f t="shared" si="4"/>
        <v>470888.25142989011</v>
      </c>
      <c r="Q17" s="118">
        <f t="shared" si="4"/>
        <v>470888.25142989011</v>
      </c>
      <c r="R17" s="118">
        <f t="shared" si="4"/>
        <v>470888.25142989011</v>
      </c>
      <c r="S17" s="118">
        <f t="shared" si="4"/>
        <v>470888.25142989011</v>
      </c>
      <c r="T17" s="118">
        <f t="shared" si="4"/>
        <v>470888.25142989011</v>
      </c>
      <c r="U17" s="118">
        <f t="shared" si="4"/>
        <v>470888.25142989011</v>
      </c>
      <c r="V17" s="118">
        <f t="shared" si="4"/>
        <v>470888.25142989011</v>
      </c>
      <c r="W17" s="118">
        <f t="shared" si="4"/>
        <v>470888.25142989011</v>
      </c>
      <c r="X17" s="118">
        <f t="shared" si="4"/>
        <v>470888.25142989011</v>
      </c>
      <c r="Y17" s="118">
        <f t="shared" si="4"/>
        <v>470888.25142989011</v>
      </c>
      <c r="Z17" s="118">
        <f t="shared" si="4"/>
        <v>470888.25142989011</v>
      </c>
      <c r="AA17" s="118">
        <f t="shared" si="4"/>
        <v>470888.25142989011</v>
      </c>
      <c r="AB17" s="118">
        <f t="shared" si="4"/>
        <v>470888.25142989011</v>
      </c>
      <c r="AC17" s="118">
        <f t="shared" si="4"/>
        <v>470888.25142989011</v>
      </c>
      <c r="AD17" s="118">
        <f t="shared" si="4"/>
        <v>470888.25142989011</v>
      </c>
      <c r="AE17" s="118">
        <f t="shared" si="4"/>
        <v>470888.25142989011</v>
      </c>
      <c r="AF17" s="118">
        <f t="shared" si="4"/>
        <v>470888.25142989011</v>
      </c>
      <c r="AG17" s="118">
        <f t="shared" si="4"/>
        <v>470888.25142989011</v>
      </c>
      <c r="AH17" s="118">
        <f t="shared" si="4"/>
        <v>470888.25142989011</v>
      </c>
      <c r="AI17" s="118">
        <f t="shared" si="4"/>
        <v>470888.25142989011</v>
      </c>
      <c r="AJ17" s="118">
        <f t="shared" si="4"/>
        <v>470888.25142989011</v>
      </c>
      <c r="AK17" s="118">
        <f t="shared" si="4"/>
        <v>470888.25142989011</v>
      </c>
      <c r="AL17" s="118">
        <f t="shared" si="4"/>
        <v>470888.25142989011</v>
      </c>
      <c r="AM17" s="119">
        <f t="shared" si="4"/>
        <v>470888.25142989011</v>
      </c>
    </row>
    <row r="18" spans="1:39">
      <c r="A18" s="34" t="s">
        <v>537</v>
      </c>
      <c r="B18" s="35" t="s">
        <v>221</v>
      </c>
      <c r="C18" s="36" t="s">
        <v>516</v>
      </c>
      <c r="D18" s="117">
        <f>D11</f>
        <v>45956.336565104997</v>
      </c>
      <c r="E18" s="118">
        <f t="shared" ref="E18:AM18" si="5">D18+E11</f>
        <v>110778.18136400499</v>
      </c>
      <c r="F18" s="118">
        <f t="shared" si="5"/>
        <v>227650.58125395395</v>
      </c>
      <c r="G18" s="118">
        <f t="shared" si="5"/>
        <v>342186.77616264636</v>
      </c>
      <c r="H18" s="118">
        <f t="shared" si="5"/>
        <v>432610.26623106084</v>
      </c>
      <c r="I18" s="118">
        <f t="shared" si="5"/>
        <v>470888.25142989011</v>
      </c>
      <c r="J18" s="118">
        <f t="shared" si="5"/>
        <v>470888.25142989011</v>
      </c>
      <c r="K18" s="118">
        <f t="shared" si="5"/>
        <v>470888.25142989011</v>
      </c>
      <c r="L18" s="118">
        <f t="shared" si="5"/>
        <v>470888.25142989011</v>
      </c>
      <c r="M18" s="118">
        <f t="shared" si="5"/>
        <v>470888.25142989011</v>
      </c>
      <c r="N18" s="118">
        <f t="shared" si="5"/>
        <v>470888.25142989011</v>
      </c>
      <c r="O18" s="118">
        <f t="shared" si="5"/>
        <v>470888.25142989011</v>
      </c>
      <c r="P18" s="118">
        <f t="shared" si="5"/>
        <v>470888.25142989011</v>
      </c>
      <c r="Q18" s="118">
        <f t="shared" si="5"/>
        <v>470888.25142989011</v>
      </c>
      <c r="R18" s="118">
        <f t="shared" si="5"/>
        <v>470888.25142989011</v>
      </c>
      <c r="S18" s="118">
        <f t="shared" si="5"/>
        <v>470888.25142989011</v>
      </c>
      <c r="T18" s="118">
        <f t="shared" si="5"/>
        <v>470888.25142989011</v>
      </c>
      <c r="U18" s="118">
        <f t="shared" si="5"/>
        <v>470888.25142989011</v>
      </c>
      <c r="V18" s="118">
        <f t="shared" si="5"/>
        <v>470888.25142989011</v>
      </c>
      <c r="W18" s="118">
        <f t="shared" si="5"/>
        <v>470888.25142989011</v>
      </c>
      <c r="X18" s="118">
        <f t="shared" si="5"/>
        <v>470888.25142989011</v>
      </c>
      <c r="Y18" s="118">
        <f t="shared" si="5"/>
        <v>470888.25142989011</v>
      </c>
      <c r="Z18" s="118">
        <f t="shared" si="5"/>
        <v>470888.25142989011</v>
      </c>
      <c r="AA18" s="118">
        <f t="shared" si="5"/>
        <v>470888.25142989011</v>
      </c>
      <c r="AB18" s="118">
        <f t="shared" si="5"/>
        <v>470888.25142989011</v>
      </c>
      <c r="AC18" s="118">
        <f t="shared" si="5"/>
        <v>470888.25142989011</v>
      </c>
      <c r="AD18" s="118">
        <f t="shared" si="5"/>
        <v>470888.25142989011</v>
      </c>
      <c r="AE18" s="118">
        <f t="shared" si="5"/>
        <v>470888.25142989011</v>
      </c>
      <c r="AF18" s="118">
        <f t="shared" si="5"/>
        <v>470888.25142989011</v>
      </c>
      <c r="AG18" s="118">
        <f t="shared" si="5"/>
        <v>470888.25142989011</v>
      </c>
      <c r="AH18" s="118">
        <f t="shared" si="5"/>
        <v>470888.25142989011</v>
      </c>
      <c r="AI18" s="118">
        <f t="shared" si="5"/>
        <v>470888.25142989011</v>
      </c>
      <c r="AJ18" s="118">
        <f t="shared" si="5"/>
        <v>470888.25142989011</v>
      </c>
      <c r="AK18" s="118">
        <f t="shared" si="5"/>
        <v>470888.25142989011</v>
      </c>
      <c r="AL18" s="118">
        <f t="shared" si="5"/>
        <v>470888.25142989011</v>
      </c>
      <c r="AM18" s="119">
        <f t="shared" si="5"/>
        <v>470888.25142989011</v>
      </c>
    </row>
    <row r="19" spans="1:39">
      <c r="A19" s="37" t="s">
        <v>538</v>
      </c>
      <c r="B19" s="38" t="s">
        <v>221</v>
      </c>
      <c r="C19" s="39" t="s">
        <v>516</v>
      </c>
      <c r="D19" s="120">
        <f>D12</f>
        <v>0</v>
      </c>
      <c r="E19" s="121">
        <f t="shared" ref="E19:AM19" si="6">D19+E12</f>
        <v>0</v>
      </c>
      <c r="F19" s="121">
        <f t="shared" si="6"/>
        <v>0</v>
      </c>
      <c r="G19" s="121">
        <f t="shared" si="6"/>
        <v>0</v>
      </c>
      <c r="H19" s="121">
        <f t="shared" si="6"/>
        <v>0</v>
      </c>
      <c r="I19" s="121">
        <f t="shared" si="6"/>
        <v>0</v>
      </c>
      <c r="J19" s="121">
        <f t="shared" si="6"/>
        <v>0</v>
      </c>
      <c r="K19" s="121">
        <f t="shared" si="6"/>
        <v>0</v>
      </c>
      <c r="L19" s="121">
        <f t="shared" si="6"/>
        <v>0</v>
      </c>
      <c r="M19" s="121">
        <f t="shared" si="6"/>
        <v>0</v>
      </c>
      <c r="N19" s="121">
        <f t="shared" si="6"/>
        <v>0</v>
      </c>
      <c r="O19" s="121">
        <f t="shared" si="6"/>
        <v>0</v>
      </c>
      <c r="P19" s="121">
        <f t="shared" si="6"/>
        <v>0</v>
      </c>
      <c r="Q19" s="121">
        <f t="shared" si="6"/>
        <v>0</v>
      </c>
      <c r="R19" s="121">
        <f t="shared" si="6"/>
        <v>0</v>
      </c>
      <c r="S19" s="121">
        <f t="shared" si="6"/>
        <v>0</v>
      </c>
      <c r="T19" s="121">
        <f t="shared" si="6"/>
        <v>0</v>
      </c>
      <c r="U19" s="121">
        <f t="shared" si="6"/>
        <v>0</v>
      </c>
      <c r="V19" s="121">
        <f t="shared" si="6"/>
        <v>0</v>
      </c>
      <c r="W19" s="121">
        <f t="shared" si="6"/>
        <v>0</v>
      </c>
      <c r="X19" s="121">
        <f t="shared" si="6"/>
        <v>0</v>
      </c>
      <c r="Y19" s="121">
        <f t="shared" si="6"/>
        <v>0</v>
      </c>
      <c r="Z19" s="121">
        <f t="shared" si="6"/>
        <v>0</v>
      </c>
      <c r="AA19" s="121">
        <f t="shared" si="6"/>
        <v>0</v>
      </c>
      <c r="AB19" s="121">
        <f t="shared" si="6"/>
        <v>0</v>
      </c>
      <c r="AC19" s="121">
        <f t="shared" si="6"/>
        <v>0</v>
      </c>
      <c r="AD19" s="121">
        <f t="shared" si="6"/>
        <v>0</v>
      </c>
      <c r="AE19" s="121">
        <f t="shared" si="6"/>
        <v>0</v>
      </c>
      <c r="AF19" s="121">
        <f t="shared" si="6"/>
        <v>0</v>
      </c>
      <c r="AG19" s="121">
        <f t="shared" si="6"/>
        <v>0</v>
      </c>
      <c r="AH19" s="121">
        <f t="shared" si="6"/>
        <v>0</v>
      </c>
      <c r="AI19" s="121">
        <f t="shared" si="6"/>
        <v>0</v>
      </c>
      <c r="AJ19" s="121">
        <f t="shared" si="6"/>
        <v>0</v>
      </c>
      <c r="AK19" s="121">
        <f t="shared" si="6"/>
        <v>0</v>
      </c>
      <c r="AL19" s="121">
        <f t="shared" si="6"/>
        <v>0</v>
      </c>
      <c r="AM19" s="122">
        <f t="shared" si="6"/>
        <v>0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18"/>
  <sheetViews>
    <sheetView workbookViewId="0">
      <selection sqref="A1:H1"/>
    </sheetView>
  </sheetViews>
  <sheetFormatPr defaultRowHeight="13.8"/>
  <cols>
    <col min="1" max="1" width="30.69921875" customWidth="1"/>
    <col min="2" max="2" width="12.09765625" customWidth="1"/>
    <col min="3" max="3" width="29.296875" customWidth="1"/>
    <col min="4" max="63" width="9.59765625" customWidth="1"/>
  </cols>
  <sheetData>
    <row r="1" spans="1:63" ht="21">
      <c r="A1" s="225" t="s">
        <v>539</v>
      </c>
      <c r="B1" s="226"/>
      <c r="C1" s="227"/>
      <c r="D1" s="226"/>
      <c r="E1" s="226"/>
      <c r="F1" s="226"/>
      <c r="G1" s="226"/>
      <c r="H1" s="227"/>
    </row>
    <row r="2" spans="1:63">
      <c r="A2" s="228" t="s">
        <v>540</v>
      </c>
      <c r="B2" s="229"/>
      <c r="C2" s="230"/>
      <c r="D2" s="229"/>
      <c r="E2" s="229"/>
      <c r="F2" s="229"/>
      <c r="G2" s="229"/>
      <c r="H2" s="230"/>
    </row>
    <row r="3" spans="1:63">
      <c r="A3" s="48"/>
      <c r="B3" s="44"/>
      <c r="C3" s="49"/>
    </row>
    <row r="4" spans="1:63">
      <c r="A4" s="40" t="s">
        <v>17</v>
      </c>
      <c r="B4" s="41" t="s">
        <v>84</v>
      </c>
      <c r="C4" s="42" t="s">
        <v>118</v>
      </c>
      <c r="D4" s="40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>
      <c r="A5" s="48"/>
      <c r="B5" s="44"/>
      <c r="C5" s="49"/>
      <c r="D5" s="53">
        <f>Inputs!C5</f>
        <v>46204</v>
      </c>
      <c r="E5" s="17">
        <f t="shared" ref="E5:AJ5" si="0">EDATE(D5,1)</f>
        <v>46235</v>
      </c>
      <c r="F5" s="17">
        <f t="shared" si="0"/>
        <v>46266</v>
      </c>
      <c r="G5" s="17">
        <f t="shared" si="0"/>
        <v>46296</v>
      </c>
      <c r="H5" s="17">
        <f t="shared" si="0"/>
        <v>46327</v>
      </c>
      <c r="I5" s="17">
        <f t="shared" si="0"/>
        <v>46357</v>
      </c>
      <c r="J5" s="17">
        <f t="shared" si="0"/>
        <v>46388</v>
      </c>
      <c r="K5" s="17">
        <f t="shared" si="0"/>
        <v>46419</v>
      </c>
      <c r="L5" s="17">
        <f t="shared" si="0"/>
        <v>46447</v>
      </c>
      <c r="M5" s="17">
        <f t="shared" si="0"/>
        <v>46478</v>
      </c>
      <c r="N5" s="17">
        <f t="shared" si="0"/>
        <v>46508</v>
      </c>
      <c r="O5" s="17">
        <f t="shared" si="0"/>
        <v>46539</v>
      </c>
      <c r="P5" s="17">
        <f t="shared" si="0"/>
        <v>46569</v>
      </c>
      <c r="Q5" s="17">
        <f t="shared" si="0"/>
        <v>46600</v>
      </c>
      <c r="R5" s="17">
        <f t="shared" si="0"/>
        <v>46631</v>
      </c>
      <c r="S5" s="17">
        <f t="shared" si="0"/>
        <v>46661</v>
      </c>
      <c r="T5" s="17">
        <f t="shared" si="0"/>
        <v>46692</v>
      </c>
      <c r="U5" s="17">
        <f t="shared" si="0"/>
        <v>46722</v>
      </c>
      <c r="V5" s="17">
        <f t="shared" si="0"/>
        <v>46753</v>
      </c>
      <c r="W5" s="17">
        <f t="shared" si="0"/>
        <v>46784</v>
      </c>
      <c r="X5" s="17">
        <f t="shared" si="0"/>
        <v>46813</v>
      </c>
      <c r="Y5" s="17">
        <f t="shared" si="0"/>
        <v>46844</v>
      </c>
      <c r="Z5" s="17">
        <f t="shared" si="0"/>
        <v>46874</v>
      </c>
      <c r="AA5" s="17">
        <f t="shared" si="0"/>
        <v>46905</v>
      </c>
      <c r="AB5" s="17">
        <f t="shared" si="0"/>
        <v>46935</v>
      </c>
      <c r="AC5" s="17">
        <f t="shared" si="0"/>
        <v>46966</v>
      </c>
      <c r="AD5" s="17">
        <f t="shared" si="0"/>
        <v>46997</v>
      </c>
      <c r="AE5" s="17">
        <f t="shared" si="0"/>
        <v>47027</v>
      </c>
      <c r="AF5" s="17">
        <f t="shared" si="0"/>
        <v>47058</v>
      </c>
      <c r="AG5" s="17">
        <f t="shared" si="0"/>
        <v>47088</v>
      </c>
      <c r="AH5" s="17">
        <f t="shared" si="0"/>
        <v>47119</v>
      </c>
      <c r="AI5" s="17">
        <f t="shared" si="0"/>
        <v>47150</v>
      </c>
      <c r="AJ5" s="17">
        <f t="shared" si="0"/>
        <v>47178</v>
      </c>
      <c r="AK5" s="17">
        <f t="shared" ref="AK5:BK5" si="1">EDATE(AJ5,1)</f>
        <v>47209</v>
      </c>
      <c r="AL5" s="17">
        <f t="shared" si="1"/>
        <v>47239</v>
      </c>
      <c r="AM5" s="17">
        <f t="shared" si="1"/>
        <v>47270</v>
      </c>
      <c r="AN5" s="17">
        <f t="shared" si="1"/>
        <v>47300</v>
      </c>
      <c r="AO5" s="17">
        <f t="shared" si="1"/>
        <v>47331</v>
      </c>
      <c r="AP5" s="17">
        <f t="shared" si="1"/>
        <v>47362</v>
      </c>
      <c r="AQ5" s="17">
        <f t="shared" si="1"/>
        <v>47392</v>
      </c>
      <c r="AR5" s="17">
        <f t="shared" si="1"/>
        <v>47423</v>
      </c>
      <c r="AS5" s="17">
        <f t="shared" si="1"/>
        <v>47453</v>
      </c>
      <c r="AT5" s="17">
        <f t="shared" si="1"/>
        <v>47484</v>
      </c>
      <c r="AU5" s="17">
        <f t="shared" si="1"/>
        <v>47515</v>
      </c>
      <c r="AV5" s="17">
        <f t="shared" si="1"/>
        <v>47543</v>
      </c>
      <c r="AW5" s="17">
        <f t="shared" si="1"/>
        <v>47574</v>
      </c>
      <c r="AX5" s="17">
        <f t="shared" si="1"/>
        <v>47604</v>
      </c>
      <c r="AY5" s="17">
        <f t="shared" si="1"/>
        <v>47635</v>
      </c>
      <c r="AZ5" s="17">
        <f t="shared" si="1"/>
        <v>47665</v>
      </c>
      <c r="BA5" s="17">
        <f t="shared" si="1"/>
        <v>47696</v>
      </c>
      <c r="BB5" s="17">
        <f t="shared" si="1"/>
        <v>47727</v>
      </c>
      <c r="BC5" s="17">
        <f t="shared" si="1"/>
        <v>47757</v>
      </c>
      <c r="BD5" s="17">
        <f t="shared" si="1"/>
        <v>47788</v>
      </c>
      <c r="BE5" s="17">
        <f t="shared" si="1"/>
        <v>47818</v>
      </c>
      <c r="BF5" s="17">
        <f t="shared" si="1"/>
        <v>47849</v>
      </c>
      <c r="BG5" s="17">
        <f t="shared" si="1"/>
        <v>47880</v>
      </c>
      <c r="BH5" s="17">
        <f t="shared" si="1"/>
        <v>47908</v>
      </c>
      <c r="BI5" s="17">
        <f t="shared" si="1"/>
        <v>47939</v>
      </c>
      <c r="BJ5" s="17">
        <f t="shared" si="1"/>
        <v>47969</v>
      </c>
      <c r="BK5" s="54">
        <f t="shared" si="1"/>
        <v>48000</v>
      </c>
    </row>
    <row r="6" spans="1:63">
      <c r="A6" s="48"/>
      <c r="B6" s="44"/>
      <c r="C6" s="49"/>
      <c r="D6" s="55">
        <f t="shared" ref="D6:AI6" si="2">DAY(EOMONTH(D5,0))</f>
        <v>31</v>
      </c>
      <c r="E6" s="43">
        <f t="shared" si="2"/>
        <v>31</v>
      </c>
      <c r="F6" s="43">
        <f t="shared" si="2"/>
        <v>30</v>
      </c>
      <c r="G6" s="43">
        <f t="shared" si="2"/>
        <v>31</v>
      </c>
      <c r="H6" s="43">
        <f t="shared" si="2"/>
        <v>30</v>
      </c>
      <c r="I6" s="43">
        <f t="shared" si="2"/>
        <v>31</v>
      </c>
      <c r="J6" s="43">
        <f t="shared" si="2"/>
        <v>31</v>
      </c>
      <c r="K6" s="43">
        <f t="shared" si="2"/>
        <v>28</v>
      </c>
      <c r="L6" s="43">
        <f t="shared" si="2"/>
        <v>31</v>
      </c>
      <c r="M6" s="43">
        <f t="shared" si="2"/>
        <v>30</v>
      </c>
      <c r="N6" s="43">
        <f t="shared" si="2"/>
        <v>31</v>
      </c>
      <c r="O6" s="43">
        <f t="shared" si="2"/>
        <v>30</v>
      </c>
      <c r="P6" s="43">
        <f t="shared" si="2"/>
        <v>31</v>
      </c>
      <c r="Q6" s="43">
        <f t="shared" si="2"/>
        <v>31</v>
      </c>
      <c r="R6" s="43">
        <f t="shared" si="2"/>
        <v>30</v>
      </c>
      <c r="S6" s="43">
        <f t="shared" si="2"/>
        <v>31</v>
      </c>
      <c r="T6" s="43">
        <f t="shared" si="2"/>
        <v>30</v>
      </c>
      <c r="U6" s="43">
        <f t="shared" si="2"/>
        <v>31</v>
      </c>
      <c r="V6" s="43">
        <f t="shared" si="2"/>
        <v>31</v>
      </c>
      <c r="W6" s="43">
        <f t="shared" si="2"/>
        <v>29</v>
      </c>
      <c r="X6" s="43">
        <f t="shared" si="2"/>
        <v>31</v>
      </c>
      <c r="Y6" s="43">
        <f t="shared" si="2"/>
        <v>30</v>
      </c>
      <c r="Z6" s="43">
        <f t="shared" si="2"/>
        <v>31</v>
      </c>
      <c r="AA6" s="43">
        <f t="shared" si="2"/>
        <v>30</v>
      </c>
      <c r="AB6" s="43">
        <f t="shared" si="2"/>
        <v>31</v>
      </c>
      <c r="AC6" s="43">
        <f t="shared" si="2"/>
        <v>31</v>
      </c>
      <c r="AD6" s="43">
        <f t="shared" si="2"/>
        <v>30</v>
      </c>
      <c r="AE6" s="43">
        <f t="shared" si="2"/>
        <v>31</v>
      </c>
      <c r="AF6" s="43">
        <f t="shared" si="2"/>
        <v>30</v>
      </c>
      <c r="AG6" s="43">
        <f t="shared" si="2"/>
        <v>31</v>
      </c>
      <c r="AH6" s="43">
        <f t="shared" si="2"/>
        <v>31</v>
      </c>
      <c r="AI6" s="43">
        <f t="shared" si="2"/>
        <v>28</v>
      </c>
      <c r="AJ6" s="43">
        <f t="shared" ref="AJ6:BK6" si="3">DAY(EOMONTH(AJ5,0))</f>
        <v>31</v>
      </c>
      <c r="AK6" s="43">
        <f t="shared" si="3"/>
        <v>30</v>
      </c>
      <c r="AL6" s="43">
        <f t="shared" si="3"/>
        <v>31</v>
      </c>
      <c r="AM6" s="43">
        <f t="shared" si="3"/>
        <v>30</v>
      </c>
      <c r="AN6" s="43">
        <f t="shared" si="3"/>
        <v>31</v>
      </c>
      <c r="AO6" s="43">
        <f t="shared" si="3"/>
        <v>31</v>
      </c>
      <c r="AP6" s="43">
        <f t="shared" si="3"/>
        <v>30</v>
      </c>
      <c r="AQ6" s="43">
        <f t="shared" si="3"/>
        <v>31</v>
      </c>
      <c r="AR6" s="43">
        <f t="shared" si="3"/>
        <v>30</v>
      </c>
      <c r="AS6" s="43">
        <f t="shared" si="3"/>
        <v>31</v>
      </c>
      <c r="AT6" s="43">
        <f t="shared" si="3"/>
        <v>31</v>
      </c>
      <c r="AU6" s="43">
        <f t="shared" si="3"/>
        <v>28</v>
      </c>
      <c r="AV6" s="43">
        <f t="shared" si="3"/>
        <v>31</v>
      </c>
      <c r="AW6" s="43">
        <f t="shared" si="3"/>
        <v>30</v>
      </c>
      <c r="AX6" s="43">
        <f t="shared" si="3"/>
        <v>31</v>
      </c>
      <c r="AY6" s="43">
        <f t="shared" si="3"/>
        <v>30</v>
      </c>
      <c r="AZ6" s="43">
        <f t="shared" si="3"/>
        <v>31</v>
      </c>
      <c r="BA6" s="43">
        <f t="shared" si="3"/>
        <v>31</v>
      </c>
      <c r="BB6" s="43">
        <f t="shared" si="3"/>
        <v>30</v>
      </c>
      <c r="BC6" s="43">
        <f t="shared" si="3"/>
        <v>31</v>
      </c>
      <c r="BD6" s="43">
        <f t="shared" si="3"/>
        <v>30</v>
      </c>
      <c r="BE6" s="43">
        <f t="shared" si="3"/>
        <v>31</v>
      </c>
      <c r="BF6" s="43">
        <f t="shared" si="3"/>
        <v>31</v>
      </c>
      <c r="BG6" s="43">
        <f t="shared" si="3"/>
        <v>28</v>
      </c>
      <c r="BH6" s="43">
        <f t="shared" si="3"/>
        <v>31</v>
      </c>
      <c r="BI6" s="43">
        <f t="shared" si="3"/>
        <v>30</v>
      </c>
      <c r="BJ6" s="43">
        <f t="shared" si="3"/>
        <v>31</v>
      </c>
      <c r="BK6" s="56">
        <f t="shared" si="3"/>
        <v>30</v>
      </c>
    </row>
    <row r="7" spans="1:63">
      <c r="A7" s="48"/>
      <c r="B7" s="44"/>
      <c r="C7" s="49"/>
      <c r="D7" s="55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6"/>
    </row>
    <row r="8" spans="1:63" ht="27.6">
      <c r="A8" s="48" t="s">
        <v>541</v>
      </c>
      <c r="B8" s="44" t="s">
        <v>221</v>
      </c>
      <c r="C8" s="49" t="s">
        <v>542</v>
      </c>
      <c r="D8" s="57">
        <f>Funding_36M!D12</f>
        <v>0</v>
      </c>
      <c r="E8" s="45">
        <f>Funding_36M!E12</f>
        <v>0</v>
      </c>
      <c r="F8" s="45">
        <f>Funding_36M!F12</f>
        <v>0</v>
      </c>
      <c r="G8" s="45">
        <f>Funding_36M!G12</f>
        <v>0</v>
      </c>
      <c r="H8" s="45">
        <f>Funding_36M!H12</f>
        <v>0</v>
      </c>
      <c r="I8" s="45">
        <f>Funding_36M!I12</f>
        <v>0</v>
      </c>
      <c r="J8" s="45">
        <f>Funding_36M!J12</f>
        <v>0</v>
      </c>
      <c r="K8" s="45">
        <f>Funding_36M!K12</f>
        <v>0</v>
      </c>
      <c r="L8" s="45">
        <f>Funding_36M!L12</f>
        <v>0</v>
      </c>
      <c r="M8" s="45">
        <f>Funding_36M!M12</f>
        <v>0</v>
      </c>
      <c r="N8" s="45">
        <f>Funding_36M!N12</f>
        <v>0</v>
      </c>
      <c r="O8" s="45">
        <f>Funding_36M!O12</f>
        <v>0</v>
      </c>
      <c r="P8" s="45">
        <f>Funding_36M!P12</f>
        <v>0</v>
      </c>
      <c r="Q8" s="45">
        <f>Funding_36M!Q12</f>
        <v>0</v>
      </c>
      <c r="R8" s="45">
        <f>Funding_36M!R12</f>
        <v>0</v>
      </c>
      <c r="S8" s="45">
        <f>Funding_36M!S12</f>
        <v>0</v>
      </c>
      <c r="T8" s="45">
        <f>Funding_36M!T12</f>
        <v>0</v>
      </c>
      <c r="U8" s="45">
        <f>Funding_36M!U12</f>
        <v>0</v>
      </c>
      <c r="V8" s="45">
        <f>Funding_36M!V12</f>
        <v>0</v>
      </c>
      <c r="W8" s="45">
        <f>Funding_36M!W12</f>
        <v>0</v>
      </c>
      <c r="X8" s="45">
        <f>Funding_36M!X12</f>
        <v>0</v>
      </c>
      <c r="Y8" s="45">
        <f>Funding_36M!Y12</f>
        <v>0</v>
      </c>
      <c r="Z8" s="45">
        <f>Funding_36M!Z12</f>
        <v>0</v>
      </c>
      <c r="AA8" s="45">
        <f>Funding_36M!AA12</f>
        <v>0</v>
      </c>
      <c r="AB8" s="45">
        <f>Funding_36M!AB12</f>
        <v>0</v>
      </c>
      <c r="AC8" s="45">
        <f>Funding_36M!AC12</f>
        <v>0</v>
      </c>
      <c r="AD8" s="45">
        <f>Funding_36M!AD12</f>
        <v>0</v>
      </c>
      <c r="AE8" s="45">
        <f>Funding_36M!AE12</f>
        <v>0</v>
      </c>
      <c r="AF8" s="45">
        <f>Funding_36M!AF12</f>
        <v>0</v>
      </c>
      <c r="AG8" s="45">
        <f>Funding_36M!AG12</f>
        <v>0</v>
      </c>
      <c r="AH8" s="45">
        <f>Funding_36M!AH12</f>
        <v>0</v>
      </c>
      <c r="AI8" s="45">
        <f>Funding_36M!AI12</f>
        <v>0</v>
      </c>
      <c r="AJ8" s="45">
        <f>Funding_36M!AJ12</f>
        <v>0</v>
      </c>
      <c r="AK8" s="45">
        <f>Funding_36M!AK12</f>
        <v>0</v>
      </c>
      <c r="AL8" s="45">
        <f>Funding_36M!AL12</f>
        <v>0</v>
      </c>
      <c r="AM8" s="45">
        <f>Funding_36M!AM12</f>
        <v>0</v>
      </c>
      <c r="AN8" s="45">
        <f>0</f>
        <v>0</v>
      </c>
      <c r="AO8" s="45">
        <f>0</f>
        <v>0</v>
      </c>
      <c r="AP8" s="45">
        <f>0</f>
        <v>0</v>
      </c>
      <c r="AQ8" s="45">
        <f>0</f>
        <v>0</v>
      </c>
      <c r="AR8" s="45">
        <f>0</f>
        <v>0</v>
      </c>
      <c r="AS8" s="45">
        <f>0</f>
        <v>0</v>
      </c>
      <c r="AT8" s="45">
        <f>0</f>
        <v>0</v>
      </c>
      <c r="AU8" s="45">
        <f>0</f>
        <v>0</v>
      </c>
      <c r="AV8" s="45">
        <f>0</f>
        <v>0</v>
      </c>
      <c r="AW8" s="45">
        <f>0</f>
        <v>0</v>
      </c>
      <c r="AX8" s="45">
        <f>0</f>
        <v>0</v>
      </c>
      <c r="AY8" s="45">
        <f>0</f>
        <v>0</v>
      </c>
      <c r="AZ8" s="45">
        <f>0</f>
        <v>0</v>
      </c>
      <c r="BA8" s="45">
        <f>0</f>
        <v>0</v>
      </c>
      <c r="BB8" s="45">
        <f>0</f>
        <v>0</v>
      </c>
      <c r="BC8" s="45">
        <f>0</f>
        <v>0</v>
      </c>
      <c r="BD8" s="45">
        <f>0</f>
        <v>0</v>
      </c>
      <c r="BE8" s="45">
        <f>0</f>
        <v>0</v>
      </c>
      <c r="BF8" s="45">
        <f>0</f>
        <v>0</v>
      </c>
      <c r="BG8" s="45">
        <f>0</f>
        <v>0</v>
      </c>
      <c r="BH8" s="45">
        <f>0</f>
        <v>0</v>
      </c>
      <c r="BI8" s="45">
        <f>0</f>
        <v>0</v>
      </c>
      <c r="BJ8" s="45">
        <f>0</f>
        <v>0</v>
      </c>
      <c r="BK8" s="58">
        <f>0</f>
        <v>0</v>
      </c>
    </row>
    <row r="9" spans="1:63">
      <c r="A9" s="48" t="s">
        <v>543</v>
      </c>
      <c r="B9" s="44" t="s">
        <v>221</v>
      </c>
      <c r="C9" s="49" t="s">
        <v>544</v>
      </c>
      <c r="D9" s="59">
        <f>0</f>
        <v>0</v>
      </c>
      <c r="E9" s="46">
        <f t="shared" ref="E9:AJ9" si="4">D13</f>
        <v>0</v>
      </c>
      <c r="F9" s="46">
        <f t="shared" si="4"/>
        <v>0</v>
      </c>
      <c r="G9" s="46">
        <f t="shared" si="4"/>
        <v>0</v>
      </c>
      <c r="H9" s="46">
        <f t="shared" si="4"/>
        <v>0</v>
      </c>
      <c r="I9" s="46">
        <f t="shared" si="4"/>
        <v>0</v>
      </c>
      <c r="J9" s="46">
        <f t="shared" si="4"/>
        <v>0</v>
      </c>
      <c r="K9" s="46">
        <f t="shared" si="4"/>
        <v>0</v>
      </c>
      <c r="L9" s="46">
        <f t="shared" si="4"/>
        <v>0</v>
      </c>
      <c r="M9" s="46">
        <f t="shared" si="4"/>
        <v>0</v>
      </c>
      <c r="N9" s="46">
        <f t="shared" si="4"/>
        <v>0</v>
      </c>
      <c r="O9" s="46">
        <f t="shared" si="4"/>
        <v>0</v>
      </c>
      <c r="P9" s="46">
        <f t="shared" si="4"/>
        <v>0</v>
      </c>
      <c r="Q9" s="46">
        <f t="shared" si="4"/>
        <v>0</v>
      </c>
      <c r="R9" s="46">
        <f t="shared" si="4"/>
        <v>0</v>
      </c>
      <c r="S9" s="46">
        <f t="shared" si="4"/>
        <v>0</v>
      </c>
      <c r="T9" s="46">
        <f t="shared" si="4"/>
        <v>0</v>
      </c>
      <c r="U9" s="46">
        <f t="shared" si="4"/>
        <v>0</v>
      </c>
      <c r="V9" s="46">
        <f t="shared" si="4"/>
        <v>0</v>
      </c>
      <c r="W9" s="46">
        <f t="shared" si="4"/>
        <v>0</v>
      </c>
      <c r="X9" s="46">
        <f t="shared" si="4"/>
        <v>0</v>
      </c>
      <c r="Y9" s="46">
        <f t="shared" si="4"/>
        <v>0</v>
      </c>
      <c r="Z9" s="46">
        <f t="shared" si="4"/>
        <v>0</v>
      </c>
      <c r="AA9" s="46">
        <f t="shared" si="4"/>
        <v>0</v>
      </c>
      <c r="AB9" s="46">
        <f t="shared" si="4"/>
        <v>0</v>
      </c>
      <c r="AC9" s="46">
        <f t="shared" si="4"/>
        <v>0</v>
      </c>
      <c r="AD9" s="46">
        <f t="shared" si="4"/>
        <v>0</v>
      </c>
      <c r="AE9" s="46">
        <f t="shared" si="4"/>
        <v>0</v>
      </c>
      <c r="AF9" s="46">
        <f t="shared" si="4"/>
        <v>0</v>
      </c>
      <c r="AG9" s="46">
        <f t="shared" si="4"/>
        <v>0</v>
      </c>
      <c r="AH9" s="46">
        <f t="shared" si="4"/>
        <v>0</v>
      </c>
      <c r="AI9" s="46">
        <f t="shared" si="4"/>
        <v>0</v>
      </c>
      <c r="AJ9" s="46">
        <f t="shared" si="4"/>
        <v>0</v>
      </c>
      <c r="AK9" s="46">
        <f t="shared" ref="AK9:BK9" si="5">AJ13</f>
        <v>0</v>
      </c>
      <c r="AL9" s="46">
        <f t="shared" si="5"/>
        <v>0</v>
      </c>
      <c r="AM9" s="46">
        <f t="shared" si="5"/>
        <v>0</v>
      </c>
      <c r="AN9" s="46">
        <f t="shared" si="5"/>
        <v>0</v>
      </c>
      <c r="AO9" s="46">
        <f t="shared" si="5"/>
        <v>0</v>
      </c>
      <c r="AP9" s="46">
        <f t="shared" si="5"/>
        <v>0</v>
      </c>
      <c r="AQ9" s="46">
        <f t="shared" si="5"/>
        <v>0</v>
      </c>
      <c r="AR9" s="46">
        <f t="shared" si="5"/>
        <v>0</v>
      </c>
      <c r="AS9" s="46">
        <f t="shared" si="5"/>
        <v>0</v>
      </c>
      <c r="AT9" s="46">
        <f t="shared" si="5"/>
        <v>0</v>
      </c>
      <c r="AU9" s="46">
        <f t="shared" si="5"/>
        <v>0</v>
      </c>
      <c r="AV9" s="46">
        <f t="shared" si="5"/>
        <v>0</v>
      </c>
      <c r="AW9" s="46">
        <f t="shared" si="5"/>
        <v>0</v>
      </c>
      <c r="AX9" s="46">
        <f t="shared" si="5"/>
        <v>0</v>
      </c>
      <c r="AY9" s="46">
        <f t="shared" si="5"/>
        <v>0</v>
      </c>
      <c r="AZ9" s="46">
        <f t="shared" si="5"/>
        <v>0</v>
      </c>
      <c r="BA9" s="46">
        <f t="shared" si="5"/>
        <v>0</v>
      </c>
      <c r="BB9" s="46">
        <f t="shared" si="5"/>
        <v>0</v>
      </c>
      <c r="BC9" s="46">
        <f t="shared" si="5"/>
        <v>0</v>
      </c>
      <c r="BD9" s="46">
        <f t="shared" si="5"/>
        <v>0</v>
      </c>
      <c r="BE9" s="46">
        <f t="shared" si="5"/>
        <v>0</v>
      </c>
      <c r="BF9" s="46">
        <f t="shared" si="5"/>
        <v>0</v>
      </c>
      <c r="BG9" s="46">
        <f t="shared" si="5"/>
        <v>0</v>
      </c>
      <c r="BH9" s="46">
        <f t="shared" si="5"/>
        <v>0</v>
      </c>
      <c r="BI9" s="46">
        <f t="shared" si="5"/>
        <v>0</v>
      </c>
      <c r="BJ9" s="46">
        <f t="shared" si="5"/>
        <v>0</v>
      </c>
      <c r="BK9" s="60">
        <f t="shared" si="5"/>
        <v>0</v>
      </c>
    </row>
    <row r="10" spans="1:63">
      <c r="A10" s="48" t="s">
        <v>545</v>
      </c>
      <c r="B10" s="44" t="s">
        <v>221</v>
      </c>
      <c r="C10" s="49" t="s">
        <v>546</v>
      </c>
      <c r="D10" s="59">
        <f>D9*Inputs!C95/12</f>
        <v>0</v>
      </c>
      <c r="E10" s="46">
        <f>E9*Inputs!C95/12</f>
        <v>0</v>
      </c>
      <c r="F10" s="46">
        <f>F9*Inputs!C95/12</f>
        <v>0</v>
      </c>
      <c r="G10" s="46">
        <f>G9*Inputs!C95/12</f>
        <v>0</v>
      </c>
      <c r="H10" s="46">
        <f>H9*Inputs!C95/12</f>
        <v>0</v>
      </c>
      <c r="I10" s="46">
        <f>I9*Inputs!C95/12</f>
        <v>0</v>
      </c>
      <c r="J10" s="46">
        <f>J9*Inputs!C95/12</f>
        <v>0</v>
      </c>
      <c r="K10" s="46">
        <f>K9*Inputs!C95/12</f>
        <v>0</v>
      </c>
      <c r="L10" s="46">
        <f>L9*Inputs!C95/12</f>
        <v>0</v>
      </c>
      <c r="M10" s="46">
        <f>M9*Inputs!C95/12</f>
        <v>0</v>
      </c>
      <c r="N10" s="46">
        <f>N9*Inputs!C95/12</f>
        <v>0</v>
      </c>
      <c r="O10" s="46">
        <f>O9*Inputs!C95/12</f>
        <v>0</v>
      </c>
      <c r="P10" s="46">
        <f>P9*Inputs!C95/12</f>
        <v>0</v>
      </c>
      <c r="Q10" s="46">
        <f>Q9*Inputs!C95/12</f>
        <v>0</v>
      </c>
      <c r="R10" s="46">
        <f>R9*Inputs!C95/12</f>
        <v>0</v>
      </c>
      <c r="S10" s="46">
        <f>S9*Inputs!C95/12</f>
        <v>0</v>
      </c>
      <c r="T10" s="46">
        <f>T9*Inputs!C95/12</f>
        <v>0</v>
      </c>
      <c r="U10" s="46">
        <f>U9*Inputs!C95/12</f>
        <v>0</v>
      </c>
      <c r="V10" s="46">
        <f>V9*Inputs!C95/12</f>
        <v>0</v>
      </c>
      <c r="W10" s="46">
        <f>W9*Inputs!C95/12</f>
        <v>0</v>
      </c>
      <c r="X10" s="46">
        <f>X9*Inputs!C95/12</f>
        <v>0</v>
      </c>
      <c r="Y10" s="46">
        <f>Y9*Inputs!C95/12</f>
        <v>0</v>
      </c>
      <c r="Z10" s="46">
        <f>Z9*Inputs!C95/12</f>
        <v>0</v>
      </c>
      <c r="AA10" s="46">
        <f>AA9*Inputs!C95/12</f>
        <v>0</v>
      </c>
      <c r="AB10" s="46">
        <f>AB9*Inputs!C95/12</f>
        <v>0</v>
      </c>
      <c r="AC10" s="46">
        <f>AC9*Inputs!C95/12</f>
        <v>0</v>
      </c>
      <c r="AD10" s="46">
        <f>AD9*Inputs!C95/12</f>
        <v>0</v>
      </c>
      <c r="AE10" s="46">
        <f>AE9*Inputs!C95/12</f>
        <v>0</v>
      </c>
      <c r="AF10" s="46">
        <f>AF9*Inputs!C95/12</f>
        <v>0</v>
      </c>
      <c r="AG10" s="46">
        <f>AG9*Inputs!C95/12</f>
        <v>0</v>
      </c>
      <c r="AH10" s="46">
        <f>AH9*Inputs!C95/12</f>
        <v>0</v>
      </c>
      <c r="AI10" s="46">
        <f>AI9*Inputs!C95/12</f>
        <v>0</v>
      </c>
      <c r="AJ10" s="46">
        <f>AJ9*Inputs!C95/12</f>
        <v>0</v>
      </c>
      <c r="AK10" s="46">
        <f>AK9*Inputs!C95/12</f>
        <v>0</v>
      </c>
      <c r="AL10" s="46">
        <f>AL9*Inputs!C95/12</f>
        <v>0</v>
      </c>
      <c r="AM10" s="46">
        <f>AM9*Inputs!C95/12</f>
        <v>0</v>
      </c>
      <c r="AN10" s="46">
        <f>AN9*Inputs!C95/12</f>
        <v>0</v>
      </c>
      <c r="AO10" s="46">
        <f>AO9*Inputs!C95/12</f>
        <v>0</v>
      </c>
      <c r="AP10" s="46">
        <f>AP9*Inputs!C95/12</f>
        <v>0</v>
      </c>
      <c r="AQ10" s="46">
        <f>AQ9*Inputs!C95/12</f>
        <v>0</v>
      </c>
      <c r="AR10" s="46">
        <f>AR9*Inputs!C95/12</f>
        <v>0</v>
      </c>
      <c r="AS10" s="46">
        <f>AS9*Inputs!C95/12</f>
        <v>0</v>
      </c>
      <c r="AT10" s="46">
        <f>AT9*Inputs!C95/12</f>
        <v>0</v>
      </c>
      <c r="AU10" s="46">
        <f>AU9*Inputs!C95/12</f>
        <v>0</v>
      </c>
      <c r="AV10" s="46">
        <f>AV9*Inputs!C95/12</f>
        <v>0</v>
      </c>
      <c r="AW10" s="46">
        <f>AW9*Inputs!C95/12</f>
        <v>0</v>
      </c>
      <c r="AX10" s="46">
        <f>AX9*Inputs!C95/12</f>
        <v>0</v>
      </c>
      <c r="AY10" s="46">
        <f>AY9*Inputs!C95/12</f>
        <v>0</v>
      </c>
      <c r="AZ10" s="46">
        <f>AZ9*Inputs!C95/12</f>
        <v>0</v>
      </c>
      <c r="BA10" s="46">
        <f>BA9*Inputs!C95/12</f>
        <v>0</v>
      </c>
      <c r="BB10" s="46">
        <f>BB9*Inputs!C95/12</f>
        <v>0</v>
      </c>
      <c r="BC10" s="46">
        <f>BC9*Inputs!C95/12</f>
        <v>0</v>
      </c>
      <c r="BD10" s="46">
        <f>BD9*Inputs!C95/12</f>
        <v>0</v>
      </c>
      <c r="BE10" s="46">
        <f>BE9*Inputs!C95/12</f>
        <v>0</v>
      </c>
      <c r="BF10" s="46">
        <f>BF9*Inputs!C95/12</f>
        <v>0</v>
      </c>
      <c r="BG10" s="46">
        <f>BG9*Inputs!C95/12</f>
        <v>0</v>
      </c>
      <c r="BH10" s="46">
        <f>BH9*Inputs!C95/12</f>
        <v>0</v>
      </c>
      <c r="BI10" s="46">
        <f>BI9*Inputs!C95/12</f>
        <v>0</v>
      </c>
      <c r="BJ10" s="46">
        <f>BJ9*Inputs!C95/12</f>
        <v>0</v>
      </c>
      <c r="BK10" s="60">
        <f>BK9*Inputs!C95/12</f>
        <v>0</v>
      </c>
    </row>
    <row r="11" spans="1:63" ht="27.6">
      <c r="A11" s="48" t="s">
        <v>547</v>
      </c>
      <c r="B11" s="44" t="s">
        <v>221</v>
      </c>
      <c r="C11" s="49" t="s">
        <v>548</v>
      </c>
      <c r="D11" s="59">
        <f>IF(1&lt;=Inputs!C97,0,MIN(MAX(D9+D8+D10,0),MAX(D14/MAX(Inputs!C96-Inputs!C97,1),0)))</f>
        <v>0</v>
      </c>
      <c r="E11" s="46">
        <f>IF(2&lt;=Inputs!C97,0,MIN(MAX(E9+E8+E10,0),MAX(E14/MAX(Inputs!C96-Inputs!C97,1),0)))</f>
        <v>0</v>
      </c>
      <c r="F11" s="46">
        <f>IF(3&lt;=Inputs!C97,0,MIN(MAX(F9+F8+F10,0),MAX(F14/MAX(Inputs!C96-Inputs!C97,1),0)))</f>
        <v>0</v>
      </c>
      <c r="G11" s="46">
        <f>IF(4&lt;=Inputs!C97,0,MIN(MAX(G9+G8+G10,0),MAX(G14/MAX(Inputs!C96-Inputs!C97,1),0)))</f>
        <v>0</v>
      </c>
      <c r="H11" s="46">
        <f>IF(5&lt;=Inputs!C97,0,MIN(MAX(H9+H8+H10,0),MAX(H14/MAX(Inputs!C96-Inputs!C97,1),0)))</f>
        <v>0</v>
      </c>
      <c r="I11" s="46">
        <f>IF(6&lt;=Inputs!C97,0,MIN(MAX(I9+I8+I10,0),MAX(I14/MAX(Inputs!C96-Inputs!C97,1),0)))</f>
        <v>0</v>
      </c>
      <c r="J11" s="46">
        <f>IF(7&lt;=Inputs!C97,0,MIN(MAX(J9+J8+J10,0),MAX(J14/MAX(Inputs!C96-Inputs!C97,1),0)))</f>
        <v>0</v>
      </c>
      <c r="K11" s="46">
        <f>IF(8&lt;=Inputs!C97,0,MIN(MAX(K9+K8+K10,0),MAX(K14/MAX(Inputs!C96-Inputs!C97,1),0)))</f>
        <v>0</v>
      </c>
      <c r="L11" s="46">
        <f>IF(9&lt;=Inputs!C97,0,MIN(MAX(L9+L8+L10,0),MAX(L14/MAX(Inputs!C96-Inputs!C97,1),0)))</f>
        <v>0</v>
      </c>
      <c r="M11" s="46">
        <f>IF(10&lt;=Inputs!C97,0,MIN(MAX(M9+M8+M10,0),MAX(M14/MAX(Inputs!C96-Inputs!C97,1),0)))</f>
        <v>0</v>
      </c>
      <c r="N11" s="46">
        <f>IF(11&lt;=Inputs!C97,0,MIN(MAX(N9+N8+N10,0),MAX(N14/MAX(Inputs!C96-Inputs!C97,1),0)))</f>
        <v>0</v>
      </c>
      <c r="O11" s="46">
        <f>IF(12&lt;=Inputs!C97,0,MIN(MAX(O9+O8+O10,0),MAX(O14/MAX(Inputs!C96-Inputs!C97,1),0)))</f>
        <v>0</v>
      </c>
      <c r="P11" s="46">
        <f>IF(13&lt;=Inputs!C97,0,MIN(MAX(P9+P8+P10,0),MAX(P14/MAX(Inputs!C96-Inputs!C97,1),0)))</f>
        <v>0</v>
      </c>
      <c r="Q11" s="46">
        <f>IF(14&lt;=Inputs!C97,0,MIN(MAX(Q9+Q8+Q10,0),MAX(Q14/MAX(Inputs!C96-Inputs!C97,1),0)))</f>
        <v>0</v>
      </c>
      <c r="R11" s="46">
        <f>IF(15&lt;=Inputs!C97,0,MIN(MAX(R9+R8+R10,0),MAX(R14/MAX(Inputs!C96-Inputs!C97,1),0)))</f>
        <v>0</v>
      </c>
      <c r="S11" s="46">
        <f>IF(16&lt;=Inputs!C97,0,MIN(MAX(S9+S8+S10,0),MAX(S14/MAX(Inputs!C96-Inputs!C97,1),0)))</f>
        <v>0</v>
      </c>
      <c r="T11" s="46">
        <f>IF(17&lt;=Inputs!C97,0,MIN(MAX(T9+T8+T10,0),MAX(T14/MAX(Inputs!C96-Inputs!C97,1),0)))</f>
        <v>0</v>
      </c>
      <c r="U11" s="46">
        <f>IF(18&lt;=Inputs!C97,0,MIN(MAX(U9+U8+U10,0),MAX(U14/MAX(Inputs!C96-Inputs!C97,1),0)))</f>
        <v>0</v>
      </c>
      <c r="V11" s="46">
        <f>IF(19&lt;=Inputs!C97,0,MIN(MAX(V9+V8+V10,0),MAX(V14/MAX(Inputs!C96-Inputs!C97,1),0)))</f>
        <v>0</v>
      </c>
      <c r="W11" s="46">
        <f>IF(20&lt;=Inputs!C97,0,MIN(MAX(W9+W8+W10,0),MAX(W14/MAX(Inputs!C96-Inputs!C97,1),0)))</f>
        <v>0</v>
      </c>
      <c r="X11" s="46">
        <f>IF(21&lt;=Inputs!C97,0,MIN(MAX(X9+X8+X10,0),MAX(X14/MAX(Inputs!C96-Inputs!C97,1),0)))</f>
        <v>0</v>
      </c>
      <c r="Y11" s="46">
        <f>IF(22&lt;=Inputs!C97,0,MIN(MAX(Y9+Y8+Y10,0),MAX(Y14/MAX(Inputs!C96-Inputs!C97,1),0)))</f>
        <v>0</v>
      </c>
      <c r="Z11" s="46">
        <f>IF(23&lt;=Inputs!C97,0,MIN(MAX(Z9+Z8+Z10,0),MAX(Z14/MAX(Inputs!C96-Inputs!C97,1),0)))</f>
        <v>0</v>
      </c>
      <c r="AA11" s="46">
        <f>IF(24&lt;=Inputs!C97,0,MIN(MAX(AA9+AA8+AA10,0),MAX(AA14/MAX(Inputs!C96-Inputs!C97,1),0)))</f>
        <v>0</v>
      </c>
      <c r="AB11" s="46">
        <f>IF(25&lt;=Inputs!C97,0,MIN(MAX(AB9+AB8+AB10,0),MAX(AB14/MAX(Inputs!C96-Inputs!C97,1),0)))</f>
        <v>0</v>
      </c>
      <c r="AC11" s="46">
        <f>IF(26&lt;=Inputs!C97,0,MIN(MAX(AC9+AC8+AC10,0),MAX(AC14/MAX(Inputs!C96-Inputs!C97,1),0)))</f>
        <v>0</v>
      </c>
      <c r="AD11" s="46">
        <f>IF(27&lt;=Inputs!C97,0,MIN(MAX(AD9+AD8+AD10,0),MAX(AD14/MAX(Inputs!C96-Inputs!C97,1),0)))</f>
        <v>0</v>
      </c>
      <c r="AE11" s="46">
        <f>IF(28&lt;=Inputs!C97,0,MIN(MAX(AE9+AE8+AE10,0),MAX(AE14/MAX(Inputs!C96-Inputs!C97,1),0)))</f>
        <v>0</v>
      </c>
      <c r="AF11" s="46">
        <f>IF(29&lt;=Inputs!C97,0,MIN(MAX(AF9+AF8+AF10,0),MAX(AF14/MAX(Inputs!C96-Inputs!C97,1),0)))</f>
        <v>0</v>
      </c>
      <c r="AG11" s="46">
        <f>IF(30&lt;=Inputs!C97,0,MIN(MAX(AG9+AG8+AG10,0),MAX(AG14/MAX(Inputs!C96-Inputs!C97,1),0)))</f>
        <v>0</v>
      </c>
      <c r="AH11" s="46">
        <f>IF(31&lt;=Inputs!C97,0,MIN(MAX(AH9+AH8+AH10,0),MAX(AH14/MAX(Inputs!C96-Inputs!C97,1),0)))</f>
        <v>0</v>
      </c>
      <c r="AI11" s="46">
        <f>IF(32&lt;=Inputs!C97,0,MIN(MAX(AI9+AI8+AI10,0),MAX(AI14/MAX(Inputs!C96-Inputs!C97,1),0)))</f>
        <v>0</v>
      </c>
      <c r="AJ11" s="46">
        <f>IF(33&lt;=Inputs!C97,0,MIN(MAX(AJ9+AJ8+AJ10,0),MAX(AJ14/MAX(Inputs!C96-Inputs!C97,1),0)))</f>
        <v>0</v>
      </c>
      <c r="AK11" s="46">
        <f>IF(34&lt;=Inputs!C97,0,MIN(MAX(AK9+AK8+AK10,0),MAX(AK14/MAX(Inputs!C96-Inputs!C97,1),0)))</f>
        <v>0</v>
      </c>
      <c r="AL11" s="46">
        <f>IF(35&lt;=Inputs!C97,0,MIN(MAX(AL9+AL8+AL10,0),MAX(AL14/MAX(Inputs!C96-Inputs!C97,1),0)))</f>
        <v>0</v>
      </c>
      <c r="AM11" s="46">
        <f>IF(36&lt;=Inputs!C97,0,MIN(MAX(AM9+AM8+AM10,0),MAX(AM14/MAX(Inputs!C96-Inputs!C97,1),0)))</f>
        <v>0</v>
      </c>
      <c r="AN11" s="46">
        <f>IF(37&lt;=Inputs!C97,0,MIN(MAX(AN9+AN8+AN10,0),MAX(AN14/MAX(Inputs!C96-Inputs!C97,1),0)))</f>
        <v>0</v>
      </c>
      <c r="AO11" s="46">
        <f>IF(38&lt;=Inputs!C97,0,MIN(MAX(AO9+AO8+AO10,0),MAX(AO14/MAX(Inputs!C96-Inputs!C97,1),0)))</f>
        <v>0</v>
      </c>
      <c r="AP11" s="46">
        <f>IF(39&lt;=Inputs!C97,0,MIN(MAX(AP9+AP8+AP10,0),MAX(AP14/MAX(Inputs!C96-Inputs!C97,1),0)))</f>
        <v>0</v>
      </c>
      <c r="AQ11" s="46">
        <f>IF(40&lt;=Inputs!C97,0,MIN(MAX(AQ9+AQ8+AQ10,0),MAX(AQ14/MAX(Inputs!C96-Inputs!C97,1),0)))</f>
        <v>0</v>
      </c>
      <c r="AR11" s="46">
        <f>IF(41&lt;=Inputs!C97,0,MIN(MAX(AR9+AR8+AR10,0),MAX(AR14/MAX(Inputs!C96-Inputs!C97,1),0)))</f>
        <v>0</v>
      </c>
      <c r="AS11" s="46">
        <f>IF(42&lt;=Inputs!C97,0,MIN(MAX(AS9+AS8+AS10,0),MAX(AS14/MAX(Inputs!C96-Inputs!C97,1),0)))</f>
        <v>0</v>
      </c>
      <c r="AT11" s="46">
        <f>IF(43&lt;=Inputs!C97,0,MIN(MAX(AT9+AT8+AT10,0),MAX(AT14/MAX(Inputs!C96-Inputs!C97,1),0)))</f>
        <v>0</v>
      </c>
      <c r="AU11" s="46">
        <f>IF(44&lt;=Inputs!C97,0,MIN(MAX(AU9+AU8+AU10,0),MAX(AU14/MAX(Inputs!C96-Inputs!C97,1),0)))</f>
        <v>0</v>
      </c>
      <c r="AV11" s="46">
        <f>IF(45&lt;=Inputs!C97,0,MIN(MAX(AV9+AV8+AV10,0),MAX(AV14/MAX(Inputs!C96-Inputs!C97,1),0)))</f>
        <v>0</v>
      </c>
      <c r="AW11" s="46">
        <f>IF(46&lt;=Inputs!C97,0,MIN(MAX(AW9+AW8+AW10,0),MAX(AW14/MAX(Inputs!C96-Inputs!C97,1),0)))</f>
        <v>0</v>
      </c>
      <c r="AX11" s="46">
        <f>IF(47&lt;=Inputs!C97,0,MIN(MAX(AX9+AX8+AX10,0),MAX(AX14/MAX(Inputs!C96-Inputs!C97,1),0)))</f>
        <v>0</v>
      </c>
      <c r="AY11" s="46">
        <f>IF(48&lt;=Inputs!C97,0,MIN(MAX(AY9+AY8+AY10,0),MAX(AY14/MAX(Inputs!C96-Inputs!C97,1),0)))</f>
        <v>0</v>
      </c>
      <c r="AZ11" s="46">
        <f>IF(49&lt;=Inputs!C97,0,MIN(MAX(AZ9+AZ8+AZ10,0),MAX(AZ14/MAX(Inputs!C96-Inputs!C97,1),0)))</f>
        <v>0</v>
      </c>
      <c r="BA11" s="46">
        <f>IF(50&lt;=Inputs!C97,0,MIN(MAX(BA9+BA8+BA10,0),MAX(BA14/MAX(Inputs!C96-Inputs!C97,1),0)))</f>
        <v>0</v>
      </c>
      <c r="BB11" s="46">
        <f>IF(51&lt;=Inputs!C97,0,MIN(MAX(BB9+BB8+BB10,0),MAX(BB14/MAX(Inputs!C96-Inputs!C97,1),0)))</f>
        <v>0</v>
      </c>
      <c r="BC11" s="46">
        <f>IF(52&lt;=Inputs!C97,0,MIN(MAX(BC9+BC8+BC10,0),MAX(BC14/MAX(Inputs!C96-Inputs!C97,1),0)))</f>
        <v>0</v>
      </c>
      <c r="BD11" s="46">
        <f>IF(53&lt;=Inputs!C97,0,MIN(MAX(BD9+BD8+BD10,0),MAX(BD14/MAX(Inputs!C96-Inputs!C97,1),0)))</f>
        <v>0</v>
      </c>
      <c r="BE11" s="46">
        <f>IF(54&lt;=Inputs!C97,0,MIN(MAX(BE9+BE8+BE10,0),MAX(BE14/MAX(Inputs!C96-Inputs!C97,1),0)))</f>
        <v>0</v>
      </c>
      <c r="BF11" s="46">
        <f>IF(55&lt;=Inputs!C97,0,MIN(MAX(BF9+BF8+BF10,0),MAX(BF14/MAX(Inputs!C96-Inputs!C97,1),0)))</f>
        <v>0</v>
      </c>
      <c r="BG11" s="46">
        <f>IF(56&lt;=Inputs!C97,0,MIN(MAX(BG9+BG8+BG10,0),MAX(BG14/MAX(Inputs!C96-Inputs!C97,1),0)))</f>
        <v>0</v>
      </c>
      <c r="BH11" s="46">
        <f>IF(57&lt;=Inputs!C97,0,MIN(MAX(BH9+BH8+BH10,0),MAX(BH14/MAX(Inputs!C96-Inputs!C97,1),0)))</f>
        <v>0</v>
      </c>
      <c r="BI11" s="46">
        <f>IF(58&lt;=Inputs!C97,0,MIN(MAX(BI9+BI8+BI10,0),MAX(BI14/MAX(Inputs!C96-Inputs!C97,1),0)))</f>
        <v>0</v>
      </c>
      <c r="BJ11" s="46">
        <f>IF(59&lt;=Inputs!C97,0,MIN(MAX(BJ9+BJ8+BJ10,0),MAX(BJ14/MAX(Inputs!C96-Inputs!C97,1),0)))</f>
        <v>0</v>
      </c>
      <c r="BK11" s="60">
        <f>IF(60&lt;=Inputs!C97,0,MIN(MAX(BK9+BK8+BK10,0),MAX(BK14/MAX(Inputs!C96-Inputs!C97,1),0)))</f>
        <v>0</v>
      </c>
    </row>
    <row r="12" spans="1:63">
      <c r="A12" s="48" t="s">
        <v>549</v>
      </c>
      <c r="B12" s="44" t="s">
        <v>221</v>
      </c>
      <c r="C12" s="49" t="s">
        <v>550</v>
      </c>
      <c r="D12" s="59">
        <f t="shared" ref="D12:AI12" si="6">D10+D11</f>
        <v>0</v>
      </c>
      <c r="E12" s="46">
        <f t="shared" si="6"/>
        <v>0</v>
      </c>
      <c r="F12" s="46">
        <f t="shared" si="6"/>
        <v>0</v>
      </c>
      <c r="G12" s="46">
        <f t="shared" si="6"/>
        <v>0</v>
      </c>
      <c r="H12" s="46">
        <f t="shared" si="6"/>
        <v>0</v>
      </c>
      <c r="I12" s="46">
        <f t="shared" si="6"/>
        <v>0</v>
      </c>
      <c r="J12" s="46">
        <f t="shared" si="6"/>
        <v>0</v>
      </c>
      <c r="K12" s="46">
        <f t="shared" si="6"/>
        <v>0</v>
      </c>
      <c r="L12" s="46">
        <f t="shared" si="6"/>
        <v>0</v>
      </c>
      <c r="M12" s="46">
        <f t="shared" si="6"/>
        <v>0</v>
      </c>
      <c r="N12" s="46">
        <f t="shared" si="6"/>
        <v>0</v>
      </c>
      <c r="O12" s="46">
        <f t="shared" si="6"/>
        <v>0</v>
      </c>
      <c r="P12" s="46">
        <f t="shared" si="6"/>
        <v>0</v>
      </c>
      <c r="Q12" s="46">
        <f t="shared" si="6"/>
        <v>0</v>
      </c>
      <c r="R12" s="46">
        <f t="shared" si="6"/>
        <v>0</v>
      </c>
      <c r="S12" s="46">
        <f t="shared" si="6"/>
        <v>0</v>
      </c>
      <c r="T12" s="46">
        <f t="shared" si="6"/>
        <v>0</v>
      </c>
      <c r="U12" s="46">
        <f t="shared" si="6"/>
        <v>0</v>
      </c>
      <c r="V12" s="46">
        <f t="shared" si="6"/>
        <v>0</v>
      </c>
      <c r="W12" s="46">
        <f t="shared" si="6"/>
        <v>0</v>
      </c>
      <c r="X12" s="46">
        <f t="shared" si="6"/>
        <v>0</v>
      </c>
      <c r="Y12" s="46">
        <f t="shared" si="6"/>
        <v>0</v>
      </c>
      <c r="Z12" s="46">
        <f t="shared" si="6"/>
        <v>0</v>
      </c>
      <c r="AA12" s="46">
        <f t="shared" si="6"/>
        <v>0</v>
      </c>
      <c r="AB12" s="46">
        <f t="shared" si="6"/>
        <v>0</v>
      </c>
      <c r="AC12" s="46">
        <f t="shared" si="6"/>
        <v>0</v>
      </c>
      <c r="AD12" s="46">
        <f t="shared" si="6"/>
        <v>0</v>
      </c>
      <c r="AE12" s="46">
        <f t="shared" si="6"/>
        <v>0</v>
      </c>
      <c r="AF12" s="46">
        <f t="shared" si="6"/>
        <v>0</v>
      </c>
      <c r="AG12" s="46">
        <f t="shared" si="6"/>
        <v>0</v>
      </c>
      <c r="AH12" s="46">
        <f t="shared" si="6"/>
        <v>0</v>
      </c>
      <c r="AI12" s="46">
        <f t="shared" si="6"/>
        <v>0</v>
      </c>
      <c r="AJ12" s="46">
        <f t="shared" ref="AJ12:BK12" si="7">AJ10+AJ11</f>
        <v>0</v>
      </c>
      <c r="AK12" s="46">
        <f t="shared" si="7"/>
        <v>0</v>
      </c>
      <c r="AL12" s="46">
        <f t="shared" si="7"/>
        <v>0</v>
      </c>
      <c r="AM12" s="46">
        <f t="shared" si="7"/>
        <v>0</v>
      </c>
      <c r="AN12" s="46">
        <f t="shared" si="7"/>
        <v>0</v>
      </c>
      <c r="AO12" s="46">
        <f t="shared" si="7"/>
        <v>0</v>
      </c>
      <c r="AP12" s="46">
        <f t="shared" si="7"/>
        <v>0</v>
      </c>
      <c r="AQ12" s="46">
        <f t="shared" si="7"/>
        <v>0</v>
      </c>
      <c r="AR12" s="46">
        <f t="shared" si="7"/>
        <v>0</v>
      </c>
      <c r="AS12" s="46">
        <f t="shared" si="7"/>
        <v>0</v>
      </c>
      <c r="AT12" s="46">
        <f t="shared" si="7"/>
        <v>0</v>
      </c>
      <c r="AU12" s="46">
        <f t="shared" si="7"/>
        <v>0</v>
      </c>
      <c r="AV12" s="46">
        <f t="shared" si="7"/>
        <v>0</v>
      </c>
      <c r="AW12" s="46">
        <f t="shared" si="7"/>
        <v>0</v>
      </c>
      <c r="AX12" s="46">
        <f t="shared" si="7"/>
        <v>0</v>
      </c>
      <c r="AY12" s="46">
        <f t="shared" si="7"/>
        <v>0</v>
      </c>
      <c r="AZ12" s="46">
        <f t="shared" si="7"/>
        <v>0</v>
      </c>
      <c r="BA12" s="46">
        <f t="shared" si="7"/>
        <v>0</v>
      </c>
      <c r="BB12" s="46">
        <f t="shared" si="7"/>
        <v>0</v>
      </c>
      <c r="BC12" s="46">
        <f t="shared" si="7"/>
        <v>0</v>
      </c>
      <c r="BD12" s="46">
        <f t="shared" si="7"/>
        <v>0</v>
      </c>
      <c r="BE12" s="46">
        <f t="shared" si="7"/>
        <v>0</v>
      </c>
      <c r="BF12" s="46">
        <f t="shared" si="7"/>
        <v>0</v>
      </c>
      <c r="BG12" s="46">
        <f t="shared" si="7"/>
        <v>0</v>
      </c>
      <c r="BH12" s="46">
        <f t="shared" si="7"/>
        <v>0</v>
      </c>
      <c r="BI12" s="46">
        <f t="shared" si="7"/>
        <v>0</v>
      </c>
      <c r="BJ12" s="46">
        <f t="shared" si="7"/>
        <v>0</v>
      </c>
      <c r="BK12" s="60">
        <f t="shared" si="7"/>
        <v>0</v>
      </c>
    </row>
    <row r="13" spans="1:63" ht="27.6">
      <c r="A13" s="48" t="s">
        <v>551</v>
      </c>
      <c r="B13" s="44" t="s">
        <v>221</v>
      </c>
      <c r="C13" s="49" t="s">
        <v>552</v>
      </c>
      <c r="D13" s="59">
        <f t="shared" ref="D13:AI13" si="8">MAX(D9+D8+D10-D11,0)</f>
        <v>0</v>
      </c>
      <c r="E13" s="46">
        <f t="shared" si="8"/>
        <v>0</v>
      </c>
      <c r="F13" s="46">
        <f t="shared" si="8"/>
        <v>0</v>
      </c>
      <c r="G13" s="46">
        <f t="shared" si="8"/>
        <v>0</v>
      </c>
      <c r="H13" s="46">
        <f t="shared" si="8"/>
        <v>0</v>
      </c>
      <c r="I13" s="46">
        <f t="shared" si="8"/>
        <v>0</v>
      </c>
      <c r="J13" s="46">
        <f t="shared" si="8"/>
        <v>0</v>
      </c>
      <c r="K13" s="46">
        <f t="shared" si="8"/>
        <v>0</v>
      </c>
      <c r="L13" s="46">
        <f t="shared" si="8"/>
        <v>0</v>
      </c>
      <c r="M13" s="46">
        <f t="shared" si="8"/>
        <v>0</v>
      </c>
      <c r="N13" s="46">
        <f t="shared" si="8"/>
        <v>0</v>
      </c>
      <c r="O13" s="46">
        <f t="shared" si="8"/>
        <v>0</v>
      </c>
      <c r="P13" s="46">
        <f t="shared" si="8"/>
        <v>0</v>
      </c>
      <c r="Q13" s="46">
        <f t="shared" si="8"/>
        <v>0</v>
      </c>
      <c r="R13" s="46">
        <f t="shared" si="8"/>
        <v>0</v>
      </c>
      <c r="S13" s="46">
        <f t="shared" si="8"/>
        <v>0</v>
      </c>
      <c r="T13" s="46">
        <f t="shared" si="8"/>
        <v>0</v>
      </c>
      <c r="U13" s="46">
        <f t="shared" si="8"/>
        <v>0</v>
      </c>
      <c r="V13" s="46">
        <f t="shared" si="8"/>
        <v>0</v>
      </c>
      <c r="W13" s="46">
        <f t="shared" si="8"/>
        <v>0</v>
      </c>
      <c r="X13" s="46">
        <f t="shared" si="8"/>
        <v>0</v>
      </c>
      <c r="Y13" s="46">
        <f t="shared" si="8"/>
        <v>0</v>
      </c>
      <c r="Z13" s="46">
        <f t="shared" si="8"/>
        <v>0</v>
      </c>
      <c r="AA13" s="46">
        <f t="shared" si="8"/>
        <v>0</v>
      </c>
      <c r="AB13" s="46">
        <f t="shared" si="8"/>
        <v>0</v>
      </c>
      <c r="AC13" s="46">
        <f t="shared" si="8"/>
        <v>0</v>
      </c>
      <c r="AD13" s="46">
        <f t="shared" si="8"/>
        <v>0</v>
      </c>
      <c r="AE13" s="46">
        <f t="shared" si="8"/>
        <v>0</v>
      </c>
      <c r="AF13" s="46">
        <f t="shared" si="8"/>
        <v>0</v>
      </c>
      <c r="AG13" s="46">
        <f t="shared" si="8"/>
        <v>0</v>
      </c>
      <c r="AH13" s="46">
        <f t="shared" si="8"/>
        <v>0</v>
      </c>
      <c r="AI13" s="46">
        <f t="shared" si="8"/>
        <v>0</v>
      </c>
      <c r="AJ13" s="46">
        <f t="shared" ref="AJ13:BK13" si="9">MAX(AJ9+AJ8+AJ10-AJ11,0)</f>
        <v>0</v>
      </c>
      <c r="AK13" s="46">
        <f t="shared" si="9"/>
        <v>0</v>
      </c>
      <c r="AL13" s="46">
        <f t="shared" si="9"/>
        <v>0</v>
      </c>
      <c r="AM13" s="46">
        <f t="shared" si="9"/>
        <v>0</v>
      </c>
      <c r="AN13" s="46">
        <f t="shared" si="9"/>
        <v>0</v>
      </c>
      <c r="AO13" s="46">
        <f t="shared" si="9"/>
        <v>0</v>
      </c>
      <c r="AP13" s="46">
        <f t="shared" si="9"/>
        <v>0</v>
      </c>
      <c r="AQ13" s="46">
        <f t="shared" si="9"/>
        <v>0</v>
      </c>
      <c r="AR13" s="46">
        <f t="shared" si="9"/>
        <v>0</v>
      </c>
      <c r="AS13" s="46">
        <f t="shared" si="9"/>
        <v>0</v>
      </c>
      <c r="AT13" s="46">
        <f t="shared" si="9"/>
        <v>0</v>
      </c>
      <c r="AU13" s="46">
        <f t="shared" si="9"/>
        <v>0</v>
      </c>
      <c r="AV13" s="46">
        <f t="shared" si="9"/>
        <v>0</v>
      </c>
      <c r="AW13" s="46">
        <f t="shared" si="9"/>
        <v>0</v>
      </c>
      <c r="AX13" s="46">
        <f t="shared" si="9"/>
        <v>0</v>
      </c>
      <c r="AY13" s="46">
        <f t="shared" si="9"/>
        <v>0</v>
      </c>
      <c r="AZ13" s="46">
        <f t="shared" si="9"/>
        <v>0</v>
      </c>
      <c r="BA13" s="46">
        <f t="shared" si="9"/>
        <v>0</v>
      </c>
      <c r="BB13" s="46">
        <f t="shared" si="9"/>
        <v>0</v>
      </c>
      <c r="BC13" s="46">
        <f t="shared" si="9"/>
        <v>0</v>
      </c>
      <c r="BD13" s="46">
        <f t="shared" si="9"/>
        <v>0</v>
      </c>
      <c r="BE13" s="46">
        <f t="shared" si="9"/>
        <v>0</v>
      </c>
      <c r="BF13" s="46">
        <f t="shared" si="9"/>
        <v>0</v>
      </c>
      <c r="BG13" s="46">
        <f t="shared" si="9"/>
        <v>0</v>
      </c>
      <c r="BH13" s="46">
        <f t="shared" si="9"/>
        <v>0</v>
      </c>
      <c r="BI13" s="46">
        <f t="shared" si="9"/>
        <v>0</v>
      </c>
      <c r="BJ13" s="46">
        <f t="shared" si="9"/>
        <v>0</v>
      </c>
      <c r="BK13" s="60">
        <f t="shared" si="9"/>
        <v>0</v>
      </c>
    </row>
    <row r="14" spans="1:63">
      <c r="A14" s="48" t="s">
        <v>553</v>
      </c>
      <c r="B14" s="44" t="s">
        <v>221</v>
      </c>
      <c r="C14" s="49" t="s">
        <v>516</v>
      </c>
      <c r="D14" s="59">
        <f>D8</f>
        <v>0</v>
      </c>
      <c r="E14" s="46">
        <f t="shared" ref="E14:AJ14" si="10">D14+E8</f>
        <v>0</v>
      </c>
      <c r="F14" s="46">
        <f t="shared" si="10"/>
        <v>0</v>
      </c>
      <c r="G14" s="46">
        <f t="shared" si="10"/>
        <v>0</v>
      </c>
      <c r="H14" s="46">
        <f t="shared" si="10"/>
        <v>0</v>
      </c>
      <c r="I14" s="46">
        <f t="shared" si="10"/>
        <v>0</v>
      </c>
      <c r="J14" s="46">
        <f t="shared" si="10"/>
        <v>0</v>
      </c>
      <c r="K14" s="46">
        <f t="shared" si="10"/>
        <v>0</v>
      </c>
      <c r="L14" s="46">
        <f t="shared" si="10"/>
        <v>0</v>
      </c>
      <c r="M14" s="46">
        <f t="shared" si="10"/>
        <v>0</v>
      </c>
      <c r="N14" s="46">
        <f t="shared" si="10"/>
        <v>0</v>
      </c>
      <c r="O14" s="46">
        <f t="shared" si="10"/>
        <v>0</v>
      </c>
      <c r="P14" s="46">
        <f t="shared" si="10"/>
        <v>0</v>
      </c>
      <c r="Q14" s="46">
        <f t="shared" si="10"/>
        <v>0</v>
      </c>
      <c r="R14" s="46">
        <f t="shared" si="10"/>
        <v>0</v>
      </c>
      <c r="S14" s="46">
        <f t="shared" si="10"/>
        <v>0</v>
      </c>
      <c r="T14" s="46">
        <f t="shared" si="10"/>
        <v>0</v>
      </c>
      <c r="U14" s="46">
        <f t="shared" si="10"/>
        <v>0</v>
      </c>
      <c r="V14" s="46">
        <f t="shared" si="10"/>
        <v>0</v>
      </c>
      <c r="W14" s="46">
        <f t="shared" si="10"/>
        <v>0</v>
      </c>
      <c r="X14" s="46">
        <f t="shared" si="10"/>
        <v>0</v>
      </c>
      <c r="Y14" s="46">
        <f t="shared" si="10"/>
        <v>0</v>
      </c>
      <c r="Z14" s="46">
        <f t="shared" si="10"/>
        <v>0</v>
      </c>
      <c r="AA14" s="46">
        <f t="shared" si="10"/>
        <v>0</v>
      </c>
      <c r="AB14" s="46">
        <f t="shared" si="10"/>
        <v>0</v>
      </c>
      <c r="AC14" s="46">
        <f t="shared" si="10"/>
        <v>0</v>
      </c>
      <c r="AD14" s="46">
        <f t="shared" si="10"/>
        <v>0</v>
      </c>
      <c r="AE14" s="46">
        <f t="shared" si="10"/>
        <v>0</v>
      </c>
      <c r="AF14" s="46">
        <f t="shared" si="10"/>
        <v>0</v>
      </c>
      <c r="AG14" s="46">
        <f t="shared" si="10"/>
        <v>0</v>
      </c>
      <c r="AH14" s="46">
        <f t="shared" si="10"/>
        <v>0</v>
      </c>
      <c r="AI14" s="46">
        <f t="shared" si="10"/>
        <v>0</v>
      </c>
      <c r="AJ14" s="46">
        <f t="shared" si="10"/>
        <v>0</v>
      </c>
      <c r="AK14" s="46">
        <f t="shared" ref="AK14:BK14" si="11">AJ14+AK8</f>
        <v>0</v>
      </c>
      <c r="AL14" s="46">
        <f t="shared" si="11"/>
        <v>0</v>
      </c>
      <c r="AM14" s="46">
        <f t="shared" si="11"/>
        <v>0</v>
      </c>
      <c r="AN14" s="46">
        <f t="shared" si="11"/>
        <v>0</v>
      </c>
      <c r="AO14" s="46">
        <f t="shared" si="11"/>
        <v>0</v>
      </c>
      <c r="AP14" s="46">
        <f t="shared" si="11"/>
        <v>0</v>
      </c>
      <c r="AQ14" s="46">
        <f t="shared" si="11"/>
        <v>0</v>
      </c>
      <c r="AR14" s="46">
        <f t="shared" si="11"/>
        <v>0</v>
      </c>
      <c r="AS14" s="46">
        <f t="shared" si="11"/>
        <v>0</v>
      </c>
      <c r="AT14" s="46">
        <f t="shared" si="11"/>
        <v>0</v>
      </c>
      <c r="AU14" s="46">
        <f t="shared" si="11"/>
        <v>0</v>
      </c>
      <c r="AV14" s="46">
        <f t="shared" si="11"/>
        <v>0</v>
      </c>
      <c r="AW14" s="46">
        <f t="shared" si="11"/>
        <v>0</v>
      </c>
      <c r="AX14" s="46">
        <f t="shared" si="11"/>
        <v>0</v>
      </c>
      <c r="AY14" s="46">
        <f t="shared" si="11"/>
        <v>0</v>
      </c>
      <c r="AZ14" s="46">
        <f t="shared" si="11"/>
        <v>0</v>
      </c>
      <c r="BA14" s="46">
        <f t="shared" si="11"/>
        <v>0</v>
      </c>
      <c r="BB14" s="46">
        <f t="shared" si="11"/>
        <v>0</v>
      </c>
      <c r="BC14" s="46">
        <f t="shared" si="11"/>
        <v>0</v>
      </c>
      <c r="BD14" s="46">
        <f t="shared" si="11"/>
        <v>0</v>
      </c>
      <c r="BE14" s="46">
        <f t="shared" si="11"/>
        <v>0</v>
      </c>
      <c r="BF14" s="46">
        <f t="shared" si="11"/>
        <v>0</v>
      </c>
      <c r="BG14" s="46">
        <f t="shared" si="11"/>
        <v>0</v>
      </c>
      <c r="BH14" s="46">
        <f t="shared" si="11"/>
        <v>0</v>
      </c>
      <c r="BI14" s="46">
        <f t="shared" si="11"/>
        <v>0</v>
      </c>
      <c r="BJ14" s="46">
        <f t="shared" si="11"/>
        <v>0</v>
      </c>
      <c r="BK14" s="60">
        <f t="shared" si="11"/>
        <v>0</v>
      </c>
    </row>
    <row r="15" spans="1:63">
      <c r="A15" s="48" t="s">
        <v>554</v>
      </c>
      <c r="B15" s="44" t="s">
        <v>221</v>
      </c>
      <c r="C15" s="49" t="s">
        <v>516</v>
      </c>
      <c r="D15" s="59">
        <f>D10</f>
        <v>0</v>
      </c>
      <c r="E15" s="46">
        <f t="shared" ref="E15:AJ15" si="12">D15+E10</f>
        <v>0</v>
      </c>
      <c r="F15" s="46">
        <f t="shared" si="12"/>
        <v>0</v>
      </c>
      <c r="G15" s="46">
        <f t="shared" si="12"/>
        <v>0</v>
      </c>
      <c r="H15" s="46">
        <f t="shared" si="12"/>
        <v>0</v>
      </c>
      <c r="I15" s="46">
        <f t="shared" si="12"/>
        <v>0</v>
      </c>
      <c r="J15" s="46">
        <f t="shared" si="12"/>
        <v>0</v>
      </c>
      <c r="K15" s="46">
        <f t="shared" si="12"/>
        <v>0</v>
      </c>
      <c r="L15" s="46">
        <f t="shared" si="12"/>
        <v>0</v>
      </c>
      <c r="M15" s="46">
        <f t="shared" si="12"/>
        <v>0</v>
      </c>
      <c r="N15" s="46">
        <f t="shared" si="12"/>
        <v>0</v>
      </c>
      <c r="O15" s="46">
        <f t="shared" si="12"/>
        <v>0</v>
      </c>
      <c r="P15" s="46">
        <f t="shared" si="12"/>
        <v>0</v>
      </c>
      <c r="Q15" s="46">
        <f t="shared" si="12"/>
        <v>0</v>
      </c>
      <c r="R15" s="46">
        <f t="shared" si="12"/>
        <v>0</v>
      </c>
      <c r="S15" s="46">
        <f t="shared" si="12"/>
        <v>0</v>
      </c>
      <c r="T15" s="46">
        <f t="shared" si="12"/>
        <v>0</v>
      </c>
      <c r="U15" s="46">
        <f t="shared" si="12"/>
        <v>0</v>
      </c>
      <c r="V15" s="46">
        <f t="shared" si="12"/>
        <v>0</v>
      </c>
      <c r="W15" s="46">
        <f t="shared" si="12"/>
        <v>0</v>
      </c>
      <c r="X15" s="46">
        <f t="shared" si="12"/>
        <v>0</v>
      </c>
      <c r="Y15" s="46">
        <f t="shared" si="12"/>
        <v>0</v>
      </c>
      <c r="Z15" s="46">
        <f t="shared" si="12"/>
        <v>0</v>
      </c>
      <c r="AA15" s="46">
        <f t="shared" si="12"/>
        <v>0</v>
      </c>
      <c r="AB15" s="46">
        <f t="shared" si="12"/>
        <v>0</v>
      </c>
      <c r="AC15" s="46">
        <f t="shared" si="12"/>
        <v>0</v>
      </c>
      <c r="AD15" s="46">
        <f t="shared" si="12"/>
        <v>0</v>
      </c>
      <c r="AE15" s="46">
        <f t="shared" si="12"/>
        <v>0</v>
      </c>
      <c r="AF15" s="46">
        <f t="shared" si="12"/>
        <v>0</v>
      </c>
      <c r="AG15" s="46">
        <f t="shared" si="12"/>
        <v>0</v>
      </c>
      <c r="AH15" s="46">
        <f t="shared" si="12"/>
        <v>0</v>
      </c>
      <c r="AI15" s="46">
        <f t="shared" si="12"/>
        <v>0</v>
      </c>
      <c r="AJ15" s="46">
        <f t="shared" si="12"/>
        <v>0</v>
      </c>
      <c r="AK15" s="46">
        <f t="shared" ref="AK15:BK15" si="13">AJ15+AK10</f>
        <v>0</v>
      </c>
      <c r="AL15" s="46">
        <f t="shared" si="13"/>
        <v>0</v>
      </c>
      <c r="AM15" s="46">
        <f t="shared" si="13"/>
        <v>0</v>
      </c>
      <c r="AN15" s="46">
        <f t="shared" si="13"/>
        <v>0</v>
      </c>
      <c r="AO15" s="46">
        <f t="shared" si="13"/>
        <v>0</v>
      </c>
      <c r="AP15" s="46">
        <f t="shared" si="13"/>
        <v>0</v>
      </c>
      <c r="AQ15" s="46">
        <f t="shared" si="13"/>
        <v>0</v>
      </c>
      <c r="AR15" s="46">
        <f t="shared" si="13"/>
        <v>0</v>
      </c>
      <c r="AS15" s="46">
        <f t="shared" si="13"/>
        <v>0</v>
      </c>
      <c r="AT15" s="46">
        <f t="shared" si="13"/>
        <v>0</v>
      </c>
      <c r="AU15" s="46">
        <f t="shared" si="13"/>
        <v>0</v>
      </c>
      <c r="AV15" s="46">
        <f t="shared" si="13"/>
        <v>0</v>
      </c>
      <c r="AW15" s="46">
        <f t="shared" si="13"/>
        <v>0</v>
      </c>
      <c r="AX15" s="46">
        <f t="shared" si="13"/>
        <v>0</v>
      </c>
      <c r="AY15" s="46">
        <f t="shared" si="13"/>
        <v>0</v>
      </c>
      <c r="AZ15" s="46">
        <f t="shared" si="13"/>
        <v>0</v>
      </c>
      <c r="BA15" s="46">
        <f t="shared" si="13"/>
        <v>0</v>
      </c>
      <c r="BB15" s="46">
        <f t="shared" si="13"/>
        <v>0</v>
      </c>
      <c r="BC15" s="46">
        <f t="shared" si="13"/>
        <v>0</v>
      </c>
      <c r="BD15" s="46">
        <f t="shared" si="13"/>
        <v>0</v>
      </c>
      <c r="BE15" s="46">
        <f t="shared" si="13"/>
        <v>0</v>
      </c>
      <c r="BF15" s="46">
        <f t="shared" si="13"/>
        <v>0</v>
      </c>
      <c r="BG15" s="46">
        <f t="shared" si="13"/>
        <v>0</v>
      </c>
      <c r="BH15" s="46">
        <f t="shared" si="13"/>
        <v>0</v>
      </c>
      <c r="BI15" s="46">
        <f t="shared" si="13"/>
        <v>0</v>
      </c>
      <c r="BJ15" s="46">
        <f t="shared" si="13"/>
        <v>0</v>
      </c>
      <c r="BK15" s="60">
        <f t="shared" si="13"/>
        <v>0</v>
      </c>
    </row>
    <row r="16" spans="1:63">
      <c r="A16" s="48" t="s">
        <v>555</v>
      </c>
      <c r="B16" s="44" t="s">
        <v>221</v>
      </c>
      <c r="C16" s="49" t="s">
        <v>516</v>
      </c>
      <c r="D16" s="59">
        <f>D12</f>
        <v>0</v>
      </c>
      <c r="E16" s="46">
        <f t="shared" ref="E16:AJ16" si="14">D16+E12</f>
        <v>0</v>
      </c>
      <c r="F16" s="46">
        <f t="shared" si="14"/>
        <v>0</v>
      </c>
      <c r="G16" s="46">
        <f t="shared" si="14"/>
        <v>0</v>
      </c>
      <c r="H16" s="46">
        <f t="shared" si="14"/>
        <v>0</v>
      </c>
      <c r="I16" s="46">
        <f t="shared" si="14"/>
        <v>0</v>
      </c>
      <c r="J16" s="46">
        <f t="shared" si="14"/>
        <v>0</v>
      </c>
      <c r="K16" s="46">
        <f t="shared" si="14"/>
        <v>0</v>
      </c>
      <c r="L16" s="46">
        <f t="shared" si="14"/>
        <v>0</v>
      </c>
      <c r="M16" s="46">
        <f t="shared" si="14"/>
        <v>0</v>
      </c>
      <c r="N16" s="46">
        <f t="shared" si="14"/>
        <v>0</v>
      </c>
      <c r="O16" s="46">
        <f t="shared" si="14"/>
        <v>0</v>
      </c>
      <c r="P16" s="46">
        <f t="shared" si="14"/>
        <v>0</v>
      </c>
      <c r="Q16" s="46">
        <f t="shared" si="14"/>
        <v>0</v>
      </c>
      <c r="R16" s="46">
        <f t="shared" si="14"/>
        <v>0</v>
      </c>
      <c r="S16" s="46">
        <f t="shared" si="14"/>
        <v>0</v>
      </c>
      <c r="T16" s="46">
        <f t="shared" si="14"/>
        <v>0</v>
      </c>
      <c r="U16" s="46">
        <f t="shared" si="14"/>
        <v>0</v>
      </c>
      <c r="V16" s="46">
        <f t="shared" si="14"/>
        <v>0</v>
      </c>
      <c r="W16" s="46">
        <f t="shared" si="14"/>
        <v>0</v>
      </c>
      <c r="X16" s="46">
        <f t="shared" si="14"/>
        <v>0</v>
      </c>
      <c r="Y16" s="46">
        <f t="shared" si="14"/>
        <v>0</v>
      </c>
      <c r="Z16" s="46">
        <f t="shared" si="14"/>
        <v>0</v>
      </c>
      <c r="AA16" s="46">
        <f t="shared" si="14"/>
        <v>0</v>
      </c>
      <c r="AB16" s="46">
        <f t="shared" si="14"/>
        <v>0</v>
      </c>
      <c r="AC16" s="46">
        <f t="shared" si="14"/>
        <v>0</v>
      </c>
      <c r="AD16" s="46">
        <f t="shared" si="14"/>
        <v>0</v>
      </c>
      <c r="AE16" s="46">
        <f t="shared" si="14"/>
        <v>0</v>
      </c>
      <c r="AF16" s="46">
        <f t="shared" si="14"/>
        <v>0</v>
      </c>
      <c r="AG16" s="46">
        <f t="shared" si="14"/>
        <v>0</v>
      </c>
      <c r="AH16" s="46">
        <f t="shared" si="14"/>
        <v>0</v>
      </c>
      <c r="AI16" s="46">
        <f t="shared" si="14"/>
        <v>0</v>
      </c>
      <c r="AJ16" s="46">
        <f t="shared" si="14"/>
        <v>0</v>
      </c>
      <c r="AK16" s="46">
        <f t="shared" ref="AK16:BK16" si="15">AJ16+AK12</f>
        <v>0</v>
      </c>
      <c r="AL16" s="46">
        <f t="shared" si="15"/>
        <v>0</v>
      </c>
      <c r="AM16" s="46">
        <f t="shared" si="15"/>
        <v>0</v>
      </c>
      <c r="AN16" s="46">
        <f t="shared" si="15"/>
        <v>0</v>
      </c>
      <c r="AO16" s="46">
        <f t="shared" si="15"/>
        <v>0</v>
      </c>
      <c r="AP16" s="46">
        <f t="shared" si="15"/>
        <v>0</v>
      </c>
      <c r="AQ16" s="46">
        <f t="shared" si="15"/>
        <v>0</v>
      </c>
      <c r="AR16" s="46">
        <f t="shared" si="15"/>
        <v>0</v>
      </c>
      <c r="AS16" s="46">
        <f t="shared" si="15"/>
        <v>0</v>
      </c>
      <c r="AT16" s="46">
        <f t="shared" si="15"/>
        <v>0</v>
      </c>
      <c r="AU16" s="46">
        <f t="shared" si="15"/>
        <v>0</v>
      </c>
      <c r="AV16" s="46">
        <f t="shared" si="15"/>
        <v>0</v>
      </c>
      <c r="AW16" s="46">
        <f t="shared" si="15"/>
        <v>0</v>
      </c>
      <c r="AX16" s="46">
        <f t="shared" si="15"/>
        <v>0</v>
      </c>
      <c r="AY16" s="46">
        <f t="shared" si="15"/>
        <v>0</v>
      </c>
      <c r="AZ16" s="46">
        <f t="shared" si="15"/>
        <v>0</v>
      </c>
      <c r="BA16" s="46">
        <f t="shared" si="15"/>
        <v>0</v>
      </c>
      <c r="BB16" s="46">
        <f t="shared" si="15"/>
        <v>0</v>
      </c>
      <c r="BC16" s="46">
        <f t="shared" si="15"/>
        <v>0</v>
      </c>
      <c r="BD16" s="46">
        <f t="shared" si="15"/>
        <v>0</v>
      </c>
      <c r="BE16" s="46">
        <f t="shared" si="15"/>
        <v>0</v>
      </c>
      <c r="BF16" s="46">
        <f t="shared" si="15"/>
        <v>0</v>
      </c>
      <c r="BG16" s="46">
        <f t="shared" si="15"/>
        <v>0</v>
      </c>
      <c r="BH16" s="46">
        <f t="shared" si="15"/>
        <v>0</v>
      </c>
      <c r="BI16" s="46">
        <f t="shared" si="15"/>
        <v>0</v>
      </c>
      <c r="BJ16" s="46">
        <f t="shared" si="15"/>
        <v>0</v>
      </c>
      <c r="BK16" s="60">
        <f t="shared" si="15"/>
        <v>0</v>
      </c>
    </row>
    <row r="17" spans="1:63" ht="27.6">
      <c r="A17" s="48" t="s">
        <v>556</v>
      </c>
      <c r="B17" s="44" t="s">
        <v>557</v>
      </c>
      <c r="C17" s="49" t="s">
        <v>558</v>
      </c>
      <c r="D17" s="61" t="str">
        <f>IF(D12=0,"",MAX((Revenue_36M!D20-Opex_36M!D28)/D12,0))</f>
        <v/>
      </c>
      <c r="E17" s="47" t="str">
        <f>IF(E12=0,"",MAX((Revenue_36M!E20-Opex_36M!E28)/E12,0))</f>
        <v/>
      </c>
      <c r="F17" s="47" t="str">
        <f>IF(F12=0,"",MAX((Revenue_36M!F20-Opex_36M!F28)/F12,0))</f>
        <v/>
      </c>
      <c r="G17" s="47" t="str">
        <f>IF(G12=0,"",MAX((Revenue_36M!G20-Opex_36M!G28)/G12,0))</f>
        <v/>
      </c>
      <c r="H17" s="47" t="str">
        <f>IF(H12=0,"",MAX((Revenue_36M!H20-Opex_36M!H28)/H12,0))</f>
        <v/>
      </c>
      <c r="I17" s="47" t="str">
        <f>IF(I12=0,"",MAX((Revenue_36M!I20-Opex_36M!I28)/I12,0))</f>
        <v/>
      </c>
      <c r="J17" s="47" t="str">
        <f>IF(J12=0,"",MAX((Revenue_36M!J20-Opex_36M!J28)/J12,0))</f>
        <v/>
      </c>
      <c r="K17" s="47" t="str">
        <f>IF(K12=0,"",MAX((Revenue_36M!K20-Opex_36M!K28)/K12,0))</f>
        <v/>
      </c>
      <c r="L17" s="47" t="str">
        <f>IF(L12=0,"",MAX((Revenue_36M!L20-Opex_36M!L28)/L12,0))</f>
        <v/>
      </c>
      <c r="M17" s="47" t="str">
        <f>IF(M12=0,"",MAX((Revenue_36M!M20-Opex_36M!M28)/M12,0))</f>
        <v/>
      </c>
      <c r="N17" s="47" t="str">
        <f>IF(N12=0,"",MAX((Revenue_36M!N20-Opex_36M!N28)/N12,0))</f>
        <v/>
      </c>
      <c r="O17" s="47" t="str">
        <f>IF(O12=0,"",MAX((Revenue_36M!O20-Opex_36M!O28)/O12,0))</f>
        <v/>
      </c>
      <c r="P17" s="47" t="str">
        <f>IF(P12=0,"",MAX((Revenue_36M!P20-Opex_36M!P28)/P12,0))</f>
        <v/>
      </c>
      <c r="Q17" s="47" t="str">
        <f>IF(Q12=0,"",MAX((Revenue_36M!Q20-Opex_36M!Q28)/Q12,0))</f>
        <v/>
      </c>
      <c r="R17" s="47" t="str">
        <f>IF(R12=0,"",MAX((Revenue_36M!R20-Opex_36M!R28)/R12,0))</f>
        <v/>
      </c>
      <c r="S17" s="47" t="str">
        <f>IF(S12=0,"",MAX((Revenue_36M!S20-Opex_36M!S28)/S12,0))</f>
        <v/>
      </c>
      <c r="T17" s="47" t="str">
        <f>IF(T12=0,"",MAX((Revenue_36M!T20-Opex_36M!T28)/T12,0))</f>
        <v/>
      </c>
      <c r="U17" s="47" t="str">
        <f>IF(U12=0,"",MAX((Revenue_36M!U20-Opex_36M!U28)/U12,0))</f>
        <v/>
      </c>
      <c r="V17" s="47" t="str">
        <f>IF(V12=0,"",MAX((Revenue_36M!V20-Opex_36M!V28)/V12,0))</f>
        <v/>
      </c>
      <c r="W17" s="47" t="str">
        <f>IF(W12=0,"",MAX((Revenue_36M!W20-Opex_36M!W28)/W12,0))</f>
        <v/>
      </c>
      <c r="X17" s="47" t="str">
        <f>IF(X12=0,"",MAX((Revenue_36M!X20-Opex_36M!X28)/X12,0))</f>
        <v/>
      </c>
      <c r="Y17" s="47" t="str">
        <f>IF(Y12=0,"",MAX((Revenue_36M!Y20-Opex_36M!Y28)/Y12,0))</f>
        <v/>
      </c>
      <c r="Z17" s="47" t="str">
        <f>IF(Z12=0,"",MAX((Revenue_36M!Z20-Opex_36M!Z28)/Z12,0))</f>
        <v/>
      </c>
      <c r="AA17" s="47" t="str">
        <f>IF(AA12=0,"",MAX((Revenue_36M!AA20-Opex_36M!AA28)/AA12,0))</f>
        <v/>
      </c>
      <c r="AB17" s="47" t="str">
        <f>IF(AB12=0,"",MAX((Revenue_36M!AB20-Opex_36M!AB28)/AB12,0))</f>
        <v/>
      </c>
      <c r="AC17" s="47" t="str">
        <f>IF(AC12=0,"",MAX((Revenue_36M!AC20-Opex_36M!AC28)/AC12,0))</f>
        <v/>
      </c>
      <c r="AD17" s="47" t="str">
        <f>IF(AD12=0,"",MAX((Revenue_36M!AD20-Opex_36M!AD28)/AD12,0))</f>
        <v/>
      </c>
      <c r="AE17" s="47" t="str">
        <f>IF(AE12=0,"",MAX((Revenue_36M!AE20-Opex_36M!AE28)/AE12,0))</f>
        <v/>
      </c>
      <c r="AF17" s="47" t="str">
        <f>IF(AF12=0,"",MAX((Revenue_36M!AF20-Opex_36M!AF28)/AF12,0))</f>
        <v/>
      </c>
      <c r="AG17" s="47" t="str">
        <f>IF(AG12=0,"",MAX((Revenue_36M!AG20-Opex_36M!AG28)/AG12,0))</f>
        <v/>
      </c>
      <c r="AH17" s="47" t="str">
        <f>IF(AH12=0,"",MAX((Revenue_36M!AH20-Opex_36M!AH28)/AH12,0))</f>
        <v/>
      </c>
      <c r="AI17" s="47" t="str">
        <f>IF(AI12=0,"",MAX((Revenue_36M!AI20-Opex_36M!AI28)/AI12,0))</f>
        <v/>
      </c>
      <c r="AJ17" s="47" t="str">
        <f>IF(AJ12=0,"",MAX((Revenue_36M!AJ20-Opex_36M!AJ28)/AJ12,0))</f>
        <v/>
      </c>
      <c r="AK17" s="47" t="str">
        <f>IF(AK12=0,"",MAX((Revenue_36M!AK20-Opex_36M!AK28)/AK12,0))</f>
        <v/>
      </c>
      <c r="AL17" s="47" t="str">
        <f>IF(AL12=0,"",MAX((Revenue_36M!AL20-Opex_36M!AL28)/AL12,0))</f>
        <v/>
      </c>
      <c r="AM17" s="47" t="str">
        <f>IF(AM12=0,"",MAX((Revenue_36M!AM20-Opex_36M!AM28)/AM12,0))</f>
        <v/>
      </c>
      <c r="AN17" s="47" t="str">
        <f>""</f>
        <v/>
      </c>
      <c r="AO17" s="47" t="str">
        <f>""</f>
        <v/>
      </c>
      <c r="AP17" s="47" t="str">
        <f>""</f>
        <v/>
      </c>
      <c r="AQ17" s="47" t="str">
        <f>""</f>
        <v/>
      </c>
      <c r="AR17" s="47" t="str">
        <f>""</f>
        <v/>
      </c>
      <c r="AS17" s="47" t="str">
        <f>""</f>
        <v/>
      </c>
      <c r="AT17" s="47" t="str">
        <f>""</f>
        <v/>
      </c>
      <c r="AU17" s="47" t="str">
        <f>""</f>
        <v/>
      </c>
      <c r="AV17" s="47" t="str">
        <f>""</f>
        <v/>
      </c>
      <c r="AW17" s="47" t="str">
        <f>""</f>
        <v/>
      </c>
      <c r="AX17" s="47" t="str">
        <f>""</f>
        <v/>
      </c>
      <c r="AY17" s="47" t="str">
        <f>""</f>
        <v/>
      </c>
      <c r="AZ17" s="47" t="str">
        <f>""</f>
        <v/>
      </c>
      <c r="BA17" s="47" t="str">
        <f>""</f>
        <v/>
      </c>
      <c r="BB17" s="47" t="str">
        <f>""</f>
        <v/>
      </c>
      <c r="BC17" s="47" t="str">
        <f>""</f>
        <v/>
      </c>
      <c r="BD17" s="47" t="str">
        <f>""</f>
        <v/>
      </c>
      <c r="BE17" s="47" t="str">
        <f>""</f>
        <v/>
      </c>
      <c r="BF17" s="47" t="str">
        <f>""</f>
        <v/>
      </c>
      <c r="BG17" s="47" t="str">
        <f>""</f>
        <v/>
      </c>
      <c r="BH17" s="47" t="str">
        <f>""</f>
        <v/>
      </c>
      <c r="BI17" s="47" t="str">
        <f>""</f>
        <v/>
      </c>
      <c r="BJ17" s="47" t="str">
        <f>""</f>
        <v/>
      </c>
      <c r="BK17" s="62" t="str">
        <f>""</f>
        <v/>
      </c>
    </row>
    <row r="18" spans="1:63" ht="27.6">
      <c r="A18" s="50" t="s">
        <v>559</v>
      </c>
      <c r="B18" s="51" t="s">
        <v>557</v>
      </c>
      <c r="C18" s="52" t="s">
        <v>560</v>
      </c>
      <c r="D18" s="63" t="str">
        <f>IF(D12=0,"",MAX((Revenue_36M!D21-Opex_36M!D28)/D12,0))</f>
        <v/>
      </c>
      <c r="E18" s="64" t="str">
        <f>IF(E12=0,"",MAX((Revenue_36M!E21-Opex_36M!E28)/E12,0))</f>
        <v/>
      </c>
      <c r="F18" s="64" t="str">
        <f>IF(F12=0,"",MAX((Revenue_36M!F21-Opex_36M!F28)/F12,0))</f>
        <v/>
      </c>
      <c r="G18" s="64" t="str">
        <f>IF(G12=0,"",MAX((Revenue_36M!G21-Opex_36M!G28)/G12,0))</f>
        <v/>
      </c>
      <c r="H18" s="64" t="str">
        <f>IF(H12=0,"",MAX((Revenue_36M!H21-Opex_36M!H28)/H12,0))</f>
        <v/>
      </c>
      <c r="I18" s="64" t="str">
        <f>IF(I12=0,"",MAX((Revenue_36M!I21-Opex_36M!I28)/I12,0))</f>
        <v/>
      </c>
      <c r="J18" s="64" t="str">
        <f>IF(J12=0,"",MAX((Revenue_36M!J21-Opex_36M!J28)/J12,0))</f>
        <v/>
      </c>
      <c r="K18" s="64" t="str">
        <f>IF(K12=0,"",MAX((Revenue_36M!K21-Opex_36M!K28)/K12,0))</f>
        <v/>
      </c>
      <c r="L18" s="64" t="str">
        <f>IF(L12=0,"",MAX((Revenue_36M!L21-Opex_36M!L28)/L12,0))</f>
        <v/>
      </c>
      <c r="M18" s="64" t="str">
        <f>IF(M12=0,"",MAX((Revenue_36M!M21-Opex_36M!M28)/M12,0))</f>
        <v/>
      </c>
      <c r="N18" s="64" t="str">
        <f>IF(N12=0,"",MAX((Revenue_36M!N21-Opex_36M!N28)/N12,0))</f>
        <v/>
      </c>
      <c r="O18" s="64" t="str">
        <f>IF(O12=0,"",MAX((Revenue_36M!O21-Opex_36M!O28)/O12,0))</f>
        <v/>
      </c>
      <c r="P18" s="64" t="str">
        <f>IF(P12=0,"",MAX((Revenue_36M!P21-Opex_36M!P28)/P12,0))</f>
        <v/>
      </c>
      <c r="Q18" s="64" t="str">
        <f>IF(Q12=0,"",MAX((Revenue_36M!Q21-Opex_36M!Q28)/Q12,0))</f>
        <v/>
      </c>
      <c r="R18" s="64" t="str">
        <f>IF(R12=0,"",MAX((Revenue_36M!R21-Opex_36M!R28)/R12,0))</f>
        <v/>
      </c>
      <c r="S18" s="64" t="str">
        <f>IF(S12=0,"",MAX((Revenue_36M!S21-Opex_36M!S28)/S12,0))</f>
        <v/>
      </c>
      <c r="T18" s="64" t="str">
        <f>IF(T12=0,"",MAX((Revenue_36M!T21-Opex_36M!T28)/T12,0))</f>
        <v/>
      </c>
      <c r="U18" s="64" t="str">
        <f>IF(U12=0,"",MAX((Revenue_36M!U21-Opex_36M!U28)/U12,0))</f>
        <v/>
      </c>
      <c r="V18" s="64" t="str">
        <f>IF(V12=0,"",MAX((Revenue_36M!V21-Opex_36M!V28)/V12,0))</f>
        <v/>
      </c>
      <c r="W18" s="64" t="str">
        <f>IF(W12=0,"",MAX((Revenue_36M!W21-Opex_36M!W28)/W12,0))</f>
        <v/>
      </c>
      <c r="X18" s="64" t="str">
        <f>IF(X12=0,"",MAX((Revenue_36M!X21-Opex_36M!X28)/X12,0))</f>
        <v/>
      </c>
      <c r="Y18" s="64" t="str">
        <f>IF(Y12=0,"",MAX((Revenue_36M!Y21-Opex_36M!Y28)/Y12,0))</f>
        <v/>
      </c>
      <c r="Z18" s="64" t="str">
        <f>IF(Z12=0,"",MAX((Revenue_36M!Z21-Opex_36M!Z28)/Z12,0))</f>
        <v/>
      </c>
      <c r="AA18" s="64" t="str">
        <f>IF(AA12=0,"",MAX((Revenue_36M!AA21-Opex_36M!AA28)/AA12,0))</f>
        <v/>
      </c>
      <c r="AB18" s="64" t="str">
        <f>IF(AB12=0,"",MAX((Revenue_36M!AB21-Opex_36M!AB28)/AB12,0))</f>
        <v/>
      </c>
      <c r="AC18" s="64" t="str">
        <f>IF(AC12=0,"",MAX((Revenue_36M!AC21-Opex_36M!AC28)/AC12,0))</f>
        <v/>
      </c>
      <c r="AD18" s="64" t="str">
        <f>IF(AD12=0,"",MAX((Revenue_36M!AD21-Opex_36M!AD28)/AD12,0))</f>
        <v/>
      </c>
      <c r="AE18" s="64" t="str">
        <f>IF(AE12=0,"",MAX((Revenue_36M!AE21-Opex_36M!AE28)/AE12,0))</f>
        <v/>
      </c>
      <c r="AF18" s="64" t="str">
        <f>IF(AF12=0,"",MAX((Revenue_36M!AF21-Opex_36M!AF28)/AF12,0))</f>
        <v/>
      </c>
      <c r="AG18" s="64" t="str">
        <f>IF(AG12=0,"",MAX((Revenue_36M!AG21-Opex_36M!AG28)/AG12,0))</f>
        <v/>
      </c>
      <c r="AH18" s="64" t="str">
        <f>IF(AH12=0,"",MAX((Revenue_36M!AH21-Opex_36M!AH28)/AH12,0))</f>
        <v/>
      </c>
      <c r="AI18" s="64" t="str">
        <f>IF(AI12=0,"",MAX((Revenue_36M!AI21-Opex_36M!AI28)/AI12,0))</f>
        <v/>
      </c>
      <c r="AJ18" s="64" t="str">
        <f>IF(AJ12=0,"",MAX((Revenue_36M!AJ21-Opex_36M!AJ28)/AJ12,0))</f>
        <v/>
      </c>
      <c r="AK18" s="64" t="str">
        <f>IF(AK12=0,"",MAX((Revenue_36M!AK21-Opex_36M!AK28)/AK12,0))</f>
        <v/>
      </c>
      <c r="AL18" s="64" t="str">
        <f>IF(AL12=0,"",MAX((Revenue_36M!AL21-Opex_36M!AL28)/AL12,0))</f>
        <v/>
      </c>
      <c r="AM18" s="64" t="str">
        <f>IF(AM12=0,"",MAX((Revenue_36M!AM21-Opex_36M!AM28)/AM12,0))</f>
        <v/>
      </c>
      <c r="AN18" s="64" t="str">
        <f>""</f>
        <v/>
      </c>
      <c r="AO18" s="64" t="str">
        <f>""</f>
        <v/>
      </c>
      <c r="AP18" s="64" t="str">
        <f>""</f>
        <v/>
      </c>
      <c r="AQ18" s="64" t="str">
        <f>""</f>
        <v/>
      </c>
      <c r="AR18" s="64" t="str">
        <f>""</f>
        <v/>
      </c>
      <c r="AS18" s="64" t="str">
        <f>""</f>
        <v/>
      </c>
      <c r="AT18" s="64" t="str">
        <f>""</f>
        <v/>
      </c>
      <c r="AU18" s="64" t="str">
        <f>""</f>
        <v/>
      </c>
      <c r="AV18" s="64" t="str">
        <f>""</f>
        <v/>
      </c>
      <c r="AW18" s="64" t="str">
        <f>""</f>
        <v/>
      </c>
      <c r="AX18" s="64" t="str">
        <f>""</f>
        <v/>
      </c>
      <c r="AY18" s="64" t="str">
        <f>""</f>
        <v/>
      </c>
      <c r="AZ18" s="64" t="str">
        <f>""</f>
        <v/>
      </c>
      <c r="BA18" s="64" t="str">
        <f>""</f>
        <v/>
      </c>
      <c r="BB18" s="64" t="str">
        <f>""</f>
        <v/>
      </c>
      <c r="BC18" s="64" t="str">
        <f>""</f>
        <v/>
      </c>
      <c r="BD18" s="64" t="str">
        <f>""</f>
        <v/>
      </c>
      <c r="BE18" s="64" t="str">
        <f>""</f>
        <v/>
      </c>
      <c r="BF18" s="64" t="str">
        <f>""</f>
        <v/>
      </c>
      <c r="BG18" s="64" t="str">
        <f>""</f>
        <v/>
      </c>
      <c r="BH18" s="64" t="str">
        <f>""</f>
        <v/>
      </c>
      <c r="BI18" s="64" t="str">
        <f>""</f>
        <v/>
      </c>
      <c r="BJ18" s="64" t="str">
        <f>""</f>
        <v/>
      </c>
      <c r="BK18" s="65" t="str">
        <f>""</f>
        <v/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"/>
  <sheetViews>
    <sheetView tabSelected="1" workbookViewId="0">
      <selection activeCell="I11" sqref="I11"/>
    </sheetView>
  </sheetViews>
  <sheetFormatPr defaultRowHeight="13.8"/>
  <cols>
    <col min="1" max="1" width="32.09765625" customWidth="1"/>
    <col min="2" max="2" width="11.3984375" customWidth="1"/>
    <col min="3" max="5" width="13.59765625" customWidth="1"/>
    <col min="6" max="6" width="42.09765625" customWidth="1"/>
  </cols>
  <sheetData>
    <row r="1" spans="1:6" ht="21">
      <c r="A1" s="225" t="s">
        <v>561</v>
      </c>
      <c r="B1" s="226"/>
      <c r="C1" s="226"/>
      <c r="D1" s="226"/>
      <c r="E1" s="226"/>
      <c r="F1" s="227"/>
    </row>
    <row r="2" spans="1:6">
      <c r="A2" s="228" t="s">
        <v>562</v>
      </c>
      <c r="B2" s="229"/>
      <c r="C2" s="229"/>
      <c r="D2" s="229"/>
      <c r="E2" s="229"/>
      <c r="F2" s="230"/>
    </row>
    <row r="4" spans="1:6">
      <c r="A4" s="40" t="s">
        <v>17</v>
      </c>
      <c r="B4" s="41" t="s">
        <v>84</v>
      </c>
      <c r="C4" s="41" t="s">
        <v>18</v>
      </c>
      <c r="D4" s="41" t="s">
        <v>19</v>
      </c>
      <c r="E4" s="41" t="s">
        <v>20</v>
      </c>
      <c r="F4" s="42" t="s">
        <v>118</v>
      </c>
    </row>
    <row r="5" spans="1:6">
      <c r="A5" s="48"/>
      <c r="B5" s="44"/>
      <c r="C5" s="44"/>
      <c r="D5" s="44"/>
      <c r="E5" s="44"/>
      <c r="F5" s="49"/>
    </row>
    <row r="6" spans="1:6">
      <c r="A6" s="48" t="s">
        <v>563</v>
      </c>
      <c r="B6" s="44" t="s">
        <v>28</v>
      </c>
      <c r="C6" s="66">
        <f>AVERAGE(Deployment_36M!D21:O21)</f>
        <v>13.333333333333334</v>
      </c>
      <c r="D6" s="66">
        <f>AVERAGE(Deployment_36M!P21:AA21)</f>
        <v>20</v>
      </c>
      <c r="E6" s="66">
        <f>AVERAGE(Deployment_36M!AB21:AM21)</f>
        <v>20</v>
      </c>
      <c r="F6" s="49" t="s">
        <v>564</v>
      </c>
    </row>
    <row r="7" spans="1:6">
      <c r="A7" s="48" t="s">
        <v>29</v>
      </c>
      <c r="B7" s="44" t="s">
        <v>28</v>
      </c>
      <c r="C7" s="66">
        <f>Deployment_36M!O8+Deployment_36M!O9</f>
        <v>20</v>
      </c>
      <c r="D7" s="66">
        <f>Deployment_36M!AA8+Deployment_36M!AA9</f>
        <v>20</v>
      </c>
      <c r="E7" s="66">
        <f>Deployment_36M!AM8+Deployment_36M!AM9</f>
        <v>20</v>
      </c>
      <c r="F7" s="49" t="s">
        <v>565</v>
      </c>
    </row>
    <row r="8" spans="1:6">
      <c r="A8" s="48" t="s">
        <v>566</v>
      </c>
      <c r="B8" s="44" t="s">
        <v>28</v>
      </c>
      <c r="C8" s="66">
        <f>Deployment_36M!O8</f>
        <v>15</v>
      </c>
      <c r="D8" s="66">
        <f>Deployment_36M!AA8</f>
        <v>15</v>
      </c>
      <c r="E8" s="66">
        <f>Deployment_36M!AM8</f>
        <v>15</v>
      </c>
      <c r="F8" s="49" t="s">
        <v>567</v>
      </c>
    </row>
    <row r="9" spans="1:6">
      <c r="A9" s="48" t="s">
        <v>568</v>
      </c>
      <c r="B9" s="44" t="s">
        <v>28</v>
      </c>
      <c r="C9" s="66">
        <f>Deployment_36M!O9</f>
        <v>5</v>
      </c>
      <c r="D9" s="66">
        <f>Deployment_36M!AA9</f>
        <v>5</v>
      </c>
      <c r="E9" s="66">
        <f>Deployment_36M!AM9</f>
        <v>5</v>
      </c>
      <c r="F9" s="49" t="s">
        <v>567</v>
      </c>
    </row>
    <row r="10" spans="1:6">
      <c r="A10" s="48" t="s">
        <v>569</v>
      </c>
      <c r="B10" s="44" t="s">
        <v>28</v>
      </c>
      <c r="C10" s="66">
        <f>Deployment_36M!O10</f>
        <v>10</v>
      </c>
      <c r="D10" s="66">
        <f>Deployment_36M!AA10</f>
        <v>10</v>
      </c>
      <c r="E10" s="66">
        <f>Deployment_36M!AM10</f>
        <v>10</v>
      </c>
      <c r="F10" s="49" t="s">
        <v>570</v>
      </c>
    </row>
    <row r="11" spans="1:6">
      <c r="A11" s="48" t="s">
        <v>36</v>
      </c>
      <c r="B11" s="44" t="s">
        <v>571</v>
      </c>
      <c r="C11" s="66">
        <f>SUM(Revenue_36M!D16:O16)</f>
        <v>177.73379847672331</v>
      </c>
      <c r="D11" s="66">
        <f>SUM(Revenue_36M!P16:AA16)</f>
        <v>247.36134912201942</v>
      </c>
      <c r="E11" s="66">
        <f>SUM(Revenue_36M!AB16:AM16)</f>
        <v>224.26714137842254</v>
      </c>
      <c r="F11" s="49" t="s">
        <v>572</v>
      </c>
    </row>
    <row r="12" spans="1:6">
      <c r="A12" s="48" t="s">
        <v>573</v>
      </c>
      <c r="B12" s="44" t="s">
        <v>221</v>
      </c>
      <c r="C12" s="67">
        <f>SUM(Revenue_36M!D20:O20)</f>
        <v>246952.79518970186</v>
      </c>
      <c r="D12" s="67">
        <f>SUM(Revenue_36M!P20:AA20)</f>
        <v>386487.07002439245</v>
      </c>
      <c r="E12" s="67">
        <f>SUM(Revenue_36M!AB20:AM20)</f>
        <v>402944.55066883162</v>
      </c>
      <c r="F12" s="49" t="s">
        <v>43</v>
      </c>
    </row>
    <row r="13" spans="1:6">
      <c r="A13" s="48" t="s">
        <v>574</v>
      </c>
      <c r="B13" s="44" t="s">
        <v>221</v>
      </c>
      <c r="C13" s="67">
        <f>SUM(Revenue_36M!D21:O21)</f>
        <v>246952.79518970186</v>
      </c>
      <c r="D13" s="67">
        <f>SUM(Revenue_36M!P21:AA21)</f>
        <v>386487.07002439245</v>
      </c>
      <c r="E13" s="67">
        <f>SUM(Revenue_36M!AB21:AM21)</f>
        <v>402944.55066883162</v>
      </c>
      <c r="F13" s="49" t="s">
        <v>575</v>
      </c>
    </row>
    <row r="14" spans="1:6">
      <c r="A14" s="48" t="s">
        <v>48</v>
      </c>
      <c r="B14" s="44" t="s">
        <v>221</v>
      </c>
      <c r="C14" s="67">
        <f>SUM(Opex_36M!D28:O28)</f>
        <v>111101.93</v>
      </c>
      <c r="D14" s="67">
        <f>SUM(Opex_36M!P28:AA28)</f>
        <v>153734.62999999998</v>
      </c>
      <c r="E14" s="67">
        <f>SUM(Opex_36M!AB28:AM28)</f>
        <v>147482.05849999998</v>
      </c>
      <c r="F14" s="49" t="s">
        <v>576</v>
      </c>
    </row>
    <row r="15" spans="1:6">
      <c r="A15" s="48" t="s">
        <v>577</v>
      </c>
      <c r="B15" s="44" t="s">
        <v>221</v>
      </c>
      <c r="C15" s="67">
        <f>SUM(Opex_36M!D29:O29)</f>
        <v>135850.86518970184</v>
      </c>
      <c r="D15" s="67">
        <f>SUM(Opex_36M!P29:AA29)</f>
        <v>232752.44002439245</v>
      </c>
      <c r="E15" s="67">
        <f>SUM(Opex_36M!AB29:AM29)</f>
        <v>255462.49216883164</v>
      </c>
      <c r="F15" s="49" t="s">
        <v>578</v>
      </c>
    </row>
    <row r="16" spans="1:6">
      <c r="A16" s="48" t="s">
        <v>579</v>
      </c>
      <c r="B16" s="44" t="s">
        <v>221</v>
      </c>
      <c r="C16" s="67">
        <f>SUM(Opex_36M!D30:O30)</f>
        <v>135850.86518970184</v>
      </c>
      <c r="D16" s="67">
        <f>SUM(Opex_36M!P30:AA30)</f>
        <v>232752.44002439245</v>
      </c>
      <c r="E16" s="67">
        <f>SUM(Opex_36M!AB30:AM30)</f>
        <v>255462.49216883164</v>
      </c>
      <c r="F16" s="49" t="s">
        <v>580</v>
      </c>
    </row>
    <row r="17" spans="1:6">
      <c r="A17" s="48" t="s">
        <v>581</v>
      </c>
      <c r="B17" s="44" t="s">
        <v>221</v>
      </c>
      <c r="C17" s="67">
        <f>SUM(Capex_36M!D52:O52)</f>
        <v>505405.63171680004</v>
      </c>
      <c r="D17" s="67">
        <f>SUM(Capex_36M!P52:AA52)</f>
        <v>0</v>
      </c>
      <c r="E17" s="67">
        <f>SUM(Capex_36M!AB52:AM52)</f>
        <v>0</v>
      </c>
      <c r="F17" s="49" t="s">
        <v>582</v>
      </c>
    </row>
    <row r="18" spans="1:6">
      <c r="A18" s="48" t="s">
        <v>69</v>
      </c>
      <c r="B18" s="44" t="s">
        <v>221</v>
      </c>
      <c r="C18" s="67">
        <f>SUM(Funding_36M!D9:O9)</f>
        <v>-369554.7665270982</v>
      </c>
      <c r="D18" s="67">
        <f>SUM(Funding_36M!P9:AA9)</f>
        <v>232752.44002439245</v>
      </c>
      <c r="E18" s="67">
        <f>SUM(Funding_36M!AB9:AM9)</f>
        <v>255462.49216883164</v>
      </c>
      <c r="F18" s="49" t="s">
        <v>583</v>
      </c>
    </row>
    <row r="19" spans="1:6">
      <c r="A19" s="48" t="s">
        <v>525</v>
      </c>
      <c r="B19" s="44" t="s">
        <v>221</v>
      </c>
      <c r="C19" s="67">
        <f>SUM(Funding_36M!D11:O11)</f>
        <v>470888.25142989011</v>
      </c>
      <c r="D19" s="67">
        <f>SUM(Funding_36M!P11:AA11)</f>
        <v>0</v>
      </c>
      <c r="E19" s="67">
        <f>SUM(Funding_36M!AB11:AM11)</f>
        <v>0</v>
      </c>
      <c r="F19" s="49" t="s">
        <v>584</v>
      </c>
    </row>
    <row r="20" spans="1:6">
      <c r="A20" s="48" t="s">
        <v>585</v>
      </c>
      <c r="B20" s="44" t="s">
        <v>221</v>
      </c>
      <c r="C20" s="67">
        <f>SUM(Funding_36M!D12:O12)</f>
        <v>0</v>
      </c>
      <c r="D20" s="67">
        <f>SUM(Funding_36M!P12:AA12)</f>
        <v>0</v>
      </c>
      <c r="E20" s="67">
        <f>SUM(Funding_36M!AB12:AM12)</f>
        <v>0</v>
      </c>
      <c r="F20" s="49" t="s">
        <v>586</v>
      </c>
    </row>
    <row r="21" spans="1:6">
      <c r="A21" s="48" t="s">
        <v>587</v>
      </c>
      <c r="B21" s="44" t="s">
        <v>221</v>
      </c>
      <c r="C21" s="67">
        <f>Funding_36M!O15</f>
        <v>101333.48490279188</v>
      </c>
      <c r="D21" s="67">
        <f>Funding_36M!AA15</f>
        <v>334085.92492718442</v>
      </c>
      <c r="E21" s="67">
        <f>Funding_36M!AM15</f>
        <v>589548.417096016</v>
      </c>
      <c r="F21" s="49" t="s">
        <v>588</v>
      </c>
    </row>
    <row r="22" spans="1:6">
      <c r="A22" s="48"/>
      <c r="B22" s="44"/>
      <c r="C22" s="44"/>
      <c r="D22" s="44"/>
      <c r="E22" s="44"/>
      <c r="F22" s="49"/>
    </row>
    <row r="23" spans="1:6">
      <c r="A23" s="48"/>
      <c r="B23" s="44"/>
      <c r="C23" s="44"/>
      <c r="D23" s="44"/>
      <c r="E23" s="44"/>
      <c r="F23" s="49"/>
    </row>
    <row r="24" spans="1:6">
      <c r="A24" s="40" t="s">
        <v>589</v>
      </c>
      <c r="B24" s="41"/>
      <c r="C24" s="41"/>
      <c r="D24" s="41"/>
      <c r="E24" s="41"/>
      <c r="F24" s="42"/>
    </row>
    <row r="25" spans="1:6" ht="27.6">
      <c r="A25" s="48" t="s">
        <v>7</v>
      </c>
      <c r="B25" s="44" t="s">
        <v>221</v>
      </c>
      <c r="C25" s="67">
        <f>MAX(Funding_36M!D17:AM17)</f>
        <v>470888.25142989011</v>
      </c>
      <c r="D25" s="44"/>
      <c r="E25" s="44"/>
      <c r="F25" s="49" t="s">
        <v>590</v>
      </c>
    </row>
    <row r="26" spans="1:6">
      <c r="A26" s="48" t="s">
        <v>8</v>
      </c>
      <c r="B26" s="44" t="s">
        <v>221</v>
      </c>
      <c r="C26" s="67">
        <f>SUM(Funding_36M!D11:AM11)</f>
        <v>470888.25142989011</v>
      </c>
      <c r="D26" s="44"/>
      <c r="E26" s="44"/>
      <c r="F26" s="49" t="s">
        <v>591</v>
      </c>
    </row>
    <row r="27" spans="1:6">
      <c r="A27" s="48" t="s">
        <v>592</v>
      </c>
      <c r="B27" s="44" t="s">
        <v>221</v>
      </c>
      <c r="C27" s="67">
        <f>SUM(Funding_36M!D12:AM12)</f>
        <v>0</v>
      </c>
      <c r="D27" s="44"/>
      <c r="E27" s="44"/>
      <c r="F27" s="49" t="s">
        <v>593</v>
      </c>
    </row>
    <row r="28" spans="1:6" ht="27.6">
      <c r="A28" s="50" t="s">
        <v>594</v>
      </c>
      <c r="B28" s="51" t="s">
        <v>557</v>
      </c>
      <c r="C28" s="68">
        <f>IF(C25=0,"",SUM(Capex_36M!D52:AM52)/C25)</f>
        <v>1.0733027001249131</v>
      </c>
      <c r="D28" s="51"/>
      <c r="E28" s="51"/>
      <c r="F28" s="52" t="s">
        <v>595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Inputs</vt:lpstr>
      <vt:lpstr>Deployment_36M</vt:lpstr>
      <vt:lpstr>Revenue_36M</vt:lpstr>
      <vt:lpstr>Opex_36M</vt:lpstr>
      <vt:lpstr>Capex_36M</vt:lpstr>
      <vt:lpstr>Funding_36M</vt:lpstr>
      <vt:lpstr>Debt_Schedule</vt:lpstr>
      <vt:lpstr>Annual_Summary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Carel De Jager</cp:lastModifiedBy>
  <dcterms:modified xsi:type="dcterms:W3CDTF">2026-04-22T15:51:46Z</dcterms:modified>
</cp:coreProperties>
</file>