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relPersonal\My Drive\Carel_Work_Shared_CT\CareldeJager_BlockchainEntity\Bitmach_CarelFolder\Bitmach_Shared\Modelling\Model Updates May 2026\v8\"/>
    </mc:Choice>
  </mc:AlternateContent>
  <xr:revisionPtr revIDLastSave="0" documentId="13_ncr:1_{DB1FF52A-6E57-42B4-AD99-F38CB61EC0AC}" xr6:coauthVersionLast="47" xr6:coauthVersionMax="47" xr10:uidLastSave="{00000000-0000-0000-0000-000000000000}"/>
  <bookViews>
    <workbookView xWindow="28692" yWindow="-108" windowWidth="29016" windowHeight="15696" tabRatio="861" xr2:uid="{00000000-000D-0000-FFFF-FFFF00000000}"/>
  </bookViews>
  <sheets>
    <sheet name="Dashboard" sheetId="1" r:id="rId1"/>
    <sheet name="Controls" sheetId="2" r:id="rId2"/>
    <sheet name="Monthly_Deployment" sheetId="3" r:id="rId3"/>
    <sheet name="Revenue_36M" sheetId="4" r:id="rId4"/>
    <sheet name="Opex_36M" sheetId="5" r:id="rId5"/>
    <sheet name="Capex_36M" sheetId="6" r:id="rId6"/>
    <sheet name="Funding_36M" sheetId="7" r:id="rId7"/>
    <sheet name="Annual_Summary" sheetId="8" r:id="rId8"/>
    <sheet name="Milestones" sheetId="9" r:id="rId9"/>
    <sheet name="Sensitivit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10" l="1"/>
  <c r="AB37" i="7"/>
  <c r="S37" i="7"/>
  <c r="O37" i="7"/>
  <c r="L37" i="7"/>
  <c r="AB36" i="7"/>
  <c r="S36" i="7"/>
  <c r="O36" i="7"/>
  <c r="L36" i="7"/>
  <c r="AB35" i="7"/>
  <c r="S35" i="7"/>
  <c r="O35" i="7"/>
  <c r="L35" i="7"/>
  <c r="AB34" i="7"/>
  <c r="S34" i="7"/>
  <c r="O34" i="7"/>
  <c r="L34" i="7"/>
  <c r="AB33" i="7"/>
  <c r="S33" i="7"/>
  <c r="O33" i="7"/>
  <c r="L33" i="7"/>
  <c r="AB32" i="7"/>
  <c r="S32" i="7"/>
  <c r="O32" i="7"/>
  <c r="L32" i="7"/>
  <c r="AB31" i="7"/>
  <c r="S31" i="7"/>
  <c r="O31" i="7"/>
  <c r="L31" i="7"/>
  <c r="AB30" i="7"/>
  <c r="S30" i="7"/>
  <c r="O30" i="7"/>
  <c r="L30" i="7"/>
  <c r="AB29" i="7"/>
  <c r="S29" i="7"/>
  <c r="O29" i="7"/>
  <c r="L29" i="7"/>
  <c r="AB28" i="7"/>
  <c r="S28" i="7"/>
  <c r="O28" i="7"/>
  <c r="L28" i="7"/>
  <c r="AB27" i="7"/>
  <c r="S27" i="7"/>
  <c r="O27" i="7"/>
  <c r="L27" i="7"/>
  <c r="AB26" i="7"/>
  <c r="S26" i="7"/>
  <c r="O26" i="7"/>
  <c r="L26" i="7"/>
  <c r="S25" i="7"/>
  <c r="O25" i="7"/>
  <c r="L25" i="7"/>
  <c r="AB24" i="7"/>
  <c r="S24" i="7"/>
  <c r="O24" i="7"/>
  <c r="L24" i="7"/>
  <c r="AB23" i="7"/>
  <c r="S23" i="7"/>
  <c r="O23" i="7"/>
  <c r="L23" i="7"/>
  <c r="AB22" i="7"/>
  <c r="S22" i="7"/>
  <c r="O22" i="7"/>
  <c r="L22" i="7"/>
  <c r="AB21" i="7"/>
  <c r="S21" i="7"/>
  <c r="O21" i="7"/>
  <c r="L21" i="7"/>
  <c r="AB20" i="7"/>
  <c r="S20" i="7"/>
  <c r="O20" i="7"/>
  <c r="L20" i="7"/>
  <c r="AB19" i="7"/>
  <c r="S19" i="7"/>
  <c r="O19" i="7"/>
  <c r="L19" i="7"/>
  <c r="AB18" i="7"/>
  <c r="S18" i="7"/>
  <c r="O18" i="7"/>
  <c r="L18" i="7"/>
  <c r="AB17" i="7"/>
  <c r="S17" i="7"/>
  <c r="O17" i="7"/>
  <c r="L17" i="7"/>
  <c r="AB16" i="7"/>
  <c r="S16" i="7"/>
  <c r="O16" i="7"/>
  <c r="L16" i="7"/>
  <c r="AB15" i="7"/>
  <c r="S15" i="7"/>
  <c r="O15" i="7"/>
  <c r="L15" i="7"/>
  <c r="AB14" i="7"/>
  <c r="S14" i="7"/>
  <c r="O14" i="7"/>
  <c r="L14" i="7"/>
  <c r="AB13" i="7"/>
  <c r="S13" i="7"/>
  <c r="O13" i="7"/>
  <c r="L13" i="7"/>
  <c r="AB12" i="7"/>
  <c r="S12" i="7"/>
  <c r="O12" i="7"/>
  <c r="L12" i="7"/>
  <c r="AB11" i="7"/>
  <c r="S11" i="7"/>
  <c r="O11" i="7"/>
  <c r="L11" i="7"/>
  <c r="AB10" i="7"/>
  <c r="S10" i="7"/>
  <c r="O10" i="7"/>
  <c r="L10" i="7"/>
  <c r="AB9" i="7"/>
  <c r="S9" i="7"/>
  <c r="O9" i="7"/>
  <c r="L9" i="7"/>
  <c r="AB8" i="7"/>
  <c r="S8" i="7"/>
  <c r="O8" i="7"/>
  <c r="L8" i="7"/>
  <c r="AB7" i="7"/>
  <c r="P7" i="7"/>
  <c r="O7" i="7"/>
  <c r="L7" i="7"/>
  <c r="AB6" i="7"/>
  <c r="P6" i="7"/>
  <c r="O6" i="7"/>
  <c r="L6" i="7"/>
  <c r="AB5" i="7"/>
  <c r="P5" i="7"/>
  <c r="O5" i="7"/>
  <c r="L5" i="7"/>
  <c r="AB4" i="7"/>
  <c r="P4" i="7"/>
  <c r="O4" i="7"/>
  <c r="L4" i="7"/>
  <c r="AB3" i="7"/>
  <c r="P3" i="7"/>
  <c r="O3" i="7"/>
  <c r="L3" i="7"/>
  <c r="AB2" i="7"/>
  <c r="R2" i="7"/>
  <c r="P2" i="7"/>
  <c r="O2" i="7"/>
  <c r="L2" i="7"/>
  <c r="H2" i="7"/>
  <c r="N37" i="5"/>
  <c r="M37" i="5"/>
  <c r="H37" i="5"/>
  <c r="C37" i="5"/>
  <c r="N36" i="5"/>
  <c r="M36" i="5"/>
  <c r="H36" i="5"/>
  <c r="C36" i="5"/>
  <c r="N35" i="5"/>
  <c r="M35" i="5"/>
  <c r="H35" i="5"/>
  <c r="C35" i="5"/>
  <c r="N34" i="5"/>
  <c r="M34" i="5"/>
  <c r="H34" i="5"/>
  <c r="C34" i="5"/>
  <c r="N33" i="5"/>
  <c r="M33" i="5"/>
  <c r="H33" i="5"/>
  <c r="C33" i="5"/>
  <c r="N32" i="5"/>
  <c r="M32" i="5"/>
  <c r="H32" i="5"/>
  <c r="C32" i="5"/>
  <c r="N31" i="5"/>
  <c r="M31" i="5"/>
  <c r="H31" i="5"/>
  <c r="C31" i="5"/>
  <c r="N30" i="5"/>
  <c r="M30" i="5"/>
  <c r="H30" i="5"/>
  <c r="C30" i="5"/>
  <c r="N29" i="5"/>
  <c r="M29" i="5"/>
  <c r="H29" i="5"/>
  <c r="C29" i="5"/>
  <c r="N28" i="5"/>
  <c r="M28" i="5"/>
  <c r="H28" i="5"/>
  <c r="C28" i="5"/>
  <c r="N27" i="5"/>
  <c r="M27" i="5"/>
  <c r="H27" i="5"/>
  <c r="C27" i="5"/>
  <c r="N26" i="5"/>
  <c r="M26" i="5"/>
  <c r="H26" i="5"/>
  <c r="C26" i="5"/>
  <c r="N25" i="5"/>
  <c r="M25" i="5"/>
  <c r="H25" i="5"/>
  <c r="C25" i="5"/>
  <c r="N24" i="5"/>
  <c r="M24" i="5"/>
  <c r="H24" i="5"/>
  <c r="C24" i="5"/>
  <c r="N23" i="5"/>
  <c r="M23" i="5"/>
  <c r="H23" i="5"/>
  <c r="C23" i="5"/>
  <c r="N22" i="5"/>
  <c r="M22" i="5"/>
  <c r="H22" i="5"/>
  <c r="C22" i="5"/>
  <c r="N21" i="5"/>
  <c r="M21" i="5"/>
  <c r="H21" i="5"/>
  <c r="C21" i="5"/>
  <c r="N20" i="5"/>
  <c r="M20" i="5"/>
  <c r="H20" i="5"/>
  <c r="C20" i="5"/>
  <c r="N19" i="5"/>
  <c r="M19" i="5"/>
  <c r="H19" i="5"/>
  <c r="C19" i="5"/>
  <c r="N18" i="5"/>
  <c r="M18" i="5"/>
  <c r="H18" i="5"/>
  <c r="C18" i="5"/>
  <c r="N17" i="5"/>
  <c r="M17" i="5"/>
  <c r="H17" i="5"/>
  <c r="C17" i="5"/>
  <c r="N16" i="5"/>
  <c r="M16" i="5"/>
  <c r="H16" i="5"/>
  <c r="C16" i="5"/>
  <c r="N15" i="5"/>
  <c r="M15" i="5"/>
  <c r="H15" i="5"/>
  <c r="C15" i="5"/>
  <c r="N14" i="5"/>
  <c r="M14" i="5"/>
  <c r="H14" i="5"/>
  <c r="C14" i="5"/>
  <c r="N13" i="5"/>
  <c r="M13" i="5"/>
  <c r="H13" i="5"/>
  <c r="C13" i="5"/>
  <c r="N12" i="5"/>
  <c r="M12" i="5"/>
  <c r="H12" i="5"/>
  <c r="F12" i="5"/>
  <c r="C12" i="5"/>
  <c r="N11" i="5"/>
  <c r="M11" i="5"/>
  <c r="H11" i="5"/>
  <c r="C11" i="5"/>
  <c r="N10" i="5"/>
  <c r="M10" i="5"/>
  <c r="H10" i="5"/>
  <c r="C10" i="5"/>
  <c r="N9" i="5"/>
  <c r="M9" i="5"/>
  <c r="H9" i="5"/>
  <c r="C9" i="5"/>
  <c r="N8" i="5"/>
  <c r="M8" i="5"/>
  <c r="H8" i="5"/>
  <c r="C8" i="5"/>
  <c r="N7" i="5"/>
  <c r="M7" i="5"/>
  <c r="H7" i="5"/>
  <c r="C7" i="5"/>
  <c r="N6" i="5"/>
  <c r="M6" i="5"/>
  <c r="H6" i="5"/>
  <c r="C6" i="5"/>
  <c r="N5" i="5"/>
  <c r="M5" i="5"/>
  <c r="H5" i="5"/>
  <c r="C5" i="5"/>
  <c r="N4" i="5"/>
  <c r="M4" i="5"/>
  <c r="H4" i="5"/>
  <c r="C4" i="5"/>
  <c r="N3" i="5"/>
  <c r="M3" i="5"/>
  <c r="H3" i="5"/>
  <c r="C3" i="5"/>
  <c r="N2" i="5"/>
  <c r="M2" i="5"/>
  <c r="H2" i="5"/>
  <c r="C2" i="5"/>
  <c r="F37" i="4"/>
  <c r="E37" i="4"/>
  <c r="F36" i="4"/>
  <c r="E36" i="4"/>
  <c r="D36" i="4"/>
  <c r="F35" i="4"/>
  <c r="G35" i="4" s="1"/>
  <c r="E35" i="4"/>
  <c r="D35" i="4"/>
  <c r="F34" i="4"/>
  <c r="G34" i="4" s="1"/>
  <c r="E34" i="4"/>
  <c r="F33" i="4"/>
  <c r="E33" i="4"/>
  <c r="F32" i="4"/>
  <c r="E32" i="4"/>
  <c r="G32" i="4" s="1"/>
  <c r="D32" i="4"/>
  <c r="F31" i="4"/>
  <c r="E31" i="4"/>
  <c r="G31" i="4" s="1"/>
  <c r="D31" i="4"/>
  <c r="O30" i="4"/>
  <c r="F30" i="4"/>
  <c r="E30" i="4"/>
  <c r="F29" i="4"/>
  <c r="E29" i="4"/>
  <c r="F28" i="4"/>
  <c r="E28" i="4"/>
  <c r="F27" i="4"/>
  <c r="E27" i="4"/>
  <c r="O26" i="4"/>
  <c r="F26" i="4"/>
  <c r="E26" i="4"/>
  <c r="F25" i="4"/>
  <c r="E25" i="4"/>
  <c r="F24" i="4"/>
  <c r="E24" i="4"/>
  <c r="F23" i="4"/>
  <c r="E23" i="4"/>
  <c r="F22" i="4"/>
  <c r="E22" i="4"/>
  <c r="F21" i="4"/>
  <c r="E21" i="4"/>
  <c r="D21" i="4"/>
  <c r="F20" i="4"/>
  <c r="E20" i="4"/>
  <c r="G20" i="4" s="1"/>
  <c r="D20" i="4"/>
  <c r="F19" i="4"/>
  <c r="G19" i="4" s="1"/>
  <c r="E19" i="4"/>
  <c r="D19" i="4"/>
  <c r="F18" i="4"/>
  <c r="E18" i="4"/>
  <c r="F17" i="4"/>
  <c r="E17" i="4"/>
  <c r="F16" i="4"/>
  <c r="E16" i="4"/>
  <c r="G16" i="4" s="1"/>
  <c r="D16" i="4"/>
  <c r="F15" i="4"/>
  <c r="E15" i="4"/>
  <c r="G15" i="4" s="1"/>
  <c r="D15" i="4"/>
  <c r="F14" i="4"/>
  <c r="E14" i="4"/>
  <c r="D14" i="4"/>
  <c r="G13" i="4"/>
  <c r="F13" i="4"/>
  <c r="E13" i="4"/>
  <c r="D13" i="4"/>
  <c r="F12" i="4"/>
  <c r="E12" i="4"/>
  <c r="G12" i="4" s="1"/>
  <c r="J11" i="4"/>
  <c r="M11" i="4" s="1"/>
  <c r="F11" i="4"/>
  <c r="E11" i="4"/>
  <c r="F10" i="4"/>
  <c r="E10" i="4"/>
  <c r="D10" i="4"/>
  <c r="F9" i="4"/>
  <c r="E9" i="4"/>
  <c r="D9" i="4"/>
  <c r="O8" i="4"/>
  <c r="F8" i="4"/>
  <c r="E8" i="4"/>
  <c r="D8" i="4"/>
  <c r="J7" i="4"/>
  <c r="F7" i="4"/>
  <c r="E7" i="4"/>
  <c r="D7" i="4"/>
  <c r="F6" i="4"/>
  <c r="E6" i="4"/>
  <c r="F5" i="4"/>
  <c r="E5" i="4"/>
  <c r="F4" i="4"/>
  <c r="E4" i="4"/>
  <c r="G4" i="4" s="1"/>
  <c r="F3" i="4"/>
  <c r="E3" i="4"/>
  <c r="D3" i="4"/>
  <c r="F2" i="4"/>
  <c r="E2" i="4"/>
  <c r="G2" i="4" s="1"/>
  <c r="D2" i="4"/>
  <c r="I37" i="3"/>
  <c r="F37" i="3"/>
  <c r="P37" i="3" s="1"/>
  <c r="D37" i="6" s="1"/>
  <c r="J37" i="6" s="1"/>
  <c r="E37" i="3"/>
  <c r="D37" i="3"/>
  <c r="J37" i="3" s="1"/>
  <c r="E4" i="8" s="1"/>
  <c r="B37" i="3"/>
  <c r="C37" i="3" s="1"/>
  <c r="P36" i="3"/>
  <c r="D36" i="6" s="1"/>
  <c r="J36" i="6" s="1"/>
  <c r="M36" i="3"/>
  <c r="F36" i="5" s="1"/>
  <c r="F36" i="3"/>
  <c r="E36" i="3"/>
  <c r="H37" i="3" s="1"/>
  <c r="L37" i="3" s="1"/>
  <c r="D36" i="3"/>
  <c r="J36" i="3" s="1"/>
  <c r="C36" i="3"/>
  <c r="B36" i="3"/>
  <c r="P35" i="3"/>
  <c r="D35" i="6" s="1"/>
  <c r="J35" i="6" s="1"/>
  <c r="M35" i="3"/>
  <c r="F35" i="5" s="1"/>
  <c r="I35" i="3"/>
  <c r="F35" i="3"/>
  <c r="I36" i="3" s="1"/>
  <c r="E35" i="3"/>
  <c r="H36" i="3" s="1"/>
  <c r="L36" i="3" s="1"/>
  <c r="V36" i="3" s="1"/>
  <c r="E36" i="5" s="1"/>
  <c r="D35" i="3"/>
  <c r="G36" i="3" s="1"/>
  <c r="C35" i="3"/>
  <c r="B35" i="3"/>
  <c r="K34" i="3"/>
  <c r="J34" i="3"/>
  <c r="O34" i="3" s="1"/>
  <c r="I34" i="3"/>
  <c r="M34" i="3" s="1"/>
  <c r="F34" i="5" s="1"/>
  <c r="H34" i="3"/>
  <c r="F34" i="6" s="1"/>
  <c r="G34" i="3"/>
  <c r="F34" i="3"/>
  <c r="E34" i="3"/>
  <c r="H35" i="3" s="1"/>
  <c r="D34" i="3"/>
  <c r="G35" i="3" s="1"/>
  <c r="K35" i="3" s="1"/>
  <c r="B34" i="3"/>
  <c r="C34" i="3" s="1"/>
  <c r="M33" i="3"/>
  <c r="F33" i="5" s="1"/>
  <c r="J33" i="3"/>
  <c r="I33" i="3"/>
  <c r="H33" i="3"/>
  <c r="L33" i="3" s="1"/>
  <c r="G33" i="3"/>
  <c r="F33" i="6" s="1"/>
  <c r="F33" i="3"/>
  <c r="E33" i="3"/>
  <c r="D33" i="3"/>
  <c r="B33" i="3"/>
  <c r="C33" i="3" s="1"/>
  <c r="P32" i="3"/>
  <c r="D32" i="6" s="1"/>
  <c r="J32" i="6" s="1"/>
  <c r="J32" i="3"/>
  <c r="I32" i="3"/>
  <c r="M32" i="3" s="1"/>
  <c r="F32" i="5" s="1"/>
  <c r="G32" i="3"/>
  <c r="F32" i="3"/>
  <c r="E32" i="3"/>
  <c r="D32" i="3"/>
  <c r="B32" i="3"/>
  <c r="C32" i="3" s="1"/>
  <c r="B32" i="4" s="1"/>
  <c r="P31" i="3"/>
  <c r="D31" i="6" s="1"/>
  <c r="J31" i="6" s="1"/>
  <c r="I31" i="3"/>
  <c r="M31" i="3" s="1"/>
  <c r="F31" i="5" s="1"/>
  <c r="H31" i="3"/>
  <c r="L31" i="3" s="1"/>
  <c r="V31" i="3" s="1"/>
  <c r="E31" i="5" s="1"/>
  <c r="G31" i="3"/>
  <c r="F31" i="3"/>
  <c r="E31" i="3"/>
  <c r="H32" i="3" s="1"/>
  <c r="L32" i="3" s="1"/>
  <c r="V32" i="3" s="1"/>
  <c r="E32" i="5" s="1"/>
  <c r="D31" i="3"/>
  <c r="J31" i="3" s="1"/>
  <c r="O31" i="3" s="1"/>
  <c r="C31" i="3"/>
  <c r="B31" i="3"/>
  <c r="P30" i="3"/>
  <c r="D30" i="6" s="1"/>
  <c r="J30" i="6" s="1"/>
  <c r="M30" i="3"/>
  <c r="F30" i="5" s="1"/>
  <c r="J30" i="3"/>
  <c r="G30" i="3"/>
  <c r="F30" i="3"/>
  <c r="E30" i="3"/>
  <c r="D30" i="3"/>
  <c r="C30" i="3"/>
  <c r="B30" i="3"/>
  <c r="P29" i="3"/>
  <c r="D29" i="6" s="1"/>
  <c r="J29" i="6" s="1"/>
  <c r="H29" i="3"/>
  <c r="L29" i="3" s="1"/>
  <c r="F29" i="3"/>
  <c r="I30" i="3" s="1"/>
  <c r="E29" i="3"/>
  <c r="J29" i="3" s="1"/>
  <c r="O30" i="3" s="1"/>
  <c r="D29" i="3"/>
  <c r="C29" i="3"/>
  <c r="B29" i="3"/>
  <c r="L28" i="3"/>
  <c r="I28" i="3"/>
  <c r="M28" i="3" s="1"/>
  <c r="F28" i="5" s="1"/>
  <c r="H28" i="3"/>
  <c r="F28" i="3"/>
  <c r="I29" i="3" s="1"/>
  <c r="M29" i="3" s="1"/>
  <c r="F29" i="5" s="1"/>
  <c r="E28" i="3"/>
  <c r="D28" i="3"/>
  <c r="G29" i="3" s="1"/>
  <c r="B28" i="3"/>
  <c r="C28" i="3" s="1"/>
  <c r="H27" i="3"/>
  <c r="L27" i="3" s="1"/>
  <c r="G27" i="3"/>
  <c r="F27" i="3"/>
  <c r="P27" i="3" s="1"/>
  <c r="D27" i="6" s="1"/>
  <c r="J27" i="6" s="1"/>
  <c r="E27" i="3"/>
  <c r="D27" i="3"/>
  <c r="B27" i="3"/>
  <c r="C27" i="3" s="1"/>
  <c r="K26" i="3"/>
  <c r="F26" i="3"/>
  <c r="I27" i="3" s="1"/>
  <c r="M27" i="3" s="1"/>
  <c r="F27" i="5" s="1"/>
  <c r="E26" i="3"/>
  <c r="J26" i="3" s="1"/>
  <c r="D26" i="3"/>
  <c r="B26" i="3"/>
  <c r="C26" i="3" s="1"/>
  <c r="B26" i="4" s="1"/>
  <c r="I25" i="3"/>
  <c r="M25" i="3" s="1"/>
  <c r="F25" i="5" s="1"/>
  <c r="G25" i="3"/>
  <c r="F25" i="3"/>
  <c r="I26" i="3" s="1"/>
  <c r="M26" i="3" s="1"/>
  <c r="F26" i="5" s="1"/>
  <c r="E25" i="3"/>
  <c r="H26" i="3" s="1"/>
  <c r="L26" i="3" s="1"/>
  <c r="V26" i="3" s="1"/>
  <c r="E26" i="5" s="1"/>
  <c r="D25" i="3"/>
  <c r="G26" i="3" s="1"/>
  <c r="B25" i="3"/>
  <c r="C25" i="3" s="1"/>
  <c r="M24" i="3"/>
  <c r="F24" i="5" s="1"/>
  <c r="F24" i="3"/>
  <c r="P24" i="3" s="1"/>
  <c r="D24" i="6" s="1"/>
  <c r="J24" i="6" s="1"/>
  <c r="E24" i="3"/>
  <c r="H25" i="3" s="1"/>
  <c r="D24" i="3"/>
  <c r="J24" i="3" s="1"/>
  <c r="C24" i="3"/>
  <c r="B24" i="4" s="1"/>
  <c r="B24" i="3"/>
  <c r="H23" i="3"/>
  <c r="F23" i="3"/>
  <c r="I24" i="3" s="1"/>
  <c r="E23" i="3"/>
  <c r="H24" i="3" s="1"/>
  <c r="L24" i="3" s="1"/>
  <c r="D23" i="3"/>
  <c r="G24" i="3" s="1"/>
  <c r="B23" i="3"/>
  <c r="C23" i="3" s="1"/>
  <c r="M22" i="3"/>
  <c r="F22" i="5" s="1"/>
  <c r="L22" i="3"/>
  <c r="V22" i="3" s="1"/>
  <c r="E22" i="5" s="1"/>
  <c r="I22" i="3"/>
  <c r="H22" i="3"/>
  <c r="F22" i="3"/>
  <c r="I23" i="3" s="1"/>
  <c r="M23" i="3" s="1"/>
  <c r="F23" i="5" s="1"/>
  <c r="E22" i="3"/>
  <c r="D22" i="3"/>
  <c r="G23" i="3" s="1"/>
  <c r="B22" i="3"/>
  <c r="G22" i="4" s="1"/>
  <c r="P21" i="3"/>
  <c r="D21" i="6" s="1"/>
  <c r="J21" i="6" s="1"/>
  <c r="J21" i="3"/>
  <c r="H21" i="3"/>
  <c r="L21" i="3" s="1"/>
  <c r="V21" i="3" s="1"/>
  <c r="E21" i="5" s="1"/>
  <c r="G21" i="3"/>
  <c r="K21" i="3" s="1"/>
  <c r="F21" i="3"/>
  <c r="E21" i="3"/>
  <c r="D21" i="3"/>
  <c r="G22" i="3" s="1"/>
  <c r="B21" i="3"/>
  <c r="C21" i="3" s="1"/>
  <c r="B21" i="5" s="1"/>
  <c r="P20" i="3"/>
  <c r="D20" i="6" s="1"/>
  <c r="J20" i="6" s="1"/>
  <c r="I20" i="3"/>
  <c r="M20" i="3" s="1"/>
  <c r="F20" i="5" s="1"/>
  <c r="G20" i="3"/>
  <c r="F20" i="3"/>
  <c r="I21" i="3" s="1"/>
  <c r="M21" i="3" s="1"/>
  <c r="F21" i="5" s="1"/>
  <c r="E20" i="3"/>
  <c r="J20" i="3" s="1"/>
  <c r="D20" i="3"/>
  <c r="C20" i="3"/>
  <c r="B20" i="3"/>
  <c r="P19" i="3"/>
  <c r="D19" i="6" s="1"/>
  <c r="J19" i="6" s="1"/>
  <c r="L19" i="3"/>
  <c r="V19" i="3" s="1"/>
  <c r="E19" i="5" s="1"/>
  <c r="H19" i="3"/>
  <c r="G19" i="3"/>
  <c r="F19" i="3"/>
  <c r="E19" i="3"/>
  <c r="J19" i="3" s="1"/>
  <c r="O19" i="3" s="1"/>
  <c r="D19" i="3"/>
  <c r="C19" i="3"/>
  <c r="B19" i="3"/>
  <c r="J18" i="3"/>
  <c r="O18" i="3" s="1"/>
  <c r="G18" i="3"/>
  <c r="F18" i="3"/>
  <c r="I19" i="3" s="1"/>
  <c r="M19" i="3" s="1"/>
  <c r="F19" i="5" s="1"/>
  <c r="E18" i="3"/>
  <c r="D18" i="3"/>
  <c r="B18" i="3"/>
  <c r="C18" i="3" s="1"/>
  <c r="P17" i="3"/>
  <c r="D17" i="6" s="1"/>
  <c r="J17" i="6" s="1"/>
  <c r="H17" i="3"/>
  <c r="L17" i="3" s="1"/>
  <c r="F17" i="3"/>
  <c r="I18" i="3" s="1"/>
  <c r="M18" i="3" s="1"/>
  <c r="F18" i="5" s="1"/>
  <c r="E17" i="3"/>
  <c r="J17" i="3" s="1"/>
  <c r="D17" i="3"/>
  <c r="C17" i="3"/>
  <c r="B17" i="3"/>
  <c r="G17" i="4" s="1"/>
  <c r="P16" i="3"/>
  <c r="D16" i="6" s="1"/>
  <c r="J16" i="6" s="1"/>
  <c r="F16" i="3"/>
  <c r="I17" i="3" s="1"/>
  <c r="M17" i="3" s="1"/>
  <c r="F17" i="5" s="1"/>
  <c r="E16" i="3"/>
  <c r="D16" i="3"/>
  <c r="G17" i="3" s="1"/>
  <c r="B16" i="3"/>
  <c r="C16" i="3" s="1"/>
  <c r="P15" i="3"/>
  <c r="D15" i="6" s="1"/>
  <c r="J15" i="6" s="1"/>
  <c r="I15" i="3"/>
  <c r="M15" i="3" s="1"/>
  <c r="F15" i="5" s="1"/>
  <c r="F15" i="3"/>
  <c r="I16" i="3" s="1"/>
  <c r="M16" i="3" s="1"/>
  <c r="F16" i="5" s="1"/>
  <c r="E15" i="3"/>
  <c r="H16" i="3" s="1"/>
  <c r="L16" i="3" s="1"/>
  <c r="V16" i="3" s="1"/>
  <c r="E16" i="5" s="1"/>
  <c r="D15" i="3"/>
  <c r="G16" i="3" s="1"/>
  <c r="B15" i="3"/>
  <c r="C15" i="3" s="1"/>
  <c r="I14" i="3"/>
  <c r="M14" i="3" s="1"/>
  <c r="F14" i="5" s="1"/>
  <c r="G14" i="3"/>
  <c r="F14" i="3"/>
  <c r="P14" i="3" s="1"/>
  <c r="D14" i="6" s="1"/>
  <c r="J14" i="6" s="1"/>
  <c r="E14" i="3"/>
  <c r="H15" i="3" s="1"/>
  <c r="L15" i="3" s="1"/>
  <c r="V15" i="3" s="1"/>
  <c r="E15" i="5" s="1"/>
  <c r="D14" i="3"/>
  <c r="G15" i="3" s="1"/>
  <c r="B14" i="3"/>
  <c r="C14" i="3" s="1"/>
  <c r="P13" i="3"/>
  <c r="D13" i="6" s="1"/>
  <c r="J13" i="6" s="1"/>
  <c r="M13" i="3"/>
  <c r="F13" i="5" s="1"/>
  <c r="I13" i="3"/>
  <c r="H13" i="3"/>
  <c r="G13" i="3"/>
  <c r="F13" i="3"/>
  <c r="E13" i="3"/>
  <c r="H14" i="3" s="1"/>
  <c r="L14" i="3" s="1"/>
  <c r="V14" i="3" s="1"/>
  <c r="E14" i="5" s="1"/>
  <c r="D13" i="3"/>
  <c r="C13" i="3"/>
  <c r="B13" i="3"/>
  <c r="P12" i="3"/>
  <c r="D12" i="6" s="1"/>
  <c r="J12" i="6" s="1"/>
  <c r="M12" i="3"/>
  <c r="J12" i="3"/>
  <c r="F12" i="3"/>
  <c r="E12" i="3"/>
  <c r="D12" i="3"/>
  <c r="C12" i="3"/>
  <c r="B12" i="3"/>
  <c r="H11" i="3"/>
  <c r="F11" i="3"/>
  <c r="I12" i="3" s="1"/>
  <c r="E11" i="3"/>
  <c r="H12" i="3" s="1"/>
  <c r="L12" i="3" s="1"/>
  <c r="V12" i="3" s="1"/>
  <c r="E12" i="5" s="1"/>
  <c r="D11" i="3"/>
  <c r="G12" i="3" s="1"/>
  <c r="B11" i="3"/>
  <c r="G11" i="4" s="1"/>
  <c r="H10" i="3"/>
  <c r="L10" i="3" s="1"/>
  <c r="F10" i="3"/>
  <c r="E10" i="3"/>
  <c r="D10" i="3"/>
  <c r="G11" i="3" s="1"/>
  <c r="B10" i="3"/>
  <c r="C10" i="3" s="1"/>
  <c r="P9" i="3"/>
  <c r="D9" i="6" s="1"/>
  <c r="J9" i="6" s="1"/>
  <c r="K9" i="3"/>
  <c r="J9" i="3"/>
  <c r="O9" i="3" s="1"/>
  <c r="C9" i="6" s="1"/>
  <c r="H9" i="3"/>
  <c r="G9" i="3"/>
  <c r="F9" i="3"/>
  <c r="I10" i="3" s="1"/>
  <c r="E9" i="3"/>
  <c r="L9" i="3" s="1"/>
  <c r="D9" i="3"/>
  <c r="G10" i="3" s="1"/>
  <c r="B9" i="3"/>
  <c r="C9" i="3" s="1"/>
  <c r="J8" i="3"/>
  <c r="I8" i="3"/>
  <c r="M8" i="3" s="1"/>
  <c r="F8" i="5" s="1"/>
  <c r="G8" i="3"/>
  <c r="F8" i="3"/>
  <c r="I9" i="3" s="1"/>
  <c r="M9" i="3" s="1"/>
  <c r="F9" i="5" s="1"/>
  <c r="E8" i="3"/>
  <c r="D8" i="3"/>
  <c r="B8" i="3"/>
  <c r="C8" i="3" s="1"/>
  <c r="P7" i="3"/>
  <c r="D7" i="6" s="1"/>
  <c r="J7" i="6" s="1"/>
  <c r="I7" i="3"/>
  <c r="M7" i="3" s="1"/>
  <c r="F7" i="5" s="1"/>
  <c r="G7" i="3"/>
  <c r="F7" i="3"/>
  <c r="E7" i="3"/>
  <c r="J7" i="3" s="1"/>
  <c r="D7" i="3"/>
  <c r="C7" i="3"/>
  <c r="B7" i="3"/>
  <c r="G7" i="4" s="1"/>
  <c r="P6" i="3"/>
  <c r="D6" i="6" s="1"/>
  <c r="J6" i="6" s="1"/>
  <c r="L6" i="3"/>
  <c r="K6" i="3"/>
  <c r="U6" i="3" s="1"/>
  <c r="D6" i="5" s="1"/>
  <c r="H6" i="3"/>
  <c r="G6" i="3"/>
  <c r="F6" i="3"/>
  <c r="E6" i="3"/>
  <c r="H7" i="3" s="1"/>
  <c r="L7" i="3" s="1"/>
  <c r="D6" i="3"/>
  <c r="J6" i="3" s="1"/>
  <c r="O6" i="3" s="1"/>
  <c r="C6" i="3"/>
  <c r="B6" i="3"/>
  <c r="L5" i="3"/>
  <c r="J5" i="3"/>
  <c r="H5" i="3"/>
  <c r="F5" i="3"/>
  <c r="I6" i="3" s="1"/>
  <c r="M6" i="3" s="1"/>
  <c r="F6" i="5" s="1"/>
  <c r="E5" i="3"/>
  <c r="D5" i="3"/>
  <c r="B5" i="3"/>
  <c r="G5" i="4" s="1"/>
  <c r="P4" i="3"/>
  <c r="D4" i="6" s="1"/>
  <c r="J4" i="6" s="1"/>
  <c r="F4" i="3"/>
  <c r="I5" i="3" s="1"/>
  <c r="M5" i="3" s="1"/>
  <c r="F5" i="5" s="1"/>
  <c r="E4" i="3"/>
  <c r="D4" i="3"/>
  <c r="C4" i="3"/>
  <c r="B4" i="4" s="1"/>
  <c r="B4" i="3"/>
  <c r="P3" i="3"/>
  <c r="D3" i="6" s="1"/>
  <c r="J3" i="6" s="1"/>
  <c r="M3" i="3"/>
  <c r="F3" i="5" s="1"/>
  <c r="I3" i="3"/>
  <c r="H3" i="3"/>
  <c r="G3" i="3"/>
  <c r="F3" i="3"/>
  <c r="I4" i="3" s="1"/>
  <c r="M4" i="3" s="1"/>
  <c r="F4" i="5" s="1"/>
  <c r="E3" i="3"/>
  <c r="L3" i="3" s="1"/>
  <c r="V3" i="3" s="1"/>
  <c r="E3" i="5" s="1"/>
  <c r="D3" i="3"/>
  <c r="J3" i="3" s="1"/>
  <c r="O3" i="3" s="1"/>
  <c r="C3" i="6" s="1"/>
  <c r="B3" i="3"/>
  <c r="C3" i="3" s="1"/>
  <c r="U2" i="3"/>
  <c r="P2" i="3"/>
  <c r="D2" i="6" s="1"/>
  <c r="J2" i="6" s="1"/>
  <c r="N2" i="3"/>
  <c r="O2" i="5" s="1"/>
  <c r="K2" i="3"/>
  <c r="Q2" i="3" s="1"/>
  <c r="I2" i="3"/>
  <c r="M2" i="3" s="1"/>
  <c r="F2" i="5" s="1"/>
  <c r="H2" i="3"/>
  <c r="L2" i="3" s="1"/>
  <c r="V2" i="3" s="1"/>
  <c r="E2" i="5" s="1"/>
  <c r="G2" i="3"/>
  <c r="F2" i="3"/>
  <c r="E2" i="3"/>
  <c r="D2" i="3"/>
  <c r="J2" i="3" s="1"/>
  <c r="O2" i="3" s="1"/>
  <c r="C2" i="3"/>
  <c r="B2" i="3"/>
  <c r="B111" i="2"/>
  <c r="B45" i="2"/>
  <c r="B18" i="2"/>
  <c r="B17" i="2"/>
  <c r="B16" i="2"/>
  <c r="B15" i="2"/>
  <c r="B14" i="2"/>
  <c r="O27" i="4" s="1"/>
  <c r="B13" i="2"/>
  <c r="B12" i="2"/>
  <c r="B11" i="2"/>
  <c r="J34" i="4" s="1"/>
  <c r="B10" i="2"/>
  <c r="B9" i="2"/>
  <c r="D24" i="4" s="1"/>
  <c r="B8" i="2"/>
  <c r="C34" i="4" s="1"/>
  <c r="D46" i="1"/>
  <c r="D34" i="1"/>
  <c r="D33" i="1"/>
  <c r="D32" i="1"/>
  <c r="D31" i="1"/>
  <c r="G25" i="1"/>
  <c r="D20" i="1"/>
  <c r="G5" i="1"/>
  <c r="D5" i="1"/>
  <c r="A5" i="1"/>
  <c r="C31" i="6" l="1"/>
  <c r="B37" i="7"/>
  <c r="B37" i="6"/>
  <c r="B37" i="5"/>
  <c r="B37" i="4"/>
  <c r="B20" i="5"/>
  <c r="B20" i="7"/>
  <c r="B20" i="6"/>
  <c r="B20" i="4"/>
  <c r="F8" i="6"/>
  <c r="B34" i="7"/>
  <c r="B34" i="6"/>
  <c r="B34" i="4"/>
  <c r="B34" i="5"/>
  <c r="L11" i="3"/>
  <c r="O20" i="3"/>
  <c r="F24" i="6"/>
  <c r="K24" i="3"/>
  <c r="F26" i="6"/>
  <c r="G28" i="3"/>
  <c r="J27" i="3"/>
  <c r="O27" i="3" s="1"/>
  <c r="K27" i="3"/>
  <c r="V28" i="3"/>
  <c r="E28" i="5" s="1"/>
  <c r="U35" i="3"/>
  <c r="D35" i="5" s="1"/>
  <c r="B6" i="7"/>
  <c r="B6" i="4"/>
  <c r="B6" i="6"/>
  <c r="B6" i="5"/>
  <c r="J11" i="3"/>
  <c r="W12" i="3"/>
  <c r="V24" i="3"/>
  <c r="E24" i="5" s="1"/>
  <c r="W28" i="3"/>
  <c r="F12" i="6"/>
  <c r="K12" i="3"/>
  <c r="K18" i="3"/>
  <c r="F32" i="6"/>
  <c r="K32" i="3"/>
  <c r="B17" i="7"/>
  <c r="B17" i="6"/>
  <c r="B17" i="5"/>
  <c r="B17" i="4"/>
  <c r="B25" i="7"/>
  <c r="B25" i="6"/>
  <c r="B25" i="5"/>
  <c r="B25" i="4"/>
  <c r="H4" i="3"/>
  <c r="L4" i="3" s="1"/>
  <c r="O7" i="3"/>
  <c r="O8" i="3"/>
  <c r="C6" i="6"/>
  <c r="K8" i="3"/>
  <c r="B14" i="7"/>
  <c r="B14" i="5"/>
  <c r="B14" i="6"/>
  <c r="B14" i="4"/>
  <c r="C18" i="6"/>
  <c r="U26" i="3"/>
  <c r="D26" i="5" s="1"/>
  <c r="G26" i="5" s="1"/>
  <c r="Q26" i="3"/>
  <c r="N26" i="3"/>
  <c r="O26" i="5" s="1"/>
  <c r="F36" i="6"/>
  <c r="K36" i="3"/>
  <c r="B23" i="7"/>
  <c r="B23" i="6"/>
  <c r="B23" i="4"/>
  <c r="B23" i="5"/>
  <c r="B10" i="6"/>
  <c r="B10" i="7"/>
  <c r="B10" i="5"/>
  <c r="B10" i="4"/>
  <c r="V7" i="3"/>
  <c r="E7" i="5" s="1"/>
  <c r="K7" i="3"/>
  <c r="F7" i="6"/>
  <c r="F15" i="6"/>
  <c r="K15" i="3"/>
  <c r="W17" i="3"/>
  <c r="V17" i="3"/>
  <c r="E17" i="5" s="1"/>
  <c r="C19" i="6"/>
  <c r="L23" i="3"/>
  <c r="K30" i="3"/>
  <c r="G5" i="3"/>
  <c r="J4" i="3"/>
  <c r="O4" i="3" s="1"/>
  <c r="B7" i="7"/>
  <c r="B7" i="6"/>
  <c r="B7" i="5"/>
  <c r="B7" i="4"/>
  <c r="U9" i="3"/>
  <c r="D9" i="5" s="1"/>
  <c r="Q9" i="3"/>
  <c r="N9" i="3"/>
  <c r="L2" i="5"/>
  <c r="I2" i="5"/>
  <c r="J2" i="5" s="1"/>
  <c r="B9" i="7"/>
  <c r="B9" i="6"/>
  <c r="B9" i="5"/>
  <c r="B9" i="4"/>
  <c r="I11" i="3"/>
  <c r="M11" i="3" s="1"/>
  <c r="F11" i="5" s="1"/>
  <c r="P10" i="3"/>
  <c r="D10" i="6" s="1"/>
  <c r="J10" i="6" s="1"/>
  <c r="J13" i="3"/>
  <c r="B16" i="7"/>
  <c r="B16" i="6"/>
  <c r="B16" i="4"/>
  <c r="B16" i="5"/>
  <c r="V27" i="3"/>
  <c r="E27" i="5" s="1"/>
  <c r="I34" i="6"/>
  <c r="O12" i="3"/>
  <c r="Q21" i="3"/>
  <c r="U21" i="3"/>
  <c r="D21" i="5" s="1"/>
  <c r="G21" i="5" s="1"/>
  <c r="N21" i="3"/>
  <c r="W9" i="3"/>
  <c r="V9" i="3"/>
  <c r="E9" i="5" s="1"/>
  <c r="B28" i="7"/>
  <c r="B28" i="5"/>
  <c r="B28" i="6"/>
  <c r="B28" i="4"/>
  <c r="C34" i="6"/>
  <c r="G34" i="6" s="1"/>
  <c r="O36" i="3"/>
  <c r="M34" i="4"/>
  <c r="L34" i="4"/>
  <c r="K34" i="4"/>
  <c r="N34" i="4" s="1"/>
  <c r="W5" i="3"/>
  <c r="V5" i="3"/>
  <c r="E5" i="5" s="1"/>
  <c r="F10" i="6"/>
  <c r="K10" i="3"/>
  <c r="W10" i="3"/>
  <c r="V10" i="3"/>
  <c r="E10" i="5" s="1"/>
  <c r="F17" i="6"/>
  <c r="K17" i="3"/>
  <c r="D2" i="5"/>
  <c r="G2" i="5" s="1"/>
  <c r="M10" i="3"/>
  <c r="F10" i="5" s="1"/>
  <c r="O24" i="3"/>
  <c r="W29" i="3"/>
  <c r="V29" i="3"/>
  <c r="E29" i="5" s="1"/>
  <c r="W33" i="3"/>
  <c r="V33" i="3"/>
  <c r="E33" i="5" s="1"/>
  <c r="C2" i="6"/>
  <c r="G2" i="6" s="1"/>
  <c r="F16" i="6"/>
  <c r="K16" i="3"/>
  <c r="B18" i="7"/>
  <c r="B18" i="5"/>
  <c r="B18" i="6"/>
  <c r="B18" i="4"/>
  <c r="C30" i="6"/>
  <c r="G30" i="6" s="1"/>
  <c r="R30" i="3"/>
  <c r="E30" i="6" s="1"/>
  <c r="B8" i="7"/>
  <c r="B8" i="6"/>
  <c r="B8" i="5"/>
  <c r="B8" i="4"/>
  <c r="V6" i="3"/>
  <c r="E6" i="5" s="1"/>
  <c r="L13" i="3"/>
  <c r="V13" i="3" s="1"/>
  <c r="E13" i="5" s="1"/>
  <c r="L25" i="3"/>
  <c r="V25" i="3" s="1"/>
  <c r="E25" i="5" s="1"/>
  <c r="O29" i="3"/>
  <c r="K2" i="5"/>
  <c r="W2" i="3"/>
  <c r="H8" i="3"/>
  <c r="L8" i="3" s="1"/>
  <c r="V8" i="3" s="1"/>
  <c r="E8" i="5" s="1"/>
  <c r="J15" i="3"/>
  <c r="W15" i="3"/>
  <c r="H18" i="3"/>
  <c r="L18" i="3" s="1"/>
  <c r="W21" i="3"/>
  <c r="J28" i="3"/>
  <c r="O28" i="3" s="1"/>
  <c r="H30" i="3"/>
  <c r="L30" i="3" s="1"/>
  <c r="V30" i="3" s="1"/>
  <c r="E30" i="5" s="1"/>
  <c r="W32" i="3"/>
  <c r="O37" i="3"/>
  <c r="G10" i="4"/>
  <c r="K11" i="4"/>
  <c r="O17" i="4"/>
  <c r="J19" i="4"/>
  <c r="O21" i="4"/>
  <c r="O28" i="4"/>
  <c r="B3" i="7"/>
  <c r="B3" i="5"/>
  <c r="B3" i="6"/>
  <c r="N6" i="3"/>
  <c r="O6" i="5" s="1"/>
  <c r="F11" i="6"/>
  <c r="F25" i="6"/>
  <c r="K25" i="3"/>
  <c r="B29" i="7"/>
  <c r="B29" i="6"/>
  <c r="B29" i="5"/>
  <c r="B31" i="7"/>
  <c r="B31" i="6"/>
  <c r="B31" i="4"/>
  <c r="B31" i="5"/>
  <c r="B35" i="7"/>
  <c r="B35" i="6"/>
  <c r="B35" i="4"/>
  <c r="B35" i="5"/>
  <c r="B3" i="4"/>
  <c r="J4" i="4"/>
  <c r="C9" i="4"/>
  <c r="L11" i="4"/>
  <c r="C15" i="4"/>
  <c r="J16" i="4"/>
  <c r="G26" i="4"/>
  <c r="B29" i="4"/>
  <c r="G9" i="6"/>
  <c r="G3" i="6"/>
  <c r="G31" i="6"/>
  <c r="G19" i="6"/>
  <c r="G18" i="6"/>
  <c r="G6" i="6"/>
  <c r="B13" i="7"/>
  <c r="B13" i="6"/>
  <c r="B13" i="5"/>
  <c r="B13" i="4"/>
  <c r="F14" i="6"/>
  <c r="O21" i="3"/>
  <c r="B33" i="7"/>
  <c r="B33" i="6"/>
  <c r="B33" i="5"/>
  <c r="C18" i="4"/>
  <c r="C12" i="4"/>
  <c r="C6" i="4"/>
  <c r="C17" i="4"/>
  <c r="C11" i="4"/>
  <c r="C5" i="4"/>
  <c r="C25" i="4"/>
  <c r="C16" i="4"/>
  <c r="C10" i="4"/>
  <c r="C26" i="4"/>
  <c r="C24" i="4"/>
  <c r="C33" i="4"/>
  <c r="C32" i="4"/>
  <c r="C31" i="4"/>
  <c r="C20" i="4"/>
  <c r="C14" i="4"/>
  <c r="C8" i="4"/>
  <c r="C3" i="4"/>
  <c r="C37" i="4"/>
  <c r="C36" i="4"/>
  <c r="C35" i="4"/>
  <c r="C19" i="4"/>
  <c r="C2" i="4"/>
  <c r="B49" i="2"/>
  <c r="R31" i="3" s="1"/>
  <c r="E31" i="6" s="1"/>
  <c r="G4" i="3"/>
  <c r="C22" i="3"/>
  <c r="P22" i="3"/>
  <c r="D22" i="6" s="1"/>
  <c r="J22" i="6" s="1"/>
  <c r="J23" i="3"/>
  <c r="P26" i="3"/>
  <c r="D26" i="6" s="1"/>
  <c r="J26" i="6" s="1"/>
  <c r="F27" i="6"/>
  <c r="O32" i="3"/>
  <c r="O5" i="4"/>
  <c r="J10" i="4"/>
  <c r="O11" i="4"/>
  <c r="G18" i="4"/>
  <c r="C22" i="4"/>
  <c r="G24" i="4"/>
  <c r="C29" i="4"/>
  <c r="B19" i="7"/>
  <c r="B19" i="6"/>
  <c r="B19" i="5"/>
  <c r="B19" i="4"/>
  <c r="F23" i="6"/>
  <c r="G3" i="4"/>
  <c r="G9" i="4"/>
  <c r="E8" i="8"/>
  <c r="W37" i="3"/>
  <c r="W31" i="3"/>
  <c r="W19" i="3"/>
  <c r="W13" i="3"/>
  <c r="W7" i="3"/>
  <c r="W36" i="3"/>
  <c r="W24" i="3"/>
  <c r="Q6" i="3"/>
  <c r="K11" i="3"/>
  <c r="J14" i="3"/>
  <c r="O14" i="3" s="1"/>
  <c r="W14" i="3"/>
  <c r="H20" i="3"/>
  <c r="L20" i="3" s="1"/>
  <c r="J25" i="3"/>
  <c r="W27" i="3"/>
  <c r="P33" i="3"/>
  <c r="D33" i="6" s="1"/>
  <c r="J33" i="6" s="1"/>
  <c r="P34" i="3"/>
  <c r="D34" i="6" s="1"/>
  <c r="J34" i="6" s="1"/>
  <c r="L34" i="3"/>
  <c r="G6" i="4"/>
  <c r="O16" i="4"/>
  <c r="C27" i="4"/>
  <c r="G37" i="4"/>
  <c r="M7" i="4"/>
  <c r="L7" i="4"/>
  <c r="K7" i="4"/>
  <c r="B15" i="7"/>
  <c r="B15" i="5"/>
  <c r="B15" i="4"/>
  <c r="B15" i="6"/>
  <c r="F31" i="6"/>
  <c r="K31" i="3"/>
  <c r="B36" i="7"/>
  <c r="B36" i="6"/>
  <c r="B36" i="5"/>
  <c r="B36" i="4"/>
  <c r="O4" i="4"/>
  <c r="J18" i="4"/>
  <c r="O24" i="4"/>
  <c r="G27" i="4"/>
  <c r="B24" i="7"/>
  <c r="B24" i="5"/>
  <c r="B24" i="6"/>
  <c r="B2" i="7"/>
  <c r="B2" i="6"/>
  <c r="B2" i="5"/>
  <c r="B2" i="4"/>
  <c r="S9" i="3"/>
  <c r="T9" i="3" s="1"/>
  <c r="H9" i="4" s="1"/>
  <c r="I9" i="4" s="1"/>
  <c r="B21" i="7"/>
  <c r="B21" i="6"/>
  <c r="B21" i="4"/>
  <c r="P28" i="3"/>
  <c r="D28" i="6" s="1"/>
  <c r="J28" i="6" s="1"/>
  <c r="J35" i="3"/>
  <c r="O35" i="3" s="1"/>
  <c r="O29" i="4"/>
  <c r="J36" i="4"/>
  <c r="J32" i="4"/>
  <c r="J28" i="4"/>
  <c r="J24" i="4"/>
  <c r="J20" i="4"/>
  <c r="J35" i="4"/>
  <c r="J31" i="4"/>
  <c r="J27" i="4"/>
  <c r="J25" i="4"/>
  <c r="J22" i="4"/>
  <c r="J9" i="4"/>
  <c r="J30" i="4"/>
  <c r="J14" i="4"/>
  <c r="J8" i="4"/>
  <c r="J3" i="4"/>
  <c r="J29" i="4"/>
  <c r="J21" i="4"/>
  <c r="J33" i="4"/>
  <c r="J13" i="4"/>
  <c r="J2" i="4"/>
  <c r="J17" i="4"/>
  <c r="J5" i="4"/>
  <c r="J26" i="4"/>
  <c r="J23" i="4"/>
  <c r="J15" i="4"/>
  <c r="F3" i="6"/>
  <c r="R9" i="3"/>
  <c r="E9" i="6" s="1"/>
  <c r="K14" i="3"/>
  <c r="B32" i="7"/>
  <c r="B32" i="5"/>
  <c r="B32" i="6"/>
  <c r="J6" i="4"/>
  <c r="G8" i="4"/>
  <c r="O9" i="4"/>
  <c r="J12" i="4"/>
  <c r="O15" i="4"/>
  <c r="C21" i="4"/>
  <c r="O22" i="4"/>
  <c r="G25" i="4"/>
  <c r="C30" i="4"/>
  <c r="J37" i="4"/>
  <c r="K23" i="3"/>
  <c r="B12" i="7"/>
  <c r="B12" i="6"/>
  <c r="B12" i="5"/>
  <c r="B12" i="4"/>
  <c r="F13" i="6"/>
  <c r="K13" i="3"/>
  <c r="S26" i="3"/>
  <c r="T26" i="3" s="1"/>
  <c r="C5" i="3"/>
  <c r="F6" i="6"/>
  <c r="P8" i="3"/>
  <c r="D8" i="6" s="1"/>
  <c r="J8" i="6" s="1"/>
  <c r="F9" i="6"/>
  <c r="J10" i="3"/>
  <c r="O10" i="3" s="1"/>
  <c r="P18" i="3"/>
  <c r="D18" i="6" s="1"/>
  <c r="J18" i="6" s="1"/>
  <c r="F19" i="6"/>
  <c r="K19" i="3"/>
  <c r="K20" i="3"/>
  <c r="F22" i="6"/>
  <c r="W22" i="3"/>
  <c r="F29" i="6"/>
  <c r="K29" i="3"/>
  <c r="S21" i="3"/>
  <c r="T21" i="3" s="1"/>
  <c r="J22" i="3"/>
  <c r="O22" i="3" s="1"/>
  <c r="P23" i="3"/>
  <c r="D23" i="6" s="1"/>
  <c r="J23" i="6" s="1"/>
  <c r="P25" i="3"/>
  <c r="D25" i="6" s="1"/>
  <c r="J25" i="6" s="1"/>
  <c r="O33" i="3"/>
  <c r="F35" i="6"/>
  <c r="L35" i="3"/>
  <c r="G14" i="4"/>
  <c r="H21" i="4"/>
  <c r="I21" i="4" s="1"/>
  <c r="C23" i="4"/>
  <c r="B26" i="7"/>
  <c r="B26" i="6"/>
  <c r="B26" i="5"/>
  <c r="Q34" i="3"/>
  <c r="P5" i="3"/>
  <c r="D5" i="6" s="1"/>
  <c r="J5" i="6" s="1"/>
  <c r="D42" i="1" s="1"/>
  <c r="H42" i="1" s="1"/>
  <c r="B30" i="6"/>
  <c r="B30" i="7"/>
  <c r="B30" i="5"/>
  <c r="B30" i="4"/>
  <c r="O18" i="4"/>
  <c r="O6" i="4"/>
  <c r="O37" i="4"/>
  <c r="O36" i="4"/>
  <c r="O35" i="4"/>
  <c r="O12" i="4"/>
  <c r="O10" i="4"/>
  <c r="O23" i="4"/>
  <c r="O14" i="4"/>
  <c r="D8" i="8" s="1"/>
  <c r="O3" i="4"/>
  <c r="O20" i="4"/>
  <c r="O34" i="4"/>
  <c r="O33" i="4"/>
  <c r="O32" i="4"/>
  <c r="O31" i="4"/>
  <c r="O19" i="4"/>
  <c r="O13" i="4"/>
  <c r="O7" i="4"/>
  <c r="O2" i="4"/>
  <c r="S2" i="3"/>
  <c r="T2" i="3" s="1"/>
  <c r="W3" i="3"/>
  <c r="F2" i="6"/>
  <c r="K3" i="3"/>
  <c r="W6" i="3"/>
  <c r="C11" i="3"/>
  <c r="P11" i="3"/>
  <c r="D11" i="6" s="1"/>
  <c r="J11" i="6" s="1"/>
  <c r="J16" i="3"/>
  <c r="O16" i="3" s="1"/>
  <c r="W16" i="3"/>
  <c r="K22" i="3"/>
  <c r="W26" i="3"/>
  <c r="K33" i="3"/>
  <c r="U34" i="3"/>
  <c r="D34" i="5" s="1"/>
  <c r="G37" i="3"/>
  <c r="C7" i="4"/>
  <c r="C13" i="4"/>
  <c r="G23" i="4"/>
  <c r="C28" i="4"/>
  <c r="G30" i="4"/>
  <c r="B33" i="4"/>
  <c r="B4" i="6"/>
  <c r="B4" i="7"/>
  <c r="B4" i="5"/>
  <c r="G6" i="5"/>
  <c r="F21" i="6"/>
  <c r="B27" i="7"/>
  <c r="B27" i="6"/>
  <c r="B27" i="4"/>
  <c r="B27" i="5"/>
  <c r="M37" i="3"/>
  <c r="F37" i="5" s="1"/>
  <c r="C4" i="4"/>
  <c r="O25" i="4"/>
  <c r="G33" i="4"/>
  <c r="D6" i="4"/>
  <c r="D12" i="4"/>
  <c r="D18" i="4"/>
  <c r="G36" i="4"/>
  <c r="G21" i="4"/>
  <c r="D23" i="4"/>
  <c r="D27" i="4"/>
  <c r="D28" i="4"/>
  <c r="G29" i="4"/>
  <c r="D4" i="4"/>
  <c r="G28" i="4"/>
  <c r="D34" i="4"/>
  <c r="D30" i="4"/>
  <c r="D26" i="4"/>
  <c r="H26" i="4" s="1"/>
  <c r="D22" i="4"/>
  <c r="D37" i="4"/>
  <c r="D33" i="4"/>
  <c r="D29" i="4"/>
  <c r="D25" i="4"/>
  <c r="D5" i="4"/>
  <c r="D11" i="4"/>
  <c r="D17" i="4"/>
  <c r="K34" i="6" l="1"/>
  <c r="H31" i="6"/>
  <c r="M31" i="6" s="1"/>
  <c r="N31" i="6" s="1"/>
  <c r="O31" i="6" s="1"/>
  <c r="F31" i="7" s="1"/>
  <c r="K30" i="6"/>
  <c r="K2" i="6"/>
  <c r="U29" i="3"/>
  <c r="D29" i="5" s="1"/>
  <c r="G29" i="5" s="1"/>
  <c r="N29" i="3"/>
  <c r="Q29" i="3"/>
  <c r="L21" i="4"/>
  <c r="K21" i="4"/>
  <c r="N21" i="4" s="1"/>
  <c r="M21" i="4"/>
  <c r="K18" i="6"/>
  <c r="W35" i="3"/>
  <c r="V35" i="3"/>
  <c r="E35" i="5" s="1"/>
  <c r="K14" i="4"/>
  <c r="L14" i="4"/>
  <c r="M14" i="4"/>
  <c r="K10" i="4"/>
  <c r="M10" i="4"/>
  <c r="L10" i="4"/>
  <c r="K16" i="4"/>
  <c r="N16" i="4" s="1"/>
  <c r="L16" i="4"/>
  <c r="M16" i="4"/>
  <c r="C36" i="6"/>
  <c r="G36" i="6" s="1"/>
  <c r="R36" i="3"/>
  <c r="E36" i="6" s="1"/>
  <c r="Q27" i="3"/>
  <c r="N27" i="3"/>
  <c r="U27" i="3"/>
  <c r="D27" i="5" s="1"/>
  <c r="G27" i="5" s="1"/>
  <c r="I2" i="6"/>
  <c r="C37" i="6"/>
  <c r="G37" i="6" s="1"/>
  <c r="R37" i="3"/>
  <c r="E37" i="6" s="1"/>
  <c r="Q14" i="3"/>
  <c r="N14" i="3"/>
  <c r="U14" i="3"/>
  <c r="D14" i="5" s="1"/>
  <c r="G14" i="5" s="1"/>
  <c r="M15" i="4"/>
  <c r="L15" i="4"/>
  <c r="K15" i="4"/>
  <c r="N15" i="4" s="1"/>
  <c r="K36" i="4"/>
  <c r="L36" i="4"/>
  <c r="M36" i="4"/>
  <c r="K9" i="6"/>
  <c r="Q22" i="3"/>
  <c r="U22" i="3"/>
  <c r="D22" i="5" s="1"/>
  <c r="G22" i="5" s="1"/>
  <c r="N22" i="3"/>
  <c r="U19" i="3"/>
  <c r="D19" i="5" s="1"/>
  <c r="G19" i="5" s="1"/>
  <c r="Q19" i="3"/>
  <c r="N19" i="3"/>
  <c r="K12" i="4"/>
  <c r="L12" i="4"/>
  <c r="M12" i="4"/>
  <c r="M23" i="4"/>
  <c r="K23" i="4"/>
  <c r="L23" i="4"/>
  <c r="M30" i="4"/>
  <c r="K30" i="4"/>
  <c r="N30" i="4" s="1"/>
  <c r="L30" i="4"/>
  <c r="W30" i="3"/>
  <c r="N17" i="3"/>
  <c r="U17" i="3"/>
  <c r="D17" i="5" s="1"/>
  <c r="G17" i="5" s="1"/>
  <c r="Q17" i="3"/>
  <c r="R34" i="3"/>
  <c r="I21" i="5"/>
  <c r="L21" i="5"/>
  <c r="U15" i="3"/>
  <c r="D15" i="5" s="1"/>
  <c r="G15" i="5" s="1"/>
  <c r="Q15" i="3"/>
  <c r="N15" i="3"/>
  <c r="Q8" i="3"/>
  <c r="N8" i="3"/>
  <c r="U8" i="3"/>
  <c r="D8" i="5" s="1"/>
  <c r="G8" i="5" s="1"/>
  <c r="O17" i="3"/>
  <c r="C27" i="6"/>
  <c r="G27" i="6" s="1"/>
  <c r="R27" i="3"/>
  <c r="E27" i="6" s="1"/>
  <c r="I31" i="6"/>
  <c r="L31" i="6"/>
  <c r="K3" i="4"/>
  <c r="L3" i="4"/>
  <c r="M3" i="4"/>
  <c r="L6" i="5"/>
  <c r="I6" i="5"/>
  <c r="N20" i="3"/>
  <c r="U20" i="3"/>
  <c r="D20" i="5" s="1"/>
  <c r="G20" i="5" s="1"/>
  <c r="Q20" i="3"/>
  <c r="M18" i="4"/>
  <c r="K18" i="4"/>
  <c r="L18" i="4"/>
  <c r="I19" i="6"/>
  <c r="L19" i="6"/>
  <c r="K9" i="4"/>
  <c r="N9" i="4" s="1"/>
  <c r="P9" i="4" s="1"/>
  <c r="C9" i="7" s="1"/>
  <c r="M9" i="4"/>
  <c r="L9" i="4"/>
  <c r="K19" i="6"/>
  <c r="W18" i="3"/>
  <c r="V18" i="3"/>
  <c r="E18" i="5" s="1"/>
  <c r="C12" i="6"/>
  <c r="G12" i="6" s="1"/>
  <c r="R12" i="3"/>
  <c r="E12" i="6" s="1"/>
  <c r="U36" i="3"/>
  <c r="D36" i="5" s="1"/>
  <c r="G36" i="5" s="1"/>
  <c r="N36" i="3"/>
  <c r="Q36" i="3"/>
  <c r="R6" i="3"/>
  <c r="E6" i="6" s="1"/>
  <c r="F28" i="6"/>
  <c r="K28" i="3"/>
  <c r="C16" i="6"/>
  <c r="G16" i="6" s="1"/>
  <c r="R16" i="3"/>
  <c r="E16" i="6" s="1"/>
  <c r="M5" i="4"/>
  <c r="L5" i="4"/>
  <c r="K5" i="4"/>
  <c r="N5" i="4" s="1"/>
  <c r="L22" i="4"/>
  <c r="K22" i="4"/>
  <c r="M22" i="4"/>
  <c r="N7" i="4"/>
  <c r="C32" i="6"/>
  <c r="G32" i="6" s="1"/>
  <c r="R32" i="3"/>
  <c r="E32" i="6" s="1"/>
  <c r="C21" i="6"/>
  <c r="G21" i="6" s="1"/>
  <c r="R21" i="3"/>
  <c r="E21" i="6" s="1"/>
  <c r="H2" i="4"/>
  <c r="C4" i="6"/>
  <c r="G4" i="6" s="1"/>
  <c r="R4" i="3"/>
  <c r="E4" i="6" s="1"/>
  <c r="I36" i="6"/>
  <c r="L36" i="6"/>
  <c r="N32" i="3"/>
  <c r="U32" i="3"/>
  <c r="D32" i="5" s="1"/>
  <c r="G32" i="5" s="1"/>
  <c r="Q32" i="3"/>
  <c r="O11" i="3"/>
  <c r="F37" i="6"/>
  <c r="K37" i="3"/>
  <c r="G34" i="5"/>
  <c r="C22" i="6"/>
  <c r="G22" i="6" s="1"/>
  <c r="R22" i="3"/>
  <c r="E22" i="6" s="1"/>
  <c r="M6" i="4"/>
  <c r="K6" i="4"/>
  <c r="N6" i="4" s="1"/>
  <c r="L6" i="4"/>
  <c r="K31" i="6"/>
  <c r="L4" i="4"/>
  <c r="M4" i="4"/>
  <c r="K4" i="4"/>
  <c r="F5" i="6"/>
  <c r="K5" i="3"/>
  <c r="N7" i="3"/>
  <c r="U7" i="3"/>
  <c r="D7" i="5" s="1"/>
  <c r="G7" i="5" s="1"/>
  <c r="Q7" i="3"/>
  <c r="C8" i="6"/>
  <c r="G8" i="6" s="1"/>
  <c r="R8" i="3"/>
  <c r="E8" i="6" s="1"/>
  <c r="U24" i="3"/>
  <c r="D24" i="5" s="1"/>
  <c r="G24" i="5" s="1"/>
  <c r="Q24" i="3"/>
  <c r="N24" i="3"/>
  <c r="P21" i="4"/>
  <c r="C21" i="7" s="1"/>
  <c r="K20" i="4"/>
  <c r="M20" i="4"/>
  <c r="L20" i="4"/>
  <c r="L29" i="4"/>
  <c r="K29" i="4"/>
  <c r="M29" i="4"/>
  <c r="M30" i="6"/>
  <c r="H30" i="6"/>
  <c r="F4" i="6"/>
  <c r="K4" i="3"/>
  <c r="S6" i="3"/>
  <c r="T6" i="3" s="1"/>
  <c r="H6" i="4" s="1"/>
  <c r="I6" i="4" s="1"/>
  <c r="P6" i="4" s="1"/>
  <c r="C6" i="7" s="1"/>
  <c r="V34" i="3"/>
  <c r="E34" i="5" s="1"/>
  <c r="W34" i="3"/>
  <c r="C10" i="6"/>
  <c r="G10" i="6" s="1"/>
  <c r="R10" i="3"/>
  <c r="E10" i="6" s="1"/>
  <c r="L27" i="6"/>
  <c r="I27" i="6"/>
  <c r="M19" i="4"/>
  <c r="L19" i="4"/>
  <c r="K19" i="4"/>
  <c r="N19" i="4" s="1"/>
  <c r="B11" i="7"/>
  <c r="B11" i="6"/>
  <c r="B11" i="5"/>
  <c r="B11" i="4"/>
  <c r="L9" i="6"/>
  <c r="I9" i="6"/>
  <c r="U23" i="3"/>
  <c r="D23" i="5" s="1"/>
  <c r="Q23" i="3"/>
  <c r="N23" i="3"/>
  <c r="V37" i="3"/>
  <c r="E37" i="5" s="1"/>
  <c r="M2" i="4"/>
  <c r="L2" i="4"/>
  <c r="K2" i="4"/>
  <c r="N2" i="4" s="1"/>
  <c r="M27" i="4"/>
  <c r="L27" i="4"/>
  <c r="K27" i="4"/>
  <c r="N27" i="4" s="1"/>
  <c r="W20" i="3"/>
  <c r="V20" i="3"/>
  <c r="E20" i="5" s="1"/>
  <c r="K6" i="6"/>
  <c r="Q25" i="3"/>
  <c r="N25" i="3"/>
  <c r="U25" i="3"/>
  <c r="D25" i="5" s="1"/>
  <c r="G25" i="5" s="1"/>
  <c r="Q16" i="3"/>
  <c r="U16" i="3"/>
  <c r="D16" i="5" s="1"/>
  <c r="G16" i="5" s="1"/>
  <c r="N16" i="3"/>
  <c r="Q10" i="3"/>
  <c r="U10" i="3"/>
  <c r="D10" i="5" s="1"/>
  <c r="G10" i="5" s="1"/>
  <c r="N10" i="3"/>
  <c r="L26" i="5"/>
  <c r="I26" i="5"/>
  <c r="C7" i="6"/>
  <c r="G7" i="6" s="1"/>
  <c r="R7" i="3"/>
  <c r="E7" i="6" s="1"/>
  <c r="U18" i="3"/>
  <c r="D18" i="5" s="1"/>
  <c r="G18" i="5" s="1"/>
  <c r="N18" i="3"/>
  <c r="Q18" i="3"/>
  <c r="B5" i="6"/>
  <c r="B5" i="7"/>
  <c r="B5" i="5"/>
  <c r="B5" i="4"/>
  <c r="N31" i="3"/>
  <c r="U31" i="3"/>
  <c r="D31" i="5" s="1"/>
  <c r="G31" i="5" s="1"/>
  <c r="Q31" i="3"/>
  <c r="H9" i="6"/>
  <c r="M9" i="6" s="1"/>
  <c r="K28" i="4"/>
  <c r="L28" i="4"/>
  <c r="M28" i="4"/>
  <c r="C33" i="6"/>
  <c r="R33" i="3"/>
  <c r="M26" i="4"/>
  <c r="K26" i="4"/>
  <c r="N26" i="4" s="1"/>
  <c r="L26" i="4"/>
  <c r="L17" i="4"/>
  <c r="K17" i="4"/>
  <c r="M17" i="4"/>
  <c r="L25" i="4"/>
  <c r="K25" i="4"/>
  <c r="N25" i="4" s="1"/>
  <c r="M25" i="4"/>
  <c r="D4" i="8"/>
  <c r="O25" i="3"/>
  <c r="O15" i="3"/>
  <c r="C24" i="6"/>
  <c r="G24" i="6" s="1"/>
  <c r="R24" i="3"/>
  <c r="E24" i="6" s="1"/>
  <c r="I32" i="6"/>
  <c r="L32" i="6"/>
  <c r="F20" i="6"/>
  <c r="M13" i="4"/>
  <c r="L13" i="4"/>
  <c r="K13" i="4"/>
  <c r="N13" i="4" s="1"/>
  <c r="M31" i="4"/>
  <c r="L31" i="4"/>
  <c r="K31" i="4"/>
  <c r="N31" i="4" s="1"/>
  <c r="C35" i="6"/>
  <c r="G35" i="6" s="1"/>
  <c r="R35" i="3"/>
  <c r="E35" i="6" s="1"/>
  <c r="W25" i="3"/>
  <c r="O23" i="3"/>
  <c r="N11" i="4"/>
  <c r="L16" i="6"/>
  <c r="R3" i="3"/>
  <c r="E3" i="6" s="1"/>
  <c r="L10" i="6"/>
  <c r="I10" i="6"/>
  <c r="U30" i="3"/>
  <c r="D30" i="5" s="1"/>
  <c r="G30" i="5" s="1"/>
  <c r="Q30" i="3"/>
  <c r="N30" i="3"/>
  <c r="W4" i="3"/>
  <c r="V4" i="3"/>
  <c r="E4" i="5" s="1"/>
  <c r="F18" i="6"/>
  <c r="C20" i="6"/>
  <c r="G20" i="6" s="1"/>
  <c r="R20" i="3"/>
  <c r="E20" i="6" s="1"/>
  <c r="I26" i="4"/>
  <c r="L29" i="6"/>
  <c r="K24" i="4"/>
  <c r="L24" i="4"/>
  <c r="M24" i="4"/>
  <c r="U3" i="3"/>
  <c r="Q3" i="3"/>
  <c r="N3" i="3"/>
  <c r="L6" i="6"/>
  <c r="I6" i="6"/>
  <c r="L37" i="4"/>
  <c r="K37" i="4"/>
  <c r="N37" i="4" s="1"/>
  <c r="M37" i="4"/>
  <c r="M33" i="4"/>
  <c r="L33" i="4"/>
  <c r="K33" i="4"/>
  <c r="N33" i="4" s="1"/>
  <c r="M35" i="4"/>
  <c r="L35" i="4"/>
  <c r="K35" i="4"/>
  <c r="N35" i="4" s="1"/>
  <c r="C14" i="6"/>
  <c r="G14" i="6" s="1"/>
  <c r="R14" i="3"/>
  <c r="E14" i="6" s="1"/>
  <c r="R2" i="3"/>
  <c r="E2" i="6" s="1"/>
  <c r="P2" i="5"/>
  <c r="F30" i="6"/>
  <c r="R18" i="3"/>
  <c r="E18" i="6" s="1"/>
  <c r="U12" i="3"/>
  <c r="D12" i="5" s="1"/>
  <c r="G12" i="5" s="1"/>
  <c r="Q12" i="3"/>
  <c r="N12" i="3"/>
  <c r="V11" i="3"/>
  <c r="E11" i="5" s="1"/>
  <c r="W11" i="3"/>
  <c r="O9" i="5"/>
  <c r="W23" i="3"/>
  <c r="V23" i="3"/>
  <c r="E23" i="5" s="1"/>
  <c r="L12" i="6"/>
  <c r="Q35" i="3"/>
  <c r="L9" i="5"/>
  <c r="I9" i="5"/>
  <c r="R19" i="3"/>
  <c r="E19" i="6" s="1"/>
  <c r="O5" i="3"/>
  <c r="N35" i="3"/>
  <c r="G9" i="5"/>
  <c r="W8" i="3"/>
  <c r="G35" i="5"/>
  <c r="B22" i="7"/>
  <c r="B22" i="6"/>
  <c r="B22" i="5"/>
  <c r="B22" i="4"/>
  <c r="Q11" i="3"/>
  <c r="N11" i="3"/>
  <c r="U11" i="3"/>
  <c r="D11" i="5" s="1"/>
  <c r="N33" i="3"/>
  <c r="Q33" i="3"/>
  <c r="U33" i="3"/>
  <c r="D33" i="5" s="1"/>
  <c r="G33" i="5" s="1"/>
  <c r="C29" i="6"/>
  <c r="G29" i="6" s="1"/>
  <c r="R29" i="3"/>
  <c r="E29" i="6" s="1"/>
  <c r="C8" i="8"/>
  <c r="L35" i="6"/>
  <c r="I22" i="6"/>
  <c r="U13" i="3"/>
  <c r="D13" i="5" s="1"/>
  <c r="G13" i="5" s="1"/>
  <c r="Q13" i="3"/>
  <c r="N13" i="3"/>
  <c r="L3" i="6"/>
  <c r="I3" i="6"/>
  <c r="K8" i="4"/>
  <c r="L8" i="4"/>
  <c r="M8" i="4"/>
  <c r="K32" i="4"/>
  <c r="M32" i="4"/>
  <c r="L32" i="4"/>
  <c r="K3" i="6"/>
  <c r="C28" i="6"/>
  <c r="G28" i="6" s="1"/>
  <c r="R28" i="3"/>
  <c r="E28" i="6" s="1"/>
  <c r="O26" i="3"/>
  <c r="N34" i="3"/>
  <c r="O21" i="5"/>
  <c r="C4" i="8"/>
  <c r="O13" i="3"/>
  <c r="L2" i="6" l="1"/>
  <c r="L8" i="6"/>
  <c r="N8" i="6" s="1"/>
  <c r="O8" i="6" s="1"/>
  <c r="F8" i="7" s="1"/>
  <c r="N8" i="4"/>
  <c r="L31" i="5"/>
  <c r="I31" i="5"/>
  <c r="N3" i="4"/>
  <c r="H14" i="6"/>
  <c r="M14" i="6"/>
  <c r="H3" i="6"/>
  <c r="K24" i="6"/>
  <c r="K7" i="6"/>
  <c r="H8" i="6"/>
  <c r="M8" i="6"/>
  <c r="K32" i="6"/>
  <c r="K12" i="6"/>
  <c r="J21" i="5"/>
  <c r="P21" i="5" s="1"/>
  <c r="D21" i="7" s="1"/>
  <c r="E21" i="7" s="1"/>
  <c r="G21" i="7" s="1"/>
  <c r="K21" i="5"/>
  <c r="N23" i="4"/>
  <c r="N9" i="6"/>
  <c r="O9" i="6" s="1"/>
  <c r="F9" i="7" s="1"/>
  <c r="I8" i="6"/>
  <c r="N10" i="4"/>
  <c r="K35" i="6"/>
  <c r="O34" i="5"/>
  <c r="S34" i="3"/>
  <c r="T34" i="3" s="1"/>
  <c r="H34" i="4" s="1"/>
  <c r="I34" i="4" s="1"/>
  <c r="P34" i="4" s="1"/>
  <c r="C34" i="7" s="1"/>
  <c r="K14" i="6"/>
  <c r="O31" i="5"/>
  <c r="S31" i="3"/>
  <c r="T31" i="3" s="1"/>
  <c r="H31" i="4" s="1"/>
  <c r="I31" i="4" s="1"/>
  <c r="P31" i="4" s="1"/>
  <c r="C31" i="7" s="1"/>
  <c r="O23" i="5"/>
  <c r="S23" i="3"/>
  <c r="T23" i="3" s="1"/>
  <c r="H23" i="4" s="1"/>
  <c r="I23" i="4" s="1"/>
  <c r="K8" i="6"/>
  <c r="O32" i="5"/>
  <c r="S32" i="3"/>
  <c r="T32" i="3" s="1"/>
  <c r="H32" i="4" s="1"/>
  <c r="I32" i="4" s="1"/>
  <c r="L34" i="5"/>
  <c r="E34" i="6"/>
  <c r="L34" i="6"/>
  <c r="L29" i="5"/>
  <c r="I29" i="5"/>
  <c r="I22" i="5"/>
  <c r="L22" i="5"/>
  <c r="K29" i="6"/>
  <c r="I25" i="5"/>
  <c r="L25" i="5"/>
  <c r="H32" i="6"/>
  <c r="N32" i="6" s="1"/>
  <c r="O32" i="6" s="1"/>
  <c r="F32" i="7" s="1"/>
  <c r="M32" i="6"/>
  <c r="O27" i="5"/>
  <c r="S27" i="3"/>
  <c r="T27" i="3" s="1"/>
  <c r="H27" i="4" s="1"/>
  <c r="O29" i="5"/>
  <c r="S29" i="3"/>
  <c r="T29" i="3" s="1"/>
  <c r="H29" i="4" s="1"/>
  <c r="I29" i="4" s="1"/>
  <c r="O24" i="5"/>
  <c r="S24" i="3"/>
  <c r="T24" i="3" s="1"/>
  <c r="H24" i="4" s="1"/>
  <c r="I24" i="4" s="1"/>
  <c r="Q4" i="3"/>
  <c r="N4" i="3"/>
  <c r="U4" i="3"/>
  <c r="D4" i="5" s="1"/>
  <c r="G4" i="5" s="1"/>
  <c r="C11" i="6"/>
  <c r="R11" i="3"/>
  <c r="P26" i="4"/>
  <c r="L32" i="5"/>
  <c r="I32" i="5"/>
  <c r="M12" i="6"/>
  <c r="H12" i="6"/>
  <c r="C26" i="6"/>
  <c r="R26" i="3"/>
  <c r="H20" i="6"/>
  <c r="C15" i="6"/>
  <c r="R15" i="3"/>
  <c r="M28" i="6"/>
  <c r="H28" i="6"/>
  <c r="N28" i="6" s="1"/>
  <c r="O28" i="6" s="1"/>
  <c r="F28" i="7" s="1"/>
  <c r="O33" i="5"/>
  <c r="S33" i="3"/>
  <c r="T33" i="3" s="1"/>
  <c r="H33" i="4" s="1"/>
  <c r="I33" i="4" s="1"/>
  <c r="P33" i="4" s="1"/>
  <c r="C33" i="7" s="1"/>
  <c r="O35" i="5"/>
  <c r="S35" i="3"/>
  <c r="T35" i="3" s="1"/>
  <c r="H35" i="4" s="1"/>
  <c r="I35" i="4" s="1"/>
  <c r="P35" i="4" s="1"/>
  <c r="C35" i="7" s="1"/>
  <c r="L3" i="5"/>
  <c r="I3" i="5"/>
  <c r="I16" i="6"/>
  <c r="N18" i="4"/>
  <c r="I13" i="5"/>
  <c r="L13" i="5"/>
  <c r="L27" i="5"/>
  <c r="I27" i="5"/>
  <c r="N14" i="4"/>
  <c r="C13" i="6"/>
  <c r="R13" i="3"/>
  <c r="H2" i="6"/>
  <c r="M2" i="6"/>
  <c r="K21" i="6"/>
  <c r="N21" i="6" s="1"/>
  <c r="O21" i="6" s="1"/>
  <c r="F21" i="7" s="1"/>
  <c r="H7" i="6"/>
  <c r="N7" i="6" s="1"/>
  <c r="O7" i="6" s="1"/>
  <c r="F7" i="7" s="1"/>
  <c r="M7" i="6"/>
  <c r="K28" i="6"/>
  <c r="C5" i="6"/>
  <c r="G5" i="6" s="1"/>
  <c r="R5" i="3"/>
  <c r="E5" i="6" s="1"/>
  <c r="O12" i="5"/>
  <c r="S12" i="3"/>
  <c r="T12" i="3" s="1"/>
  <c r="H12" i="4" s="1"/>
  <c r="I12" i="4" s="1"/>
  <c r="D3" i="5"/>
  <c r="G3" i="5" s="1"/>
  <c r="B23" i="10"/>
  <c r="E23" i="10"/>
  <c r="F23" i="10"/>
  <c r="L18" i="6"/>
  <c r="I18" i="6"/>
  <c r="E33" i="6"/>
  <c r="L33" i="6"/>
  <c r="O10" i="5"/>
  <c r="S10" i="3"/>
  <c r="T10" i="3" s="1"/>
  <c r="H10" i="4" s="1"/>
  <c r="I10" i="4" s="1"/>
  <c r="P10" i="4" s="1"/>
  <c r="C10" i="7" s="1"/>
  <c r="I14" i="6"/>
  <c r="N14" i="6" s="1"/>
  <c r="O14" i="6" s="1"/>
  <c r="G23" i="5"/>
  <c r="M10" i="6"/>
  <c r="H10" i="6"/>
  <c r="N29" i="4"/>
  <c r="E7" i="8" s="1"/>
  <c r="M22" i="6"/>
  <c r="H22" i="6"/>
  <c r="N22" i="4"/>
  <c r="Q28" i="3"/>
  <c r="U28" i="3"/>
  <c r="D28" i="5" s="1"/>
  <c r="G28" i="5" s="1"/>
  <c r="N28" i="3"/>
  <c r="K27" i="6"/>
  <c r="G11" i="5"/>
  <c r="H19" i="6"/>
  <c r="L12" i="5"/>
  <c r="I12" i="5"/>
  <c r="I20" i="6"/>
  <c r="L20" i="6"/>
  <c r="I33" i="6"/>
  <c r="G33" i="6"/>
  <c r="K10" i="6"/>
  <c r="N10" i="6" s="1"/>
  <c r="O10" i="6" s="1"/>
  <c r="F10" i="7" s="1"/>
  <c r="O7" i="5"/>
  <c r="S7" i="3"/>
  <c r="T7" i="3" s="1"/>
  <c r="H7" i="4" s="1"/>
  <c r="I7" i="4" s="1"/>
  <c r="P7" i="4" s="1"/>
  <c r="C7" i="7" s="1"/>
  <c r="K22" i="6"/>
  <c r="L7" i="6"/>
  <c r="L28" i="6"/>
  <c r="I28" i="6"/>
  <c r="L20" i="5"/>
  <c r="I20" i="5"/>
  <c r="C17" i="6"/>
  <c r="R17" i="3"/>
  <c r="O17" i="5"/>
  <c r="S17" i="3"/>
  <c r="T17" i="3" s="1"/>
  <c r="H17" i="4" s="1"/>
  <c r="I17" i="4" s="1"/>
  <c r="P17" i="4" s="1"/>
  <c r="C17" i="7" s="1"/>
  <c r="N12" i="4"/>
  <c r="N36" i="4"/>
  <c r="O14" i="5"/>
  <c r="S14" i="3"/>
  <c r="T14" i="3" s="1"/>
  <c r="H14" i="4" s="1"/>
  <c r="H36" i="6"/>
  <c r="K16" i="6"/>
  <c r="N16" i="6" s="1"/>
  <c r="O16" i="6" s="1"/>
  <c r="F16" i="7" s="1"/>
  <c r="O25" i="5"/>
  <c r="S25" i="3"/>
  <c r="T25" i="3" s="1"/>
  <c r="H25" i="4" s="1"/>
  <c r="I25" i="4" s="1"/>
  <c r="P25" i="4" s="1"/>
  <c r="C25" i="7" s="1"/>
  <c r="L24" i="5"/>
  <c r="I24" i="5"/>
  <c r="H24" i="6"/>
  <c r="M24" i="6" s="1"/>
  <c r="N24" i="6" s="1"/>
  <c r="O24" i="6" s="1"/>
  <c r="F24" i="7" s="1"/>
  <c r="L4" i="6"/>
  <c r="I4" i="6"/>
  <c r="K26" i="5"/>
  <c r="J26" i="5"/>
  <c r="P26" i="5" s="1"/>
  <c r="I23" i="5"/>
  <c r="L23" i="5"/>
  <c r="I7" i="5"/>
  <c r="L7" i="5"/>
  <c r="I34" i="5"/>
  <c r="I17" i="5"/>
  <c r="L17" i="5"/>
  <c r="O11" i="5"/>
  <c r="S11" i="3"/>
  <c r="T11" i="3" s="1"/>
  <c r="H11" i="4" s="1"/>
  <c r="I11" i="4" s="1"/>
  <c r="P11" i="4" s="1"/>
  <c r="C11" i="7" s="1"/>
  <c r="J9" i="5"/>
  <c r="P9" i="5" s="1"/>
  <c r="D9" i="7" s="1"/>
  <c r="E9" i="7" s="1"/>
  <c r="G9" i="7" s="1"/>
  <c r="K9" i="5"/>
  <c r="N5" i="3"/>
  <c r="Q5" i="3"/>
  <c r="U5" i="3"/>
  <c r="D5" i="5" s="1"/>
  <c r="G5" i="5" s="1"/>
  <c r="I7" i="6"/>
  <c r="O19" i="5"/>
  <c r="S19" i="3"/>
  <c r="T19" i="3" s="1"/>
  <c r="H19" i="4" s="1"/>
  <c r="I19" i="4" s="1"/>
  <c r="P19" i="4" s="1"/>
  <c r="C19" i="7" s="1"/>
  <c r="C23" i="6"/>
  <c r="R23" i="3"/>
  <c r="I21" i="6"/>
  <c r="I24" i="6"/>
  <c r="O16" i="5"/>
  <c r="S16" i="3"/>
  <c r="T16" i="3" s="1"/>
  <c r="H16" i="4" s="1"/>
  <c r="I16" i="4" s="1"/>
  <c r="P16" i="4" s="1"/>
  <c r="C16" i="7" s="1"/>
  <c r="L5" i="6"/>
  <c r="I5" i="6"/>
  <c r="U37" i="3"/>
  <c r="D37" i="5" s="1"/>
  <c r="G37" i="5" s="1"/>
  <c r="Q37" i="3"/>
  <c r="N37" i="3"/>
  <c r="H4" i="6"/>
  <c r="M4" i="6"/>
  <c r="L36" i="5"/>
  <c r="I36" i="5"/>
  <c r="O20" i="5"/>
  <c r="S20" i="3"/>
  <c r="T20" i="3" s="1"/>
  <c r="H20" i="4" s="1"/>
  <c r="I20" i="4" s="1"/>
  <c r="P20" i="4" s="1"/>
  <c r="C20" i="7" s="1"/>
  <c r="O8" i="5"/>
  <c r="S8" i="3"/>
  <c r="T8" i="3" s="1"/>
  <c r="H8" i="4" s="1"/>
  <c r="I8" i="4" s="1"/>
  <c r="P8" i="4" s="1"/>
  <c r="C8" i="7" s="1"/>
  <c r="L19" i="5"/>
  <c r="I19" i="5"/>
  <c r="L14" i="5"/>
  <c r="I14" i="5"/>
  <c r="K36" i="6"/>
  <c r="H37" i="6"/>
  <c r="M37" i="6" s="1"/>
  <c r="O18" i="5"/>
  <c r="S18" i="3"/>
  <c r="T18" i="3" s="1"/>
  <c r="H18" i="4" s="1"/>
  <c r="I18" i="4" s="1"/>
  <c r="P18" i="4" s="1"/>
  <c r="C18" i="7" s="1"/>
  <c r="M21" i="6"/>
  <c r="H21" i="6"/>
  <c r="L15" i="5"/>
  <c r="I15" i="5"/>
  <c r="H29" i="6"/>
  <c r="M29" i="6" s="1"/>
  <c r="L33" i="5"/>
  <c r="I33" i="5"/>
  <c r="O3" i="5"/>
  <c r="S3" i="3"/>
  <c r="T3" i="3" s="1"/>
  <c r="O13" i="5"/>
  <c r="S13" i="3"/>
  <c r="T13" i="3" s="1"/>
  <c r="H13" i="4" s="1"/>
  <c r="I13" i="4" s="1"/>
  <c r="P13" i="4" s="1"/>
  <c r="C13" i="7" s="1"/>
  <c r="K20" i="6"/>
  <c r="R25" i="3"/>
  <c r="C25" i="6"/>
  <c r="L14" i="6"/>
  <c r="M27" i="6"/>
  <c r="N27" i="6" s="1"/>
  <c r="O27" i="6" s="1"/>
  <c r="F27" i="7" s="1"/>
  <c r="H27" i="6"/>
  <c r="L10" i="5"/>
  <c r="I10" i="5"/>
  <c r="M6" i="6"/>
  <c r="H6" i="6"/>
  <c r="L22" i="6"/>
  <c r="N22" i="6" s="1"/>
  <c r="O22" i="6" s="1"/>
  <c r="F22" i="7" s="1"/>
  <c r="L11" i="5"/>
  <c r="I11" i="5"/>
  <c r="M18" i="6"/>
  <c r="H18" i="6"/>
  <c r="I35" i="6"/>
  <c r="L35" i="5"/>
  <c r="I35" i="5"/>
  <c r="L30" i="6"/>
  <c r="I30" i="6"/>
  <c r="N30" i="6" s="1"/>
  <c r="O30" i="6" s="1"/>
  <c r="F30" i="7" s="1"/>
  <c r="N24" i="4"/>
  <c r="O30" i="5"/>
  <c r="S30" i="3"/>
  <c r="T30" i="3" s="1"/>
  <c r="H30" i="4" s="1"/>
  <c r="I30" i="4" s="1"/>
  <c r="P30" i="4" s="1"/>
  <c r="C30" i="7" s="1"/>
  <c r="L21" i="6"/>
  <c r="L24" i="6"/>
  <c r="N20" i="4"/>
  <c r="N4" i="4"/>
  <c r="C7" i="8" s="1"/>
  <c r="L37" i="6"/>
  <c r="I37" i="6"/>
  <c r="N4" i="6"/>
  <c r="O4" i="6" s="1"/>
  <c r="F4" i="7" s="1"/>
  <c r="K4" i="6"/>
  <c r="O36" i="5"/>
  <c r="S36" i="3"/>
  <c r="T36" i="3" s="1"/>
  <c r="H36" i="4" s="1"/>
  <c r="I36" i="4" s="1"/>
  <c r="K6" i="5"/>
  <c r="J6" i="5"/>
  <c r="P6" i="5" s="1"/>
  <c r="D6" i="7" s="1"/>
  <c r="E6" i="7" s="1"/>
  <c r="I8" i="5"/>
  <c r="L8" i="5"/>
  <c r="N32" i="4"/>
  <c r="I12" i="6"/>
  <c r="N12" i="6" s="1"/>
  <c r="O12" i="6" s="1"/>
  <c r="F12" i="7" s="1"/>
  <c r="D2" i="7"/>
  <c r="I29" i="6"/>
  <c r="I30" i="5"/>
  <c r="L30" i="5"/>
  <c r="M35" i="6"/>
  <c r="H35" i="6"/>
  <c r="N35" i="6" s="1"/>
  <c r="O35" i="6" s="1"/>
  <c r="F35" i="7" s="1"/>
  <c r="N17" i="4"/>
  <c r="N28" i="4"/>
  <c r="L18" i="5"/>
  <c r="I18" i="5"/>
  <c r="I16" i="5"/>
  <c r="L16" i="5"/>
  <c r="I2" i="4"/>
  <c r="H16" i="6"/>
  <c r="M16" i="6" s="1"/>
  <c r="O15" i="5"/>
  <c r="S15" i="3"/>
  <c r="T15" i="3" s="1"/>
  <c r="H15" i="4" s="1"/>
  <c r="I15" i="4" s="1"/>
  <c r="P15" i="4" s="1"/>
  <c r="C15" i="7" s="1"/>
  <c r="O22" i="5"/>
  <c r="S22" i="3"/>
  <c r="T22" i="3" s="1"/>
  <c r="H22" i="4" s="1"/>
  <c r="I22" i="4" s="1"/>
  <c r="P22" i="4" s="1"/>
  <c r="C22" i="7" s="1"/>
  <c r="K37" i="6"/>
  <c r="O22" i="10" l="1"/>
  <c r="AC21" i="7"/>
  <c r="D26" i="7"/>
  <c r="F14" i="7"/>
  <c r="N37" i="6"/>
  <c r="O37" i="6" s="1"/>
  <c r="F37" i="7" s="1"/>
  <c r="O10" i="10"/>
  <c r="AC9" i="7"/>
  <c r="J27" i="5"/>
  <c r="K27" i="5"/>
  <c r="K32" i="5"/>
  <c r="J32" i="5"/>
  <c r="P32" i="5" s="1"/>
  <c r="D32" i="7" s="1"/>
  <c r="P29" i="4"/>
  <c r="C29" i="7" s="1"/>
  <c r="E29" i="7" s="1"/>
  <c r="K7" i="5"/>
  <c r="J7" i="5"/>
  <c r="P7" i="5" s="1"/>
  <c r="D7" i="7" s="1"/>
  <c r="E7" i="7" s="1"/>
  <c r="G7" i="7" s="1"/>
  <c r="D23" i="10"/>
  <c r="K29" i="5"/>
  <c r="J29" i="5"/>
  <c r="C27" i="10"/>
  <c r="C26" i="7"/>
  <c r="N18" i="6"/>
  <c r="O18" i="6" s="1"/>
  <c r="F18" i="7" s="1"/>
  <c r="J33" i="5"/>
  <c r="K33" i="5"/>
  <c r="G17" i="6"/>
  <c r="I17" i="6"/>
  <c r="K13" i="5"/>
  <c r="J13" i="5"/>
  <c r="P13" i="5" s="1"/>
  <c r="D13" i="7" s="1"/>
  <c r="G15" i="6"/>
  <c r="I15" i="6"/>
  <c r="E11" i="6"/>
  <c r="L11" i="6"/>
  <c r="E15" i="6"/>
  <c r="L15" i="6"/>
  <c r="P12" i="4"/>
  <c r="C12" i="7" s="1"/>
  <c r="M20" i="6"/>
  <c r="N20" i="6" s="1"/>
  <c r="O20" i="6" s="1"/>
  <c r="F20" i="7" s="1"/>
  <c r="G11" i="6"/>
  <c r="I11" i="6"/>
  <c r="D41" i="1" s="1"/>
  <c r="H41" i="1" s="1"/>
  <c r="H34" i="6"/>
  <c r="M3" i="6"/>
  <c r="N3" i="6" s="1"/>
  <c r="O3" i="6" s="1"/>
  <c r="F3" i="7" s="1"/>
  <c r="K10" i="5"/>
  <c r="J10" i="5"/>
  <c r="P10" i="5" s="1"/>
  <c r="D10" i="7" s="1"/>
  <c r="E10" i="7" s="1"/>
  <c r="G10" i="7" s="1"/>
  <c r="J11" i="5"/>
  <c r="P11" i="5" s="1"/>
  <c r="D11" i="7" s="1"/>
  <c r="E11" i="7" s="1"/>
  <c r="K11" i="5"/>
  <c r="E23" i="6"/>
  <c r="L23" i="6"/>
  <c r="M36" i="6"/>
  <c r="N36" i="6" s="1"/>
  <c r="O36" i="6" s="1"/>
  <c r="F36" i="7" s="1"/>
  <c r="O28" i="5"/>
  <c r="S28" i="3"/>
  <c r="T28" i="3" s="1"/>
  <c r="H28" i="4" s="1"/>
  <c r="I28" i="4" s="1"/>
  <c r="P28" i="4" s="1"/>
  <c r="C28" i="7" s="1"/>
  <c r="K23" i="5"/>
  <c r="J23" i="5"/>
  <c r="P23" i="5" s="1"/>
  <c r="D23" i="7" s="1"/>
  <c r="E17" i="6"/>
  <c r="L17" i="6"/>
  <c r="N33" i="6"/>
  <c r="O33" i="6" s="1"/>
  <c r="F33" i="7" s="1"/>
  <c r="K33" i="6"/>
  <c r="J8" i="5"/>
  <c r="K8" i="5"/>
  <c r="G23" i="6"/>
  <c r="I23" i="6"/>
  <c r="D5" i="8"/>
  <c r="I14" i="4"/>
  <c r="M5" i="6"/>
  <c r="H5" i="6"/>
  <c r="N2" i="6"/>
  <c r="O2" i="6" s="1"/>
  <c r="J3" i="5"/>
  <c r="P3" i="5" s="1"/>
  <c r="K3" i="5"/>
  <c r="O4" i="5"/>
  <c r="S4" i="3"/>
  <c r="T4" i="3" s="1"/>
  <c r="H4" i="4" s="1"/>
  <c r="I4" i="4" s="1"/>
  <c r="P4" i="4" s="1"/>
  <c r="C4" i="7" s="1"/>
  <c r="J25" i="5"/>
  <c r="K25" i="5"/>
  <c r="P32" i="4"/>
  <c r="C32" i="7" s="1"/>
  <c r="J35" i="5"/>
  <c r="K35" i="5"/>
  <c r="K18" i="5"/>
  <c r="J18" i="5"/>
  <c r="P27" i="5"/>
  <c r="D27" i="7" s="1"/>
  <c r="J36" i="5"/>
  <c r="P36" i="5" s="1"/>
  <c r="D36" i="7" s="1"/>
  <c r="K36" i="5"/>
  <c r="G25" i="6"/>
  <c r="I25" i="6"/>
  <c r="L28" i="5"/>
  <c r="I28" i="5"/>
  <c r="M33" i="6"/>
  <c r="H33" i="6"/>
  <c r="K5" i="6"/>
  <c r="E13" i="6"/>
  <c r="L13" i="6"/>
  <c r="E26" i="6"/>
  <c r="L26" i="6"/>
  <c r="L4" i="5"/>
  <c r="I4" i="5"/>
  <c r="J16" i="5"/>
  <c r="P16" i="5" s="1"/>
  <c r="D16" i="7" s="1"/>
  <c r="E16" i="7" s="1"/>
  <c r="G16" i="7" s="1"/>
  <c r="K16" i="5"/>
  <c r="H3" i="4"/>
  <c r="G6" i="10"/>
  <c r="J7" i="10"/>
  <c r="E5" i="10"/>
  <c r="H5" i="10"/>
  <c r="J8" i="10"/>
  <c r="K20" i="5"/>
  <c r="J20" i="5"/>
  <c r="E25" i="6"/>
  <c r="L25" i="6"/>
  <c r="P36" i="4"/>
  <c r="C36" i="7" s="1"/>
  <c r="K17" i="5"/>
  <c r="J17" i="5"/>
  <c r="P35" i="5"/>
  <c r="D35" i="7" s="1"/>
  <c r="K12" i="5"/>
  <c r="J12" i="5"/>
  <c r="P12" i="5" s="1"/>
  <c r="D12" i="7" s="1"/>
  <c r="G13" i="6"/>
  <c r="D39" i="1" s="1"/>
  <c r="H39" i="1" s="1"/>
  <c r="I13" i="6"/>
  <c r="E35" i="7"/>
  <c r="G35" i="7" s="1"/>
  <c r="G26" i="6"/>
  <c r="I26" i="6"/>
  <c r="P18" i="5"/>
  <c r="D18" i="7" s="1"/>
  <c r="E18" i="7" s="1"/>
  <c r="G18" i="7" s="1"/>
  <c r="N29" i="6"/>
  <c r="O29" i="6" s="1"/>
  <c r="F29" i="7" s="1"/>
  <c r="D27" i="10"/>
  <c r="K31" i="5"/>
  <c r="J31" i="5"/>
  <c r="P31" i="5" s="1"/>
  <c r="D31" i="7" s="1"/>
  <c r="E31" i="7" s="1"/>
  <c r="G31" i="7" s="1"/>
  <c r="L5" i="5"/>
  <c r="I5" i="5"/>
  <c r="I27" i="4"/>
  <c r="E5" i="8"/>
  <c r="O5" i="5"/>
  <c r="S5" i="3"/>
  <c r="T5" i="3" s="1"/>
  <c r="H5" i="4" s="1"/>
  <c r="I5" i="4" s="1"/>
  <c r="P5" i="4" s="1"/>
  <c r="C5" i="7" s="1"/>
  <c r="P2" i="4"/>
  <c r="P8" i="5"/>
  <c r="D8" i="7" s="1"/>
  <c r="E8" i="7" s="1"/>
  <c r="G8" i="7" s="1"/>
  <c r="J15" i="5"/>
  <c r="K15" i="5"/>
  <c r="J14" i="5"/>
  <c r="K14" i="5"/>
  <c r="P14" i="5" s="1"/>
  <c r="O37" i="5"/>
  <c r="S37" i="3"/>
  <c r="T37" i="3" s="1"/>
  <c r="H37" i="4" s="1"/>
  <c r="I37" i="4" s="1"/>
  <c r="P37" i="4" s="1"/>
  <c r="C37" i="7" s="1"/>
  <c r="K30" i="5"/>
  <c r="J30" i="5"/>
  <c r="N6" i="6"/>
  <c r="O6" i="6" s="1"/>
  <c r="F6" i="7" s="1"/>
  <c r="G6" i="7" s="1"/>
  <c r="L37" i="5"/>
  <c r="I37" i="5"/>
  <c r="K34" i="5"/>
  <c r="J34" i="5"/>
  <c r="K24" i="5"/>
  <c r="J24" i="5"/>
  <c r="P29" i="5"/>
  <c r="D29" i="7" s="1"/>
  <c r="P24" i="4"/>
  <c r="C24" i="7" s="1"/>
  <c r="E13" i="7"/>
  <c r="J19" i="5"/>
  <c r="K19" i="5"/>
  <c r="P20" i="5"/>
  <c r="D20" i="7" s="1"/>
  <c r="E20" i="7" s="1"/>
  <c r="M19" i="6"/>
  <c r="N19" i="6" s="1"/>
  <c r="O19" i="6" s="1"/>
  <c r="F19" i="7" s="1"/>
  <c r="C23" i="10"/>
  <c r="P33" i="5"/>
  <c r="D33" i="7" s="1"/>
  <c r="E33" i="7" s="1"/>
  <c r="G33" i="7" s="1"/>
  <c r="D7" i="8"/>
  <c r="K22" i="5"/>
  <c r="J22" i="5"/>
  <c r="P22" i="5" s="1"/>
  <c r="D22" i="7" s="1"/>
  <c r="E22" i="7" s="1"/>
  <c r="G22" i="7" s="1"/>
  <c r="P23" i="4"/>
  <c r="C23" i="7" s="1"/>
  <c r="D14" i="7" l="1"/>
  <c r="O11" i="10"/>
  <c r="AC10" i="7"/>
  <c r="AC31" i="7"/>
  <c r="O32" i="10"/>
  <c r="O23" i="10"/>
  <c r="AC22" i="7"/>
  <c r="O19" i="10"/>
  <c r="AC18" i="7"/>
  <c r="D3" i="7"/>
  <c r="O17" i="10"/>
  <c r="AC16" i="7"/>
  <c r="G20" i="7"/>
  <c r="O7" i="10"/>
  <c r="AC6" i="7"/>
  <c r="O8" i="10"/>
  <c r="AC7" i="7"/>
  <c r="AC33" i="7"/>
  <c r="O34" i="10"/>
  <c r="O9" i="10"/>
  <c r="AC8" i="7"/>
  <c r="H6" i="10"/>
  <c r="E9" i="10"/>
  <c r="G5" i="10"/>
  <c r="H13" i="6"/>
  <c r="M13" i="6" s="1"/>
  <c r="K11" i="6"/>
  <c r="F27" i="10"/>
  <c r="B27" i="10"/>
  <c r="E27" i="10"/>
  <c r="K15" i="6"/>
  <c r="E8" i="10"/>
  <c r="F9" i="10"/>
  <c r="N5" i="6"/>
  <c r="O5" i="6" s="1"/>
  <c r="F5" i="7" s="1"/>
  <c r="M23" i="6"/>
  <c r="H23" i="6"/>
  <c r="E12" i="7"/>
  <c r="G12" i="7" s="1"/>
  <c r="P19" i="5"/>
  <c r="D19" i="7" s="1"/>
  <c r="E19" i="7" s="1"/>
  <c r="G19" i="7" s="1"/>
  <c r="P30" i="5"/>
  <c r="D30" i="7" s="1"/>
  <c r="E30" i="7" s="1"/>
  <c r="G30" i="7" s="1"/>
  <c r="K26" i="6"/>
  <c r="H25" i="6"/>
  <c r="M25" i="6"/>
  <c r="F8" i="10"/>
  <c r="E6" i="10"/>
  <c r="M17" i="6"/>
  <c r="H17" i="6"/>
  <c r="F2" i="7"/>
  <c r="F7" i="10"/>
  <c r="J6" i="10"/>
  <c r="E36" i="7"/>
  <c r="G36" i="7" s="1"/>
  <c r="AC35" i="7"/>
  <c r="O36" i="10"/>
  <c r="J5" i="10"/>
  <c r="G9" i="10"/>
  <c r="K28" i="5"/>
  <c r="J28" i="5"/>
  <c r="P28" i="5"/>
  <c r="D28" i="7" s="1"/>
  <c r="M15" i="6"/>
  <c r="N15" i="6" s="1"/>
  <c r="O15" i="6" s="1"/>
  <c r="H15" i="6"/>
  <c r="K37" i="5"/>
  <c r="J37" i="5"/>
  <c r="P37" i="5" s="1"/>
  <c r="D37" i="7" s="1"/>
  <c r="C2" i="7"/>
  <c r="E2" i="7" s="1"/>
  <c r="E37" i="7"/>
  <c r="G37" i="7" s="1"/>
  <c r="P27" i="4"/>
  <c r="E6" i="8"/>
  <c r="K5" i="5"/>
  <c r="J5" i="5"/>
  <c r="K13" i="6"/>
  <c r="N13" i="6" s="1"/>
  <c r="O13" i="6" s="1"/>
  <c r="F13" i="7" s="1"/>
  <c r="G13" i="7" s="1"/>
  <c r="H7" i="10"/>
  <c r="H8" i="10"/>
  <c r="E32" i="7"/>
  <c r="G32" i="7" s="1"/>
  <c r="D6" i="8"/>
  <c r="P14" i="4"/>
  <c r="N17" i="6"/>
  <c r="O17" i="6" s="1"/>
  <c r="F17" i="7" s="1"/>
  <c r="K17" i="6"/>
  <c r="E23" i="7"/>
  <c r="I9" i="10"/>
  <c r="I6" i="10"/>
  <c r="F6" i="10"/>
  <c r="K4" i="5"/>
  <c r="J4" i="5"/>
  <c r="P4" i="5"/>
  <c r="D4" i="7" s="1"/>
  <c r="E4" i="7" s="1"/>
  <c r="G4" i="7" s="1"/>
  <c r="R22" i="10"/>
  <c r="Q22" i="10"/>
  <c r="T22" i="10"/>
  <c r="U22" i="10"/>
  <c r="S22" i="10"/>
  <c r="M11" i="6"/>
  <c r="D44" i="1" s="1"/>
  <c r="H44" i="1" s="1"/>
  <c r="H11" i="6"/>
  <c r="N11" i="6" s="1"/>
  <c r="O11" i="6" s="1"/>
  <c r="G29" i="7"/>
  <c r="P24" i="5"/>
  <c r="D24" i="7" s="1"/>
  <c r="E24" i="7" s="1"/>
  <c r="G24" i="7" s="1"/>
  <c r="E7" i="10"/>
  <c r="I5" i="10"/>
  <c r="F5" i="10"/>
  <c r="P25" i="5"/>
  <c r="D25" i="7" s="1"/>
  <c r="E25" i="7" s="1"/>
  <c r="P5" i="5"/>
  <c r="D5" i="7" s="1"/>
  <c r="E5" i="7" s="1"/>
  <c r="G5" i="7" s="1"/>
  <c r="T10" i="10"/>
  <c r="S10" i="10"/>
  <c r="R10" i="10"/>
  <c r="Q10" i="10"/>
  <c r="U10" i="10"/>
  <c r="I3" i="4"/>
  <c r="C5" i="8"/>
  <c r="G15" i="1"/>
  <c r="I7" i="10"/>
  <c r="G8" i="10"/>
  <c r="H9" i="10"/>
  <c r="K25" i="6"/>
  <c r="D43" i="1" s="1"/>
  <c r="H43" i="1" s="1"/>
  <c r="K23" i="6"/>
  <c r="N23" i="6" s="1"/>
  <c r="O23" i="6" s="1"/>
  <c r="F23" i="7" s="1"/>
  <c r="E28" i="7"/>
  <c r="G28" i="7" s="1"/>
  <c r="N34" i="6"/>
  <c r="O34" i="6" s="1"/>
  <c r="F34" i="7" s="1"/>
  <c r="G27" i="10"/>
  <c r="P34" i="5"/>
  <c r="D34" i="7" s="1"/>
  <c r="E34" i="7" s="1"/>
  <c r="P15" i="5"/>
  <c r="D15" i="7" s="1"/>
  <c r="E15" i="7" s="1"/>
  <c r="P17" i="5"/>
  <c r="D17" i="7" s="1"/>
  <c r="E17" i="7" s="1"/>
  <c r="J9" i="10"/>
  <c r="G7" i="10"/>
  <c r="I8" i="10"/>
  <c r="H26" i="6"/>
  <c r="N26" i="6" s="1"/>
  <c r="O26" i="6" s="1"/>
  <c r="M26" i="6"/>
  <c r="M34" i="6"/>
  <c r="E26" i="7"/>
  <c r="F15" i="7" l="1"/>
  <c r="F26" i="7"/>
  <c r="E12" i="8"/>
  <c r="O14" i="10"/>
  <c r="AC13" i="7"/>
  <c r="F11" i="7"/>
  <c r="G11" i="7" s="1"/>
  <c r="O6" i="10"/>
  <c r="AC5" i="7"/>
  <c r="AC4" i="7"/>
  <c r="O5" i="10"/>
  <c r="AC24" i="7"/>
  <c r="O25" i="10"/>
  <c r="G23" i="7"/>
  <c r="E10" i="8"/>
  <c r="U9" i="10"/>
  <c r="T9" i="10"/>
  <c r="S9" i="10"/>
  <c r="R9" i="10"/>
  <c r="Q9" i="10"/>
  <c r="C10" i="8"/>
  <c r="N25" i="6"/>
  <c r="O25" i="6" s="1"/>
  <c r="F25" i="7" s="1"/>
  <c r="G25" i="7" s="1"/>
  <c r="C27" i="7"/>
  <c r="E27" i="7" s="1"/>
  <c r="G27" i="7" s="1"/>
  <c r="E9" i="8"/>
  <c r="U34" i="10"/>
  <c r="T34" i="10"/>
  <c r="S34" i="10"/>
  <c r="R34" i="10"/>
  <c r="Q34" i="10"/>
  <c r="AC30" i="7"/>
  <c r="O31" i="10"/>
  <c r="G17" i="7"/>
  <c r="D9" i="8"/>
  <c r="C14" i="7"/>
  <c r="E14" i="7" s="1"/>
  <c r="O20" i="10"/>
  <c r="AC19" i="7"/>
  <c r="U19" i="10"/>
  <c r="T19" i="10"/>
  <c r="S19" i="10"/>
  <c r="R19" i="10"/>
  <c r="Q19" i="10"/>
  <c r="G15" i="7"/>
  <c r="G34" i="7"/>
  <c r="O33" i="10"/>
  <c r="AC32" i="7"/>
  <c r="C12" i="8"/>
  <c r="O13" i="10"/>
  <c r="AC12" i="7"/>
  <c r="U8" i="10"/>
  <c r="S8" i="10"/>
  <c r="R8" i="10"/>
  <c r="T8" i="10"/>
  <c r="Q8" i="10"/>
  <c r="U23" i="10"/>
  <c r="T23" i="10"/>
  <c r="S23" i="10"/>
  <c r="R23" i="10"/>
  <c r="Q23" i="10"/>
  <c r="U32" i="10"/>
  <c r="T32" i="10"/>
  <c r="S32" i="10"/>
  <c r="R32" i="10"/>
  <c r="Q32" i="10"/>
  <c r="G2" i="7"/>
  <c r="U7" i="10"/>
  <c r="T7" i="10"/>
  <c r="S7" i="10"/>
  <c r="R7" i="10"/>
  <c r="Q7" i="10"/>
  <c r="AC37" i="7"/>
  <c r="O38" i="10"/>
  <c r="U36" i="10"/>
  <c r="T36" i="10"/>
  <c r="S36" i="10"/>
  <c r="Q36" i="10"/>
  <c r="R36" i="10"/>
  <c r="O21" i="10"/>
  <c r="AC20" i="7"/>
  <c r="S11" i="10"/>
  <c r="R11" i="10"/>
  <c r="Q11" i="10"/>
  <c r="U11" i="10"/>
  <c r="T11" i="10"/>
  <c r="B11" i="10"/>
  <c r="J15" i="1" s="1"/>
  <c r="AC36" i="7"/>
  <c r="O37" i="10"/>
  <c r="D10" i="8"/>
  <c r="G26" i="7"/>
  <c r="E11" i="8"/>
  <c r="AC28" i="7"/>
  <c r="O29" i="10"/>
  <c r="P3" i="4"/>
  <c r="C6" i="8"/>
  <c r="AC29" i="7"/>
  <c r="O30" i="10"/>
  <c r="D40" i="1"/>
  <c r="H40" i="1" s="1"/>
  <c r="U17" i="10"/>
  <c r="T17" i="10"/>
  <c r="S17" i="10"/>
  <c r="Q17" i="10"/>
  <c r="R17" i="10"/>
  <c r="O26" i="10" l="1"/>
  <c r="AC25" i="7"/>
  <c r="U31" i="10"/>
  <c r="T31" i="10"/>
  <c r="S31" i="10"/>
  <c r="R31" i="10"/>
  <c r="Q31" i="10"/>
  <c r="C3" i="7"/>
  <c r="E3" i="7" s="1"/>
  <c r="C9" i="8"/>
  <c r="B6" i="10"/>
  <c r="D15" i="1"/>
  <c r="Q13" i="10"/>
  <c r="U13" i="10"/>
  <c r="T13" i="10"/>
  <c r="S13" i="10"/>
  <c r="R13" i="10"/>
  <c r="D28" i="10"/>
  <c r="D29" i="10" s="1"/>
  <c r="R6" i="10"/>
  <c r="Q6" i="10"/>
  <c r="S6" i="10"/>
  <c r="U6" i="10"/>
  <c r="T6" i="10"/>
  <c r="O12" i="10"/>
  <c r="AC11" i="7"/>
  <c r="U30" i="10"/>
  <c r="T30" i="10"/>
  <c r="S30" i="10"/>
  <c r="R30" i="10"/>
  <c r="Q30" i="10"/>
  <c r="J5" i="1"/>
  <c r="G14" i="7"/>
  <c r="D11" i="8"/>
  <c r="T14" i="10"/>
  <c r="S14" i="10"/>
  <c r="Q14" i="10"/>
  <c r="U14" i="10"/>
  <c r="R14" i="10"/>
  <c r="U20" i="10"/>
  <c r="T20" i="10"/>
  <c r="R20" i="10"/>
  <c r="Q20" i="10"/>
  <c r="S20" i="10"/>
  <c r="E13" i="8"/>
  <c r="AC26" i="7"/>
  <c r="O27" i="10"/>
  <c r="U21" i="10"/>
  <c r="T21" i="10"/>
  <c r="S21" i="10"/>
  <c r="R21" i="10"/>
  <c r="Q21" i="10"/>
  <c r="S33" i="10"/>
  <c r="R33" i="10"/>
  <c r="Q33" i="10"/>
  <c r="U33" i="10"/>
  <c r="T33" i="10"/>
  <c r="E28" i="10"/>
  <c r="E29" i="10" s="1"/>
  <c r="O24" i="10"/>
  <c r="AC23" i="7"/>
  <c r="D45" i="1"/>
  <c r="H45" i="1" s="1"/>
  <c r="F28" i="10"/>
  <c r="F29" i="10" s="1"/>
  <c r="D12" i="8"/>
  <c r="B28" i="10"/>
  <c r="B29" i="10" s="1"/>
  <c r="U38" i="10"/>
  <c r="T38" i="10"/>
  <c r="Q38" i="10"/>
  <c r="S38" i="10"/>
  <c r="R38" i="10"/>
  <c r="U29" i="10"/>
  <c r="T29" i="10"/>
  <c r="S29" i="10"/>
  <c r="R29" i="10"/>
  <c r="Q29" i="10"/>
  <c r="C28" i="10"/>
  <c r="C29" i="10" s="1"/>
  <c r="G28" i="10"/>
  <c r="G29" i="10" s="1"/>
  <c r="R25" i="10"/>
  <c r="Q25" i="10"/>
  <c r="U25" i="10"/>
  <c r="T25" i="10"/>
  <c r="S25" i="10"/>
  <c r="O3" i="10"/>
  <c r="AC2" i="7"/>
  <c r="I2" i="7"/>
  <c r="O35" i="10"/>
  <c r="AC34" i="7"/>
  <c r="U37" i="10"/>
  <c r="T37" i="10"/>
  <c r="S37" i="10"/>
  <c r="R37" i="10"/>
  <c r="Q37" i="10"/>
  <c r="O16" i="10"/>
  <c r="AC15" i="7"/>
  <c r="O18" i="10"/>
  <c r="AC17" i="7"/>
  <c r="O28" i="10"/>
  <c r="AC27" i="7"/>
  <c r="U5" i="10"/>
  <c r="T5" i="10"/>
  <c r="S5" i="10"/>
  <c r="Q5" i="10"/>
  <c r="R5" i="10"/>
  <c r="R12" i="10" l="1"/>
  <c r="Q12" i="10"/>
  <c r="T12" i="10"/>
  <c r="S12" i="10"/>
  <c r="U12" i="10"/>
  <c r="G3" i="7"/>
  <c r="B7" i="10"/>
  <c r="C11" i="8"/>
  <c r="A15" i="1" s="1"/>
  <c r="S18" i="10"/>
  <c r="R18" i="10"/>
  <c r="Q18" i="10"/>
  <c r="U18" i="10"/>
  <c r="T18" i="10"/>
  <c r="U3" i="10"/>
  <c r="T3" i="10"/>
  <c r="S3" i="10"/>
  <c r="R3" i="10"/>
  <c r="Q3" i="10"/>
  <c r="U27" i="10"/>
  <c r="T27" i="10"/>
  <c r="S27" i="10"/>
  <c r="R27" i="10"/>
  <c r="Q27" i="10"/>
  <c r="Q16" i="10"/>
  <c r="U16" i="10"/>
  <c r="S16" i="10"/>
  <c r="T16" i="10"/>
  <c r="R16" i="10"/>
  <c r="C19" i="10"/>
  <c r="B19" i="10"/>
  <c r="F19" i="10"/>
  <c r="E19" i="10"/>
  <c r="G19" i="10"/>
  <c r="D19" i="10"/>
  <c r="R24" i="10"/>
  <c r="Q24" i="10"/>
  <c r="U24" i="10"/>
  <c r="S24" i="10"/>
  <c r="T24" i="10"/>
  <c r="U35" i="10"/>
  <c r="T35" i="10"/>
  <c r="S35" i="10"/>
  <c r="R35" i="10"/>
  <c r="Q35" i="10"/>
  <c r="R28" i="10"/>
  <c r="Q28" i="10"/>
  <c r="U28" i="10"/>
  <c r="T28" i="10"/>
  <c r="S28" i="10"/>
  <c r="O15" i="10"/>
  <c r="D13" i="8"/>
  <c r="AC14" i="7"/>
  <c r="J2" i="7"/>
  <c r="R26" i="10"/>
  <c r="Q26" i="10"/>
  <c r="S26" i="10"/>
  <c r="U26" i="10"/>
  <c r="T26" i="10"/>
  <c r="P3" i="10" l="1"/>
  <c r="AD2" i="7"/>
  <c r="O4" i="10"/>
  <c r="AC3" i="7"/>
  <c r="B8" i="10"/>
  <c r="C13" i="8"/>
  <c r="U2" i="7"/>
  <c r="G20" i="10"/>
  <c r="F20" i="10"/>
  <c r="F24" i="10"/>
  <c r="E20" i="10"/>
  <c r="E24" i="10"/>
  <c r="D20" i="10"/>
  <c r="D24" i="10"/>
  <c r="C20" i="10"/>
  <c r="B24" i="10"/>
  <c r="B20" i="10"/>
  <c r="C24" i="10"/>
  <c r="U15" i="10"/>
  <c r="T15" i="10"/>
  <c r="S15" i="10"/>
  <c r="R15" i="10"/>
  <c r="Q15" i="10"/>
  <c r="T4" i="10" l="1"/>
  <c r="E33" i="10" s="1"/>
  <c r="S4" i="10"/>
  <c r="D33" i="10" s="1"/>
  <c r="R4" i="10"/>
  <c r="C33" i="10" s="1"/>
  <c r="Q4" i="10"/>
  <c r="B33" i="10" s="1"/>
  <c r="U4" i="10"/>
  <c r="F33" i="10" s="1"/>
  <c r="W2" i="7"/>
  <c r="V2" i="7"/>
  <c r="Z3" i="10"/>
  <c r="X3" i="10"/>
  <c r="W3" i="10"/>
  <c r="Y3" i="10"/>
  <c r="V3" i="10"/>
  <c r="G20" i="1"/>
  <c r="B13" i="10"/>
  <c r="X2" i="7" l="1"/>
  <c r="Z2" i="7"/>
  <c r="N2" i="7"/>
  <c r="Y2" i="7"/>
  <c r="K2" i="7"/>
  <c r="T2" i="7" l="1"/>
  <c r="M2" i="7"/>
  <c r="Q2" i="7" s="1"/>
  <c r="H3" i="7" s="1"/>
  <c r="S2" i="7"/>
  <c r="I3" i="7" l="1"/>
  <c r="R3" i="7"/>
  <c r="J3" i="7" l="1"/>
  <c r="P4" i="10" l="1"/>
  <c r="AD3" i="7"/>
  <c r="U3" i="7"/>
  <c r="V3" i="7" s="1"/>
  <c r="X3" i="7" l="1"/>
  <c r="Z3" i="7"/>
  <c r="K3" i="7"/>
  <c r="W3" i="7"/>
  <c r="N3" i="7" s="1"/>
  <c r="Z4" i="10"/>
  <c r="X4" i="10"/>
  <c r="W4" i="10"/>
  <c r="V4" i="10"/>
  <c r="Y4" i="10"/>
  <c r="S3" i="7" l="1"/>
  <c r="Y3" i="7"/>
  <c r="M3" i="7"/>
  <c r="Q3" i="7" s="1"/>
  <c r="H4" i="7" s="1"/>
  <c r="I4" i="7" l="1"/>
  <c r="T3" i="7"/>
  <c r="R4" i="7" l="1"/>
  <c r="J4" i="7"/>
  <c r="P5" i="10" l="1"/>
  <c r="AD4" i="7"/>
  <c r="U4" i="7"/>
  <c r="W4" i="7" l="1"/>
  <c r="Y5" i="10"/>
  <c r="X5" i="10"/>
  <c r="W5" i="10"/>
  <c r="V5" i="10"/>
  <c r="Z5" i="10"/>
  <c r="V4" i="7"/>
  <c r="X4" i="7" l="1"/>
  <c r="N4" i="7" s="1"/>
  <c r="Y4" i="7"/>
  <c r="K4" i="7"/>
  <c r="S4" i="7" l="1"/>
  <c r="M4" i="7"/>
  <c r="Q4" i="7" s="1"/>
  <c r="H5" i="7" s="1"/>
  <c r="Z4" i="7"/>
  <c r="T4" i="7" s="1"/>
  <c r="R5" i="7" l="1"/>
  <c r="I5" i="7"/>
  <c r="J5" i="7" l="1"/>
  <c r="P6" i="10" l="1"/>
  <c r="AD5" i="7"/>
  <c r="U5" i="7"/>
  <c r="V5" i="7" s="1"/>
  <c r="Z5" i="7" l="1"/>
  <c r="X5" i="7"/>
  <c r="K5" i="7"/>
  <c r="W5" i="7"/>
  <c r="N5" i="7" s="1"/>
  <c r="Z6" i="10"/>
  <c r="Y6" i="10"/>
  <c r="X6" i="10"/>
  <c r="W6" i="10"/>
  <c r="V6" i="10"/>
  <c r="S5" i="7" l="1"/>
  <c r="Y5" i="7"/>
  <c r="M5" i="7"/>
  <c r="Q5" i="7" s="1"/>
  <c r="H6" i="7" s="1"/>
  <c r="I6" i="7" l="1"/>
  <c r="T5" i="7"/>
  <c r="R6" i="7" l="1"/>
  <c r="J6" i="7"/>
  <c r="U6" i="7" s="1"/>
  <c r="W6" i="7" l="1"/>
  <c r="P7" i="10"/>
  <c r="AD6" i="7"/>
  <c r="V6" i="7"/>
  <c r="X6" i="7" l="1"/>
  <c r="N6" i="7" s="1"/>
  <c r="W7" i="10"/>
  <c r="V7" i="10"/>
  <c r="Z7" i="10"/>
  <c r="Y7" i="10"/>
  <c r="X7" i="10"/>
  <c r="Y6" i="7"/>
  <c r="K6" i="7"/>
  <c r="S6" i="7" l="1"/>
  <c r="Z6" i="7"/>
  <c r="M6" i="7"/>
  <c r="Q6" i="7" s="1"/>
  <c r="H7" i="7" s="1"/>
  <c r="I7" i="7" l="1"/>
  <c r="T6" i="7"/>
  <c r="R7" i="7" l="1"/>
  <c r="J7" i="7"/>
  <c r="P8" i="10" l="1"/>
  <c r="AD7" i="7"/>
  <c r="U7" i="7"/>
  <c r="W7" i="7" l="1"/>
  <c r="Y7" i="7"/>
  <c r="V7" i="7"/>
  <c r="Z8" i="10"/>
  <c r="Y8" i="10"/>
  <c r="X8" i="10"/>
  <c r="W8" i="10"/>
  <c r="V8" i="10"/>
  <c r="X7" i="7" l="1"/>
  <c r="N7" i="7" s="1"/>
  <c r="S7" i="7" s="1"/>
  <c r="Z7" i="7"/>
  <c r="K7" i="7"/>
  <c r="M7" i="7" s="1"/>
  <c r="Q7" i="7" s="1"/>
  <c r="H8" i="7" s="1"/>
  <c r="I8" i="7" l="1"/>
  <c r="T7" i="7"/>
  <c r="R8" i="7" s="1"/>
  <c r="J8" i="7" l="1"/>
  <c r="P9" i="10" l="1"/>
  <c r="AD8" i="7"/>
  <c r="U8" i="7"/>
  <c r="W8" i="7" l="1"/>
  <c r="Y8" i="7"/>
  <c r="V8" i="7"/>
  <c r="Z9" i="10"/>
  <c r="Y9" i="10"/>
  <c r="W9" i="10"/>
  <c r="X9" i="10"/>
  <c r="V9" i="10"/>
  <c r="Z8" i="7" l="1"/>
  <c r="X8" i="7"/>
  <c r="T8" i="7"/>
  <c r="R9" i="7" s="1"/>
  <c r="N8" i="7"/>
  <c r="P8" i="7" s="1"/>
  <c r="K8" i="7"/>
  <c r="M8" i="7" s="1"/>
  <c r="Q8" i="7" s="1"/>
  <c r="H9" i="7" s="1"/>
  <c r="I9" i="7" l="1"/>
  <c r="J9" i="7" l="1"/>
  <c r="P10" i="10" l="1"/>
  <c r="AD9" i="7"/>
  <c r="U9" i="7"/>
  <c r="V9" i="7" s="1"/>
  <c r="Z9" i="7" l="1"/>
  <c r="X9" i="7"/>
  <c r="K9" i="7"/>
  <c r="M9" i="7" s="1"/>
  <c r="Y9" i="7"/>
  <c r="W9" i="7"/>
  <c r="N9" i="7" s="1"/>
  <c r="P9" i="7" s="1"/>
  <c r="Z10" i="10"/>
  <c r="Y10" i="10"/>
  <c r="X10" i="10"/>
  <c r="W10" i="10"/>
  <c r="V10" i="10"/>
  <c r="T9" i="7" l="1"/>
  <c r="R10" i="7" s="1"/>
  <c r="Q9" i="7"/>
  <c r="H10" i="7" s="1"/>
  <c r="I10" i="7" l="1"/>
  <c r="J10" i="7" l="1"/>
  <c r="P11" i="10" l="1"/>
  <c r="AD10" i="7"/>
  <c r="U10" i="7"/>
  <c r="W10" i="7" l="1"/>
  <c r="Y10" i="7"/>
  <c r="V10" i="7"/>
  <c r="Z11" i="10"/>
  <c r="Y11" i="10"/>
  <c r="W11" i="10"/>
  <c r="V11" i="10"/>
  <c r="X11" i="10"/>
  <c r="X10" i="7" l="1"/>
  <c r="Z10" i="7"/>
  <c r="T10" i="7"/>
  <c r="R11" i="7" s="1"/>
  <c r="N10" i="7"/>
  <c r="P10" i="7" s="1"/>
  <c r="K10" i="7"/>
  <c r="M10" i="7" s="1"/>
  <c r="Q10" i="7" s="1"/>
  <c r="H11" i="7" s="1"/>
  <c r="I11" i="7" l="1"/>
  <c r="J11" i="7" l="1"/>
  <c r="P12" i="10" l="1"/>
  <c r="AD11" i="7"/>
  <c r="U11" i="7"/>
  <c r="Y11" i="7" l="1"/>
  <c r="W11" i="7"/>
  <c r="Z12" i="10"/>
  <c r="Y12" i="10"/>
  <c r="X12" i="10"/>
  <c r="W12" i="10"/>
  <c r="V12" i="10"/>
  <c r="V11" i="7"/>
  <c r="Z11" i="7" l="1"/>
  <c r="X11" i="7"/>
  <c r="T11" i="7"/>
  <c r="R12" i="7" s="1"/>
  <c r="N11" i="7"/>
  <c r="P11" i="7" s="1"/>
  <c r="K11" i="7"/>
  <c r="M11" i="7" s="1"/>
  <c r="Q11" i="7" s="1"/>
  <c r="H12" i="7" s="1"/>
  <c r="I12" i="7" l="1"/>
  <c r="J12" i="7" l="1"/>
  <c r="P13" i="10" l="1"/>
  <c r="AD12" i="7"/>
  <c r="U12" i="7"/>
  <c r="V12" i="7"/>
  <c r="K12" i="7" l="1"/>
  <c r="M12" i="7" s="1"/>
  <c r="Y12" i="7"/>
  <c r="W12" i="7"/>
  <c r="Z12" i="7"/>
  <c r="X12" i="7"/>
  <c r="Z13" i="10"/>
  <c r="Y13" i="10"/>
  <c r="X13" i="10"/>
  <c r="W13" i="10"/>
  <c r="V13" i="10"/>
  <c r="N12" i="7" l="1"/>
  <c r="P12" i="7" s="1"/>
  <c r="T12" i="7"/>
  <c r="R13" i="7" s="1"/>
  <c r="Q12" i="7" l="1"/>
  <c r="H13" i="7" s="1"/>
  <c r="I13" i="7" l="1"/>
  <c r="J13" i="7" l="1"/>
  <c r="P14" i="10" l="1"/>
  <c r="AD13" i="7"/>
  <c r="C14" i="8"/>
  <c r="U13" i="7"/>
  <c r="W13" i="7" l="1"/>
  <c r="Y13" i="7"/>
  <c r="V13" i="7"/>
  <c r="Z14" i="10"/>
  <c r="Y14" i="10"/>
  <c r="X14" i="10"/>
  <c r="W14" i="10"/>
  <c r="V14" i="10"/>
  <c r="Z13" i="7" l="1"/>
  <c r="X13" i="7"/>
  <c r="C21" i="8"/>
  <c r="T13" i="7"/>
  <c r="N13" i="7"/>
  <c r="K13" i="7"/>
  <c r="C15" i="8" l="1"/>
  <c r="M13" i="7"/>
  <c r="P13" i="7"/>
  <c r="C19" i="8"/>
  <c r="C17" i="8"/>
  <c r="R14" i="7"/>
  <c r="C22" i="8"/>
  <c r="C18" i="8" l="1"/>
  <c r="C20" i="8"/>
  <c r="Q13" i="7"/>
  <c r="C16" i="8" l="1"/>
  <c r="H14" i="7"/>
  <c r="I14" i="7" l="1"/>
  <c r="J14" i="7" l="1"/>
  <c r="P15" i="10" l="1"/>
  <c r="AD14" i="7"/>
  <c r="U14" i="7"/>
  <c r="W14" i="7" l="1"/>
  <c r="Y14" i="7"/>
  <c r="V14" i="7"/>
  <c r="Z15" i="10"/>
  <c r="Y15" i="10"/>
  <c r="X15" i="10"/>
  <c r="W15" i="10"/>
  <c r="V15" i="10"/>
  <c r="Z14" i="7" l="1"/>
  <c r="X14" i="7"/>
  <c r="N14" i="7"/>
  <c r="T14" i="7"/>
  <c r="R15" i="7" s="1"/>
  <c r="K14" i="7"/>
  <c r="M14" i="7" l="1"/>
  <c r="P14" i="7"/>
  <c r="AA14" i="7" l="1"/>
  <c r="Q14" i="7"/>
  <c r="H15" i="7" s="1"/>
  <c r="I15" i="7" l="1"/>
  <c r="J15" i="7" l="1"/>
  <c r="P16" i="10" l="1"/>
  <c r="AD15" i="7"/>
  <c r="U15" i="7"/>
  <c r="V15" i="7" s="1"/>
  <c r="Z15" i="7" l="1"/>
  <c r="X15" i="7"/>
  <c r="K15" i="7"/>
  <c r="W15" i="7"/>
  <c r="N15" i="7" s="1"/>
  <c r="Y15" i="7"/>
  <c r="Z16" i="10"/>
  <c r="Y16" i="10"/>
  <c r="X16" i="10"/>
  <c r="W16" i="10"/>
  <c r="V16" i="10"/>
  <c r="T15" i="7" l="1"/>
  <c r="R16" i="7" s="1"/>
  <c r="P15" i="7"/>
  <c r="M15" i="7"/>
  <c r="Q15" i="7" s="1"/>
  <c r="H16" i="7" s="1"/>
  <c r="I16" i="7" l="1"/>
  <c r="AA15" i="7"/>
  <c r="J16" i="7" l="1"/>
  <c r="P17" i="10" l="1"/>
  <c r="AD16" i="7"/>
  <c r="U16" i="7"/>
  <c r="Y16" i="7" l="1"/>
  <c r="W16" i="7"/>
  <c r="Z17" i="10"/>
  <c r="Y17" i="10"/>
  <c r="X17" i="10"/>
  <c r="W17" i="10"/>
  <c r="V17" i="10"/>
  <c r="V16" i="7"/>
  <c r="X16" i="7" l="1"/>
  <c r="Z16" i="7"/>
  <c r="T16" i="7"/>
  <c r="R17" i="7" s="1"/>
  <c r="N16" i="7"/>
  <c r="K16" i="7"/>
  <c r="M16" i="7" l="1"/>
  <c r="P16" i="7"/>
  <c r="Q16" i="7" l="1"/>
  <c r="H17" i="7" s="1"/>
  <c r="AA16" i="7"/>
  <c r="I17" i="7" l="1"/>
  <c r="J17" i="7" l="1"/>
  <c r="P18" i="10" l="1"/>
  <c r="AD17" i="7"/>
  <c r="U17" i="7"/>
  <c r="Y17" i="7" l="1"/>
  <c r="W17" i="7"/>
  <c r="V17" i="7"/>
  <c r="Z18" i="10"/>
  <c r="Y18" i="10"/>
  <c r="X18" i="10"/>
  <c r="W18" i="10"/>
  <c r="V18" i="10"/>
  <c r="X17" i="7" l="1"/>
  <c r="Z17" i="7"/>
  <c r="N17" i="7"/>
  <c r="K17" i="7"/>
  <c r="M17" i="7" l="1"/>
  <c r="T17" i="7"/>
  <c r="R18" i="7" s="1"/>
  <c r="P17" i="7"/>
  <c r="AA17" i="7" l="1"/>
  <c r="Q17" i="7"/>
  <c r="H18" i="7" s="1"/>
  <c r="I18" i="7" l="1"/>
  <c r="J18" i="7" l="1"/>
  <c r="P19" i="10" l="1"/>
  <c r="AD18" i="7"/>
  <c r="U18" i="7"/>
  <c r="V18" i="7" s="1"/>
  <c r="X18" i="7" l="1"/>
  <c r="Z18" i="7"/>
  <c r="K18" i="7"/>
  <c r="Y18" i="7"/>
  <c r="W18" i="7"/>
  <c r="N18" i="7" s="1"/>
  <c r="V19" i="10"/>
  <c r="Z19" i="10"/>
  <c r="Y19" i="10"/>
  <c r="X19" i="10"/>
  <c r="W19" i="10"/>
  <c r="P18" i="7" l="1"/>
  <c r="T18" i="7"/>
  <c r="R19" i="7" s="1"/>
  <c r="M18" i="7"/>
  <c r="Q18" i="7" s="1"/>
  <c r="H19" i="7" s="1"/>
  <c r="I19" i="7" l="1"/>
  <c r="AA18" i="7"/>
  <c r="J19" i="7" l="1"/>
  <c r="P20" i="10" l="1"/>
  <c r="AD19" i="7"/>
  <c r="U19" i="7"/>
  <c r="Y19" i="7" l="1"/>
  <c r="W19" i="7"/>
  <c r="V19" i="7"/>
  <c r="Z20" i="10"/>
  <c r="Y20" i="10"/>
  <c r="X20" i="10"/>
  <c r="W20" i="10"/>
  <c r="V20" i="10"/>
  <c r="Z19" i="7" l="1"/>
  <c r="X19" i="7"/>
  <c r="N19" i="7" s="1"/>
  <c r="P19" i="7" s="1"/>
  <c r="T19" i="7"/>
  <c r="R20" i="7" s="1"/>
  <c r="K19" i="7"/>
  <c r="M19" i="7" s="1"/>
  <c r="AA19" i="7" l="1"/>
  <c r="Q19" i="7"/>
  <c r="H20" i="7" s="1"/>
  <c r="I20" i="7" l="1"/>
  <c r="J20" i="7" l="1"/>
  <c r="U20" i="7" s="1"/>
  <c r="Y20" i="7" l="1"/>
  <c r="W20" i="7"/>
  <c r="P21" i="10"/>
  <c r="AD20" i="7"/>
  <c r="V20" i="7"/>
  <c r="Z20" i="7" l="1"/>
  <c r="X20" i="7"/>
  <c r="Z21" i="10"/>
  <c r="Y21" i="10"/>
  <c r="X21" i="10"/>
  <c r="W21" i="10"/>
  <c r="V21" i="10"/>
  <c r="N20" i="7"/>
  <c r="P20" i="7" s="1"/>
  <c r="T20" i="7"/>
  <c r="R21" i="7" s="1"/>
  <c r="K20" i="7"/>
  <c r="M20" i="7" s="1"/>
  <c r="Q20" i="7" s="1"/>
  <c r="H21" i="7" s="1"/>
  <c r="I21" i="7" l="1"/>
  <c r="AA20" i="7"/>
  <c r="J21" i="7" l="1"/>
  <c r="P22" i="10" l="1"/>
  <c r="AD21" i="7"/>
  <c r="U21" i="7"/>
  <c r="V21" i="7" s="1"/>
  <c r="Z21" i="7" l="1"/>
  <c r="X21" i="7"/>
  <c r="K21" i="7"/>
  <c r="M21" i="7" s="1"/>
  <c r="W21" i="7"/>
  <c r="N21" i="7" s="1"/>
  <c r="P21" i="7" s="1"/>
  <c r="Y21" i="7"/>
  <c r="Z22" i="10"/>
  <c r="Y22" i="10"/>
  <c r="X22" i="10"/>
  <c r="W22" i="10"/>
  <c r="V22" i="10"/>
  <c r="Q21" i="7" l="1"/>
  <c r="H22" i="7" s="1"/>
  <c r="T21" i="7"/>
  <c r="R22" i="7" s="1"/>
  <c r="AA21" i="7"/>
  <c r="I22" i="7" l="1"/>
  <c r="J22" i="7" l="1"/>
  <c r="P23" i="10" l="1"/>
  <c r="AD22" i="7"/>
  <c r="U22" i="7"/>
  <c r="W22" i="7" l="1"/>
  <c r="Y22" i="7"/>
  <c r="V22" i="7"/>
  <c r="W23" i="10"/>
  <c r="V23" i="10"/>
  <c r="Z23" i="10"/>
  <c r="Y23" i="10"/>
  <c r="X23" i="10"/>
  <c r="X22" i="7" l="1"/>
  <c r="N22" i="7" s="1"/>
  <c r="P22" i="7" s="1"/>
  <c r="Z22" i="7"/>
  <c r="T22" i="7"/>
  <c r="R23" i="7" s="1"/>
  <c r="K22" i="7"/>
  <c r="M22" i="7" s="1"/>
  <c r="AA22" i="7" l="1"/>
  <c r="Q22" i="7"/>
  <c r="H23" i="7" s="1"/>
  <c r="I23" i="7" l="1"/>
  <c r="J23" i="7" l="1"/>
  <c r="P24" i="10" l="1"/>
  <c r="AD23" i="7"/>
  <c r="U23" i="7"/>
  <c r="V23" i="7" s="1"/>
  <c r="Z23" i="7" l="1"/>
  <c r="X23" i="7"/>
  <c r="K23" i="7"/>
  <c r="M23" i="7" s="1"/>
  <c r="Y23" i="7"/>
  <c r="W23" i="7"/>
  <c r="N23" i="7" s="1"/>
  <c r="P23" i="7" s="1"/>
  <c r="Z24" i="10"/>
  <c r="Y24" i="10"/>
  <c r="X24" i="10"/>
  <c r="V24" i="10"/>
  <c r="W24" i="10"/>
  <c r="T23" i="7" l="1"/>
  <c r="R24" i="7" s="1"/>
  <c r="AA23" i="7"/>
  <c r="Q23" i="7"/>
  <c r="H24" i="7" s="1"/>
  <c r="I24" i="7" l="1"/>
  <c r="J24" i="7" l="1"/>
  <c r="AD24" i="7" l="1"/>
  <c r="P25" i="10"/>
  <c r="U24" i="7"/>
  <c r="Y24" i="7" l="1"/>
  <c r="W24" i="7"/>
  <c r="V24" i="7"/>
  <c r="Z25" i="10"/>
  <c r="Y25" i="10"/>
  <c r="X25" i="10"/>
  <c r="W25" i="10"/>
  <c r="V25" i="10"/>
  <c r="Z24" i="7" l="1"/>
  <c r="X24" i="7"/>
  <c r="N24" i="7" s="1"/>
  <c r="P24" i="7" s="1"/>
  <c r="T24" i="7"/>
  <c r="R25" i="7" s="1"/>
  <c r="K24" i="7"/>
  <c r="M24" i="7" s="1"/>
  <c r="AA24" i="7" l="1"/>
  <c r="Q24" i="7"/>
  <c r="H25" i="7" s="1"/>
  <c r="I25" i="7" l="1"/>
  <c r="J25" i="7" l="1"/>
  <c r="P26" i="10" l="1"/>
  <c r="AD25" i="7"/>
  <c r="D14" i="8"/>
  <c r="U25" i="7"/>
  <c r="V25" i="7"/>
  <c r="X25" i="7" l="1"/>
  <c r="Z25" i="7"/>
  <c r="K25" i="7"/>
  <c r="W25" i="7"/>
  <c r="N25" i="7" s="1"/>
  <c r="Y25" i="7"/>
  <c r="Z26" i="10"/>
  <c r="Y26" i="10"/>
  <c r="X26" i="10"/>
  <c r="W26" i="10"/>
  <c r="V26" i="10"/>
  <c r="D21" i="8" l="1"/>
  <c r="T25" i="7"/>
  <c r="AB25" i="7"/>
  <c r="B28" i="8"/>
  <c r="D22" i="8"/>
  <c r="P25" i="7"/>
  <c r="D19" i="8"/>
  <c r="D15" i="8"/>
  <c r="M25" i="7"/>
  <c r="D20" i="8" l="1"/>
  <c r="D18" i="8"/>
  <c r="AA25" i="7"/>
  <c r="D17" i="8"/>
  <c r="R26" i="7"/>
  <c r="Q25" i="7"/>
  <c r="H26" i="7" l="1"/>
  <c r="D16" i="8"/>
  <c r="I26" i="7" l="1"/>
  <c r="J26" i="7" l="1"/>
  <c r="AD26" i="7" l="1"/>
  <c r="P27" i="10"/>
  <c r="U26" i="7"/>
  <c r="W26" i="7" l="1"/>
  <c r="Y26" i="7"/>
  <c r="V26" i="7"/>
  <c r="X27" i="10"/>
  <c r="W27" i="10"/>
  <c r="V27" i="10"/>
  <c r="Z27" i="10"/>
  <c r="Y27" i="10"/>
  <c r="X26" i="7" l="1"/>
  <c r="Z26" i="7"/>
  <c r="N26" i="7"/>
  <c r="K26" i="7"/>
  <c r="P26" i="7" l="1"/>
  <c r="M26" i="7"/>
  <c r="Q26" i="7" s="1"/>
  <c r="H27" i="7" s="1"/>
  <c r="T26" i="7"/>
  <c r="R27" i="7" s="1"/>
  <c r="I27" i="7" l="1"/>
  <c r="AA26" i="7"/>
  <c r="J27" i="7" l="1"/>
  <c r="P28" i="10" l="1"/>
  <c r="AD27" i="7"/>
  <c r="U27" i="7"/>
  <c r="V27" i="7" s="1"/>
  <c r="X27" i="7" l="1"/>
  <c r="Z27" i="7"/>
  <c r="K27" i="7"/>
  <c r="Y27" i="7"/>
  <c r="W27" i="7"/>
  <c r="N27" i="7" s="1"/>
  <c r="Z28" i="10"/>
  <c r="Y28" i="10"/>
  <c r="X28" i="10"/>
  <c r="W28" i="10"/>
  <c r="V28" i="10"/>
  <c r="P27" i="7" l="1"/>
  <c r="T27" i="7"/>
  <c r="R28" i="7" s="1"/>
  <c r="M27" i="7"/>
  <c r="Q27" i="7" s="1"/>
  <c r="H28" i="7" s="1"/>
  <c r="I28" i="7" l="1"/>
  <c r="AA27" i="7"/>
  <c r="J28" i="7" l="1"/>
  <c r="P29" i="10" l="1"/>
  <c r="AD28" i="7"/>
  <c r="U28" i="7"/>
  <c r="V28" i="7" s="1"/>
  <c r="X28" i="7" l="1"/>
  <c r="Z28" i="7"/>
  <c r="K28" i="7"/>
  <c r="Y28" i="7"/>
  <c r="W28" i="7"/>
  <c r="N28" i="7" s="1"/>
  <c r="X29" i="10"/>
  <c r="W29" i="10"/>
  <c r="V29" i="10"/>
  <c r="Z29" i="10"/>
  <c r="Y29" i="10"/>
  <c r="P28" i="7" l="1"/>
  <c r="T28" i="7"/>
  <c r="R29" i="7" s="1"/>
  <c r="M28" i="7"/>
  <c r="Q28" i="7" s="1"/>
  <c r="H29" i="7" s="1"/>
  <c r="I29" i="7" l="1"/>
  <c r="AA28" i="7"/>
  <c r="J29" i="7" l="1"/>
  <c r="AD29" i="7" l="1"/>
  <c r="P30" i="10"/>
  <c r="U29" i="7"/>
  <c r="V29" i="7" s="1"/>
  <c r="X29" i="7" l="1"/>
  <c r="Z29" i="7"/>
  <c r="X30" i="10"/>
  <c r="W30" i="10"/>
  <c r="V30" i="10"/>
  <c r="Z30" i="10"/>
  <c r="Y30" i="10"/>
  <c r="K29" i="7"/>
  <c r="Y29" i="7"/>
  <c r="W29" i="7"/>
  <c r="N29" i="7" s="1"/>
  <c r="T29" i="7" l="1"/>
  <c r="R30" i="7" s="1"/>
  <c r="P29" i="7"/>
  <c r="M29" i="7"/>
  <c r="Q29" i="7" s="1"/>
  <c r="H30" i="7" s="1"/>
  <c r="I30" i="7" l="1"/>
  <c r="AA29" i="7"/>
  <c r="J30" i="7" l="1"/>
  <c r="AD30" i="7" l="1"/>
  <c r="P31" i="10"/>
  <c r="U30" i="7"/>
  <c r="V30" i="7"/>
  <c r="Z30" i="7" l="1"/>
  <c r="X30" i="7"/>
  <c r="K30" i="7"/>
  <c r="W30" i="7"/>
  <c r="N30" i="7" s="1"/>
  <c r="Y30" i="7"/>
  <c r="X31" i="10"/>
  <c r="W31" i="10"/>
  <c r="V31" i="10"/>
  <c r="Z31" i="10"/>
  <c r="Y31" i="10"/>
  <c r="T30" i="7" l="1"/>
  <c r="R31" i="7" s="1"/>
  <c r="P30" i="7"/>
  <c r="M30" i="7"/>
  <c r="Q30" i="7" s="1"/>
  <c r="H31" i="7" s="1"/>
  <c r="I31" i="7" l="1"/>
  <c r="AA30" i="7"/>
  <c r="J31" i="7" l="1"/>
  <c r="AD31" i="7" l="1"/>
  <c r="P32" i="10"/>
  <c r="U31" i="7"/>
  <c r="V31" i="7"/>
  <c r="X31" i="7" l="1"/>
  <c r="Z31" i="7"/>
  <c r="K31" i="7"/>
  <c r="M31" i="7" s="1"/>
  <c r="Y31" i="7"/>
  <c r="W31" i="7"/>
  <c r="N31" i="7" s="1"/>
  <c r="P31" i="7" s="1"/>
  <c r="AA31" i="7" s="1"/>
  <c r="X32" i="10"/>
  <c r="W32" i="10"/>
  <c r="V32" i="10"/>
  <c r="Z32" i="10"/>
  <c r="Y32" i="10"/>
  <c r="T31" i="7" l="1"/>
  <c r="R32" i="7" s="1"/>
  <c r="Q31" i="7"/>
  <c r="H32" i="7" s="1"/>
  <c r="I32" i="7" l="1"/>
  <c r="J32" i="7" l="1"/>
  <c r="P33" i="10" l="1"/>
  <c r="AD32" i="7"/>
  <c r="U32" i="7"/>
  <c r="W32" i="7" l="1"/>
  <c r="Y32" i="7"/>
  <c r="V32" i="7"/>
  <c r="Z33" i="10"/>
  <c r="Y33" i="10"/>
  <c r="W33" i="10"/>
  <c r="V33" i="10"/>
  <c r="X33" i="10"/>
  <c r="Z32" i="7" l="1"/>
  <c r="X32" i="7"/>
  <c r="T32" i="7"/>
  <c r="R33" i="7" s="1"/>
  <c r="N32" i="7"/>
  <c r="P32" i="7" s="1"/>
  <c r="AA32" i="7" s="1"/>
  <c r="K32" i="7"/>
  <c r="M32" i="7" s="1"/>
  <c r="Q32" i="7" s="1"/>
  <c r="H33" i="7" s="1"/>
  <c r="I33" i="7" l="1"/>
  <c r="J33" i="7" l="1"/>
  <c r="AD33" i="7" l="1"/>
  <c r="P34" i="10"/>
  <c r="U33" i="7"/>
  <c r="Y33" i="7" l="1"/>
  <c r="W33" i="7"/>
  <c r="V33" i="7"/>
  <c r="Z34" i="10"/>
  <c r="Y34" i="10"/>
  <c r="X34" i="10"/>
  <c r="W34" i="10"/>
  <c r="V34" i="10"/>
  <c r="Z33" i="7" l="1"/>
  <c r="X33" i="7"/>
  <c r="N33" i="7"/>
  <c r="P33" i="7" s="1"/>
  <c r="AA33" i="7" s="1"/>
  <c r="T33" i="7"/>
  <c r="R34" i="7" s="1"/>
  <c r="K33" i="7"/>
  <c r="M33" i="7" s="1"/>
  <c r="Q33" i="7" s="1"/>
  <c r="H34" i="7" s="1"/>
  <c r="I34" i="7" l="1"/>
  <c r="J34" i="7" l="1"/>
  <c r="P35" i="10" l="1"/>
  <c r="AD34" i="7"/>
  <c r="U34" i="7"/>
  <c r="V34" i="7" s="1"/>
  <c r="Z34" i="7" l="1"/>
  <c r="X34" i="7"/>
  <c r="K34" i="7"/>
  <c r="M34" i="7" s="1"/>
  <c r="Y34" i="7"/>
  <c r="W34" i="7"/>
  <c r="N34" i="7" s="1"/>
  <c r="P34" i="7" s="1"/>
  <c r="AA34" i="7" s="1"/>
  <c r="Z35" i="10"/>
  <c r="Y35" i="10"/>
  <c r="X35" i="10"/>
  <c r="W35" i="10"/>
  <c r="V35" i="10"/>
  <c r="T34" i="7" l="1"/>
  <c r="R35" i="7" s="1"/>
  <c r="Q34" i="7"/>
  <c r="H35" i="7" s="1"/>
  <c r="I35" i="7" l="1"/>
  <c r="J35" i="7" l="1"/>
  <c r="AD35" i="7" l="1"/>
  <c r="P36" i="10"/>
  <c r="U35" i="7"/>
  <c r="W35" i="7" l="1"/>
  <c r="Y35" i="7"/>
  <c r="V35" i="7"/>
  <c r="Z36" i="10"/>
  <c r="Y36" i="10"/>
  <c r="X36" i="10"/>
  <c r="W36" i="10"/>
  <c r="V36" i="10"/>
  <c r="Z35" i="7" l="1"/>
  <c r="X35" i="7"/>
  <c r="T35" i="7"/>
  <c r="R36" i="7" s="1"/>
  <c r="N35" i="7"/>
  <c r="P35" i="7" s="1"/>
  <c r="AA35" i="7" s="1"/>
  <c r="K35" i="7"/>
  <c r="M35" i="7" s="1"/>
  <c r="Q35" i="7" s="1"/>
  <c r="H36" i="7" s="1"/>
  <c r="I36" i="7" l="1"/>
  <c r="J36" i="7" l="1"/>
  <c r="AD36" i="7" l="1"/>
  <c r="P37" i="10"/>
  <c r="U36" i="7"/>
  <c r="Y36" i="7" l="1"/>
  <c r="W36" i="7"/>
  <c r="V36" i="7"/>
  <c r="Z37" i="10"/>
  <c r="Y37" i="10"/>
  <c r="X37" i="10"/>
  <c r="W37" i="10"/>
  <c r="V37" i="10"/>
  <c r="Z36" i="7" l="1"/>
  <c r="T36" i="7" s="1"/>
  <c r="R37" i="7" s="1"/>
  <c r="X36" i="7"/>
  <c r="N36" i="7" s="1"/>
  <c r="P36" i="7" s="1"/>
  <c r="AA36" i="7" s="1"/>
  <c r="K36" i="7"/>
  <c r="M36" i="7" s="1"/>
  <c r="Q36" i="7" l="1"/>
  <c r="H37" i="7" s="1"/>
  <c r="I37" i="7" l="1"/>
  <c r="J37" i="7" l="1"/>
  <c r="F31" i="1" l="1"/>
  <c r="D10" i="1"/>
  <c r="E14" i="8"/>
  <c r="U37" i="7"/>
  <c r="V37" i="7"/>
  <c r="H31" i="1" l="1"/>
  <c r="F33" i="1"/>
  <c r="H33" i="1" s="1"/>
  <c r="X37" i="7"/>
  <c r="Z37" i="7"/>
  <c r="E22" i="8" s="1"/>
  <c r="K37" i="7"/>
  <c r="F32" i="1"/>
  <c r="H32" i="1" s="1"/>
  <c r="Y37" i="7"/>
  <c r="W37" i="7"/>
  <c r="N37" i="7" s="1"/>
  <c r="P37" i="7" l="1"/>
  <c r="E19" i="8"/>
  <c r="E21" i="8"/>
  <c r="T37" i="7"/>
  <c r="G10" i="1"/>
  <c r="E15" i="8"/>
  <c r="M37" i="7"/>
  <c r="Q37" i="7" s="1"/>
  <c r="B5" i="10"/>
  <c r="J25" i="1"/>
  <c r="A10" i="1"/>
  <c r="F34" i="1"/>
  <c r="H34" i="1" s="1"/>
  <c r="B9" i="10" l="1"/>
  <c r="E16" i="8"/>
  <c r="A25" i="1"/>
  <c r="P38" i="10"/>
  <c r="AD37" i="7"/>
  <c r="E17" i="8"/>
  <c r="B10" i="10"/>
  <c r="D25" i="1"/>
  <c r="J10" i="1"/>
  <c r="AA37" i="7"/>
  <c r="E18" i="8"/>
  <c r="E20" i="8"/>
  <c r="A20" i="1" l="1"/>
  <c r="B25" i="8"/>
  <c r="B27" i="8" s="1"/>
  <c r="B12" i="10"/>
  <c r="B14" i="10"/>
  <c r="J20" i="1"/>
  <c r="Z38" i="10"/>
  <c r="F34" i="10" s="1"/>
  <c r="Y38" i="10"/>
  <c r="E34" i="10" s="1"/>
  <c r="X38" i="10"/>
  <c r="D34" i="10" s="1"/>
  <c r="W38" i="10"/>
  <c r="C34" i="10" s="1"/>
  <c r="V38" i="10"/>
  <c r="B34" i="10" s="1"/>
</calcChain>
</file>

<file path=xl/sharedStrings.xml><?xml version="1.0" encoding="utf-8"?>
<sst xmlns="http://schemas.openxmlformats.org/spreadsheetml/2006/main" count="678" uniqueCount="558">
  <si>
    <t>PHASE 1 UNDERWRITING MODEL  ·  ENERGY THAT YIELDS</t>
  </si>
  <si>
    <t>20MW proof-of-execution case: 10MW Grootvlei + 10MW AMSA Vanderbijlpark | Funding, commissioning and debt-case underwrite</t>
  </si>
  <si>
    <t>Selected Case</t>
  </si>
  <si>
    <t>Phase 1 MW</t>
  </si>
  <si>
    <t>Site Split</t>
  </si>
  <si>
    <t>Total Capex</t>
  </si>
  <si>
    <t>underwriting scenario</t>
  </si>
  <si>
    <t>MW (10 GVL + 10 AMSA)</t>
  </si>
  <si>
    <t>GVL / AMSA</t>
  </si>
  <si>
    <t>ZAR '000</t>
  </si>
  <si>
    <t>Peak Funding Req.</t>
  </si>
  <si>
    <t>Total Equity Drawn</t>
  </si>
  <si>
    <t>Total Debt Drawn</t>
  </si>
  <si>
    <t>Peak Debt Balance</t>
  </si>
  <si>
    <t>ZAR '000 (total external)</t>
  </si>
  <si>
    <t>Year-1 EBITDA</t>
  </si>
  <si>
    <t>36M Revenue</t>
  </si>
  <si>
    <t>36M BTC Mined</t>
  </si>
  <si>
    <t>Break-even BTC Y1</t>
  </si>
  <si>
    <t>BTC</t>
  </si>
  <si>
    <t>USD/BTC</t>
  </si>
  <si>
    <t>Min DSCR (12M)</t>
  </si>
  <si>
    <t>DSCR Covenant</t>
  </si>
  <si>
    <t>Unlevered IRR</t>
  </si>
  <si>
    <t>Equity IRR</t>
  </si>
  <si>
    <t>trailing 12-month</t>
  </si>
  <si>
    <t>indicative minimum</t>
  </si>
  <si>
    <t>incl. continuation value</t>
  </si>
  <si>
    <t>levered, continuation value</t>
  </si>
  <si>
    <t>Closing Cash M36</t>
  </si>
  <si>
    <t>Closing Debt M36</t>
  </si>
  <si>
    <t>DSRA Funded</t>
  </si>
  <si>
    <t>Facility Headroom</t>
  </si>
  <si>
    <t>ZAR '000 (incl. DSRA)</t>
  </si>
  <si>
    <t>ZAR '000 (restricted)</t>
  </si>
  <si>
    <t>ZAR '000 vs committed</t>
  </si>
  <si>
    <t>Capital stack — committed vs drawn (Debt Case)</t>
  </si>
  <si>
    <t>Tranche</t>
  </si>
  <si>
    <t>Committed</t>
  </si>
  <si>
    <t>Drawn</t>
  </si>
  <si>
    <t>Headroom</t>
  </si>
  <si>
    <t>Terms</t>
  </si>
  <si>
    <t>Sponsor equity</t>
  </si>
  <si>
    <t>Drawn first; USD$4M @ R17</t>
  </si>
  <si>
    <t>Antalpha (asset-backed)</t>
  </si>
  <si>
    <t>10% USD, 24-mo bullet, Bitmain collateral</t>
  </si>
  <si>
    <t>DMTN Tranche 1</t>
  </si>
  <si>
    <t>12.25%, 5yr, convertible to equity at IPO</t>
  </si>
  <si>
    <t>Total committed</t>
  </si>
  <si>
    <t>vs total external funding requirement</t>
  </si>
  <si>
    <t>Phase 1 capex reconciliation — this model vs deck (p30)</t>
  </si>
  <si>
    <t>Capex line</t>
  </si>
  <si>
    <t>This model</t>
  </si>
  <si>
    <t>Deck (p30)</t>
  </si>
  <si>
    <t>Variance</t>
  </si>
  <si>
    <t>Note</t>
  </si>
  <si>
    <t>ASIC hardware (S21 XP-class)</t>
  </si>
  <si>
    <t>Model uses lower USD/TH (see below)</t>
  </si>
  <si>
    <t>Hydro containers + cooling</t>
  </si>
  <si>
    <t>Containers only here; cooling in EPC</t>
  </si>
  <si>
    <t>Electrical / site EPC</t>
  </si>
  <si>
    <t>Model carries fuller EPC scope</t>
  </si>
  <si>
    <t>Solar PV (AMSA)</t>
  </si>
  <si>
    <t>Added in model; not in deck p30</t>
  </si>
  <si>
    <t>Spares + tools + setup</t>
  </si>
  <si>
    <t>Itemised in model</t>
  </si>
  <si>
    <t>Logistics + duties</t>
  </si>
  <si>
    <t>Freight, clearing, duty, insurance</t>
  </si>
  <si>
    <t>Total Phase 1 capex</t>
  </si>
  <si>
    <t>Totals within ~3%; mix differs</t>
  </si>
  <si>
    <t>Hardware cost basis (USD/TH)</t>
  </si>
  <si>
    <t>~$11-15 mkt</t>
  </si>
  <si>
    <t>Model hardware is optimistic; stress in Sensitivity</t>
  </si>
  <si>
    <t>Structuring flags and underwriting framing</t>
  </si>
  <si>
    <t>■ Antalpha R238m facility is a 24-month BULLET (interest-only). Balance incl. capitalised grace interest ≈ R246m falls due in Month 24 and must be refinanced or converted ahead of the Year-3 thin period.</t>
  </si>
  <si>
    <t>■ Min trailing-12M DSCR of ~0.50x in Year 3 is BELOW the indicative 1.50x covenant on a standalone BTC-only basis (block-subsidy halving + rising network difficulty compress EBITDA).</t>
  </si>
  <si>
    <t>Mitigants modelled / available: 24-month Antalpha bullet retired or refinanced before Year 3; DMTN equitised at IPO (conversion toggle in Controls); first-ranking ASIC / container security; funded DSRA of ~R27m; and demand-response + tariff-relief upside in the Sponsor and Upside cases (DR/AI are off in this Debt Case).</t>
  </si>
  <si>
    <t>Scope: deliberately limited to the initial 20MW proof phase (10MW Grootvlei + 10MW AMSA Vanderbijlpark). Not the 10-year acceleration case; excludes owned-inference GPU economics (Layer 5). Purpose: show funders procurement, commissioning, capex, the actual capital stack, coverage and milestone gates before scale-up capital is released.</t>
  </si>
  <si>
    <t>IRR note: Unlevered ~20% / Equity ~31% are indicative and depend on the continuation (terminal) value input in Controls — the proven 20MW platform’s value as it scales per the 10-year master model. At zero continuation value the standalone 36-month BTC-only project does not return capital. IRR is shown across continuation values in the Sensitivity tab.</t>
  </si>
  <si>
    <t>Charts — annual P&amp;L · monthly funding &amp; cash · 20MW deployment ramp</t>
  </si>
  <si>
    <t>BitMach Phase 1 Underwriting Model</t>
  </si>
  <si>
    <t>Purpose: lender/infrastructure-fund underwriting model for the initial 20MW proof-of-execution phase. Values are in ZAR '000 unless otherwise stated.</t>
  </si>
  <si>
    <t>Scenario selector</t>
  </si>
  <si>
    <t>Selected case</t>
  </si>
  <si>
    <t>Debt Case</t>
  </si>
  <si>
    <t>Change via dropdown / type exact case name</t>
  </si>
  <si>
    <t>Scenario table</t>
  </si>
  <si>
    <t>Case</t>
  </si>
  <si>
    <t>BTC growth p.a.</t>
  </si>
  <si>
    <t>Network growth p.a.</t>
  </si>
  <si>
    <t>Uptime</t>
  </si>
  <si>
    <t>DR enabled</t>
  </si>
  <si>
    <t>DR start month</t>
  </si>
  <si>
    <t>DR recognition factor</t>
  </si>
  <si>
    <t>AI/DC pilot enabled</t>
  </si>
  <si>
    <t>AI start month</t>
  </si>
  <si>
    <t>Equity share</t>
  </si>
  <si>
    <t>Debt rate</t>
  </si>
  <si>
    <t>Timing</t>
  </si>
  <si>
    <t>Start date</t>
  </si>
  <si>
    <t>Date</t>
  </si>
  <si>
    <t>First month of Phase 1 funding / rollout schedule.</t>
  </si>
  <si>
    <t>Sponsor Case</t>
  </si>
  <si>
    <t>Scenario BTC growth p.a.</t>
  </si>
  <si>
    <t>%</t>
  </si>
  <si>
    <t>Linked to selected scenario.</t>
  </si>
  <si>
    <t>Upside Case</t>
  </si>
  <si>
    <t>Scenario network hash growth p.a.</t>
  </si>
  <si>
    <t>Linked to selected scenario; higher values reduce BitMach share of network rewards.</t>
  </si>
  <si>
    <t>Scenario uptime</t>
  </si>
  <si>
    <t>Technical uptime assumption before strategic curtailment.</t>
  </si>
  <si>
    <t>0/1</t>
  </si>
  <si>
    <t>0 = excluded from debt underwriting; 1 = included in selected scenario.</t>
  </si>
  <si>
    <t>Month #</t>
  </si>
  <si>
    <t>Month when DR revenue is allowed to start in selected scenario.</t>
  </si>
  <si>
    <t>Probability / evidence weighting applied to illustrative DR mechanisms.</t>
  </si>
  <si>
    <t>Kept off in underwriting cases; shows optional small pilot only in upside.</t>
  </si>
  <si>
    <t>Month when optional AI/DC pilot revenue starts in upside case.</t>
  </si>
  <si>
    <t>Equity share of external cash funding requirement.</t>
  </si>
  <si>
    <t>Debt share</t>
  </si>
  <si>
    <t>Debt share of external cash funding requirement.</t>
  </si>
  <si>
    <t>Debt interest rate</t>
  </si>
  <si>
    <t>Indicative senior / structured debt rate.</t>
  </si>
  <si>
    <t>Debt grace period</t>
  </si>
  <si>
    <t>Months</t>
  </si>
  <si>
    <t>Interest capitalises during grace period; debt service starts after month 12.</t>
  </si>
  <si>
    <t>Debt tenor</t>
  </si>
  <si>
    <t>Indicative amortisation tenor for project debt.</t>
  </si>
  <si>
    <t>Arrangement fee</t>
  </si>
  <si>
    <t>Deducted from gross debt draw in funding schedule.</t>
  </si>
  <si>
    <t>Minimum cash buffer</t>
  </si>
  <si>
    <t>Minimum operating cash buffer held through the forecast (separate from DSRA below).</t>
  </si>
  <si>
    <t>BTC / protocol</t>
  </si>
  <si>
    <t>BTC price start</t>
  </si>
  <si>
    <t>Starting spot price assumption; stress in Sensitivity tab.</t>
  </si>
  <si>
    <t>FX rate</t>
  </si>
  <si>
    <t>ZAR/USD</t>
  </si>
  <si>
    <t>Used for BTC revenue and USD-denominated capex.</t>
  </si>
  <si>
    <t>Network hash start</t>
  </si>
  <si>
    <t>TH/s</t>
  </si>
  <si>
    <t>Bitcoin network hash rate starting point.</t>
  </si>
  <si>
    <t>Block subsidy start</t>
  </si>
  <si>
    <t>BTC/block</t>
  </si>
  <si>
    <t>Current subsidy before next halving.</t>
  </si>
  <si>
    <t>Next halving month</t>
  </si>
  <si>
    <t>Approximate month of next halving within 36-month forecast.</t>
  </si>
  <si>
    <t>Fee contribution start</t>
  </si>
  <si>
    <t>% of subsidy</t>
  </si>
  <si>
    <t>Transaction fee contribution as % of subsidy equivalent in month 1.</t>
  </si>
  <si>
    <t>Fee contribution monthly increase</t>
  </si>
  <si>
    <t>% points</t>
  </si>
  <si>
    <t>Gradual increase in transaction fee contribution over forecast.</t>
  </si>
  <si>
    <t>Power / deployment</t>
  </si>
  <si>
    <t>Phase 1 total mining MW</t>
  </si>
  <si>
    <t>MW</t>
  </si>
  <si>
    <t>Fixed to 10MW Grootvlei + 10MW AMSA Vanderbijlpark.</t>
  </si>
  <si>
    <t>Grootvlei mining MW</t>
  </si>
  <si>
    <t>Phase 1 underwriting site split.</t>
  </si>
  <si>
    <t>AMSA mining MW</t>
  </si>
  <si>
    <t>AMSA solar MW</t>
  </si>
  <si>
    <t>Solar capacity available for Phase 1 blended power at AMSA.</t>
  </si>
  <si>
    <t>Mining operating hours</t>
  </si>
  <si>
    <t>hours/day</t>
  </si>
  <si>
    <t>Interruptible mining load profile under Eskom arrangement.</t>
  </si>
  <si>
    <t>AMSA solar hours</t>
  </si>
  <si>
    <t>Average solar energy hours used to offset AMSA grid purchases.</t>
  </si>
  <si>
    <t>Initial Eskom tariff</t>
  </si>
  <si>
    <t>R/kWh</t>
  </si>
  <si>
    <t>Agreed / initial tariff assumption for first 18 months.</t>
  </si>
  <si>
    <t>Post-initial Eskom tariff</t>
  </si>
  <si>
    <t>Target tariff after initial period.</t>
  </si>
  <si>
    <t>Initial tariff period</t>
  </si>
  <si>
    <t>First 18 months at R1.20/kWh; thereafter R0.60/kWh.</t>
  </si>
  <si>
    <t>Solar O&amp;M</t>
  </si>
  <si>
    <t>% capex p.a.</t>
  </si>
  <si>
    <t>Annual operating cost as % of solar capex.</t>
  </si>
  <si>
    <t>Hardware / container</t>
  </si>
  <si>
    <t>Miner hashrate</t>
  </si>
  <si>
    <t>TH/unit</t>
  </si>
  <si>
    <t>Bitmain Antminer S21 XP Imm/Hyd class (matches deck &amp; Antalpha Bitmain collateral). Hashrate per unit is indicative; total economics driven by efficiency (J/TH) and MW.</t>
  </si>
  <si>
    <t>Miner efficiency</t>
  </si>
  <si>
    <t>J/TH</t>
  </si>
  <si>
    <t>Power draw per TH (S21 XP Hydro ~12 J/TH). Miner power = hashrate x efficiency.</t>
  </si>
  <si>
    <t>Miner power</t>
  </si>
  <si>
    <t>W/unit</t>
  </si>
  <si>
    <t>Calculated miner power.</t>
  </si>
  <si>
    <t>Miner price</t>
  </si>
  <si>
    <t>USD/unit</t>
  </si>
  <si>
    <t>Hardware price assumption; implies USD/TH shown in Capex reconciliation. Update on final Bitmain PO.</t>
  </si>
  <si>
    <t>Auxiliary load</t>
  </si>
  <si>
    <t>Auxiliary/cooling/parasitic load on top of IT mining load.</t>
  </si>
  <si>
    <t>Slots per container</t>
  </si>
  <si>
    <t>Miners/container</t>
  </si>
  <si>
    <t>Container density assumption.</t>
  </si>
  <si>
    <t>Container gross MW</t>
  </si>
  <si>
    <t>MW/container</t>
  </si>
  <si>
    <t>Gross electrical capacity per container incl. auxiliary load.</t>
  </si>
  <si>
    <t>Container cost</t>
  </si>
  <si>
    <t>USD/container</t>
  </si>
  <si>
    <t>Hydro container cost assumption.</t>
  </si>
  <si>
    <t>Capex</t>
  </si>
  <si>
    <t>Electrical fixed per site</t>
  </si>
  <si>
    <t>ZAR '000/site</t>
  </si>
  <si>
    <t>Site-start fixed electrical/site integration capex derived from 20MW electrical basis.</t>
  </si>
  <si>
    <t>Electrical variable per MW</t>
  </si>
  <si>
    <t>ZAR '000/MW</t>
  </si>
  <si>
    <t>Variable electrical/site integration capex per deployed MW.</t>
  </si>
  <si>
    <t>Solar capex</t>
  </si>
  <si>
    <t>Solar PV capex assumption for AMSA Phase 1.</t>
  </si>
  <si>
    <t>Initial spares</t>
  </si>
  <si>
    <t>% hardware</t>
  </si>
  <si>
    <t>Initial spares allowance.</t>
  </si>
  <si>
    <t>Tools / equipment per site</t>
  </si>
  <si>
    <t>Initial tools / site equipment.</t>
  </si>
  <si>
    <t>Staff hardware per FTE</t>
  </si>
  <si>
    <t>ZAR '000/FTE</t>
  </si>
  <si>
    <t>Laptop/phone/PPE per new employee.</t>
  </si>
  <si>
    <t>Freight</t>
  </si>
  <si>
    <t>Ocean freight per container.</t>
  </si>
  <si>
    <t>Port / clearing</t>
  </si>
  <si>
    <t>ZAR '000/container</t>
  </si>
  <si>
    <t>Port handling and customs clearing.</t>
  </si>
  <si>
    <t>Inland trucking</t>
  </si>
  <si>
    <t>Inland logistics.</t>
  </si>
  <si>
    <t>Crane / rigging</t>
  </si>
  <si>
    <t>Lifts and site rigging.</t>
  </si>
  <si>
    <t>Cargo insurance</t>
  </si>
  <si>
    <t>% hardware+containers</t>
  </si>
  <si>
    <t>Transit insurance.</t>
  </si>
  <si>
    <t>Import duty</t>
  </si>
  <si>
    <t>Import duties where applicable.</t>
  </si>
  <si>
    <t>Office setup</t>
  </si>
  <si>
    <t>Initial corporate setup.</t>
  </si>
  <si>
    <t>Software setup</t>
  </si>
  <si>
    <t>Initial systems, storage and monitoring setup.</t>
  </si>
  <si>
    <t>Legal setup</t>
  </si>
  <si>
    <t>Initial legal / contracting cost.</t>
  </si>
  <si>
    <t>Opex</t>
  </si>
  <si>
    <t>Fixed corporate FTE</t>
  </si>
  <si>
    <t>FTE</t>
  </si>
  <si>
    <t>Core management / finance / operations team.</t>
  </si>
  <si>
    <t>Corporate salary</t>
  </si>
  <si>
    <t>ZAR '000/FTE/year</t>
  </si>
  <si>
    <t>Fully loaded base salary before benefits.</t>
  </si>
  <si>
    <t>Site management FTE/site</t>
  </si>
  <si>
    <t>FTE/site</t>
  </si>
  <si>
    <t>Site lead / supervisor roles.</t>
  </si>
  <si>
    <t>Site management salary</t>
  </si>
  <si>
    <t>Site management salary before benefits.</t>
  </si>
  <si>
    <t>Technicians FTE/MW</t>
  </si>
  <si>
    <t>FTE/MW</t>
  </si>
  <si>
    <t>Technician staffing intensity.</t>
  </si>
  <si>
    <t>Technician salary</t>
  </si>
  <si>
    <t>Technician salary before benefits.</t>
  </si>
  <si>
    <t>Electricians FTE/MW</t>
  </si>
  <si>
    <t>Electrician staffing intensity.</t>
  </si>
  <si>
    <t>Electrician salary</t>
  </si>
  <si>
    <t>Electrician salary before benefits.</t>
  </si>
  <si>
    <t>Benefits load</t>
  </si>
  <si>
    <t>% payroll</t>
  </si>
  <si>
    <t>Benefits / statutory / payroll burden.</t>
  </si>
  <si>
    <t>Travel</t>
  </si>
  <si>
    <t>Recurring travel and accommodation as % of payroll.</t>
  </si>
  <si>
    <t>Mobilisation travel per site</t>
  </si>
  <si>
    <t>One-off travel / accommodation for site mobilisation.</t>
  </si>
  <si>
    <t>SaaS per FTE</t>
  </si>
  <si>
    <t>ZAR '000/FTE/month</t>
  </si>
  <si>
    <t>Software subscriptions and monitoring tools.</t>
  </si>
  <si>
    <t>Site software</t>
  </si>
  <si>
    <t>ZAR '000/site/month</t>
  </si>
  <si>
    <t>Monitoring, comms and site systems.</t>
  </si>
  <si>
    <t>Legal retainer</t>
  </si>
  <si>
    <t>ZAR '000/month</t>
  </si>
  <si>
    <t>Ongoing legal / contracting retainer.</t>
  </si>
  <si>
    <t>Office rent</t>
  </si>
  <si>
    <t>Office rent / shared workspace.</t>
  </si>
  <si>
    <t>File storage</t>
  </si>
  <si>
    <t>Cloud storage / document systems.</t>
  </si>
  <si>
    <t>Tools / consumables</t>
  </si>
  <si>
    <t>ZAR '000/MW/month</t>
  </si>
  <si>
    <t>Routine consumables and minor spares.</t>
  </si>
  <si>
    <t>Security / insurance</t>
  </si>
  <si>
    <t>Site security and operating insurance.</t>
  </si>
  <si>
    <t>Other utilities</t>
  </si>
  <si>
    <t>Water / minor utilities / site services.</t>
  </si>
  <si>
    <t>DR mechanisms</t>
  </si>
  <si>
    <t>IDR standby rate</t>
  </si>
  <si>
    <t>Illustrative capacity payment. Update only once contracted.</t>
  </si>
  <si>
    <t>DDMP incentive total</t>
  </si>
  <si>
    <t>Public DDMP-style benchmark over 24-month sustainability period.</t>
  </si>
  <si>
    <t>DDMP incentive tenor</t>
  </si>
  <si>
    <t>Assumed tenor for DDMP-style incentive recognition.</t>
  </si>
  <si>
    <t>Event revenue rate</t>
  </si>
  <si>
    <t>ZAR '000/MW/event</t>
  </si>
  <si>
    <t>Illustrative curtailment/event value.</t>
  </si>
  <si>
    <t>Events per month</t>
  </si>
  <si>
    <t>Events/month</t>
  </si>
  <si>
    <t>Illustrative grid events per month.</t>
  </si>
  <si>
    <t>AI/DC optional pilot</t>
  </si>
  <si>
    <t>AI/DC pilot MW</t>
  </si>
  <si>
    <t>Optional pilot capacity only in Upside Case; not included in debt case.</t>
  </si>
  <si>
    <t>AI/DC resale tariff</t>
  </si>
  <si>
    <t>Revenue tariff for customer compute power resale.</t>
  </si>
  <si>
    <t>AI/DC import premium</t>
  </si>
  <si>
    <t>Premium on power cost for essential load import.</t>
  </si>
  <si>
    <t>AI/DC hosting fee</t>
  </si>
  <si>
    <t>Non-power hosting / services fee for customer-owned compute.</t>
  </si>
  <si>
    <t>Capital stack (actual Phase 1 deal) — supersedes generic equity-share / debt-rate above for funding</t>
  </si>
  <si>
    <t>Equity commitment</t>
  </si>
  <si>
    <t>Sponsor equity USD$4M @ R17 (deck p3/p31). Drawn FIRST in funding waterfall.</t>
  </si>
  <si>
    <t>Antalpha facility limit</t>
  </si>
  <si>
    <t>Asset-backed USD$14M @ R17 (deck p32). Up to ~50% of Phase 1 capex; Bitmain ASIC collateral / notarial bond.</t>
  </si>
  <si>
    <t>Antalpha interest rate</t>
  </si>
  <si>
    <t>USD-denominated asset-backed rate (deck p32).</t>
  </si>
  <si>
    <t>Antalpha tenor (bullet)</t>
  </si>
  <si>
    <t>BULLET: interest-only, principal R-limit due month 24; refinance/convert required (flagged in Funding).</t>
  </si>
  <si>
    <t>DMTN facility limit</t>
  </si>
  <si>
    <t>DMTN Tranche 1 (deck p31). First-ranking security over ASICs/containers/Phase 2 assets.</t>
  </si>
  <si>
    <t>DMTN interest rate</t>
  </si>
  <si>
    <t>Prime+2% indicative (deck p31).</t>
  </si>
  <si>
    <t>DMTN tenor</t>
  </si>
  <si>
    <t>5-year; modelled interest-only in Phase 1; convertible to equity at IPO (20% discount).</t>
  </si>
  <si>
    <t>DMTN IPO conversion enabled</t>
  </si>
  <si>
    <t>0 = off in Debt Case (conservative). 1 = equitises DMTN at conversion month (removes interest).</t>
  </si>
  <si>
    <t>DMTN conversion month</t>
  </si>
  <si>
    <t>Assumed IPO / conversion month if enabled.</t>
  </si>
  <si>
    <t>Construction interest grace</t>
  </si>
  <si>
    <t>Interest capitalises during build; cash debt service begins thereafter.</t>
  </si>
  <si>
    <t>DSRA target (months interest)</t>
  </si>
  <si>
    <t>Debt service reserve funded at close; sized on facility-limit interest (non-circular).</t>
  </si>
  <si>
    <t>DSRA amount (computed)</t>
  </si>
  <si>
    <t>Restricted reserve held in closing cash. Backstops debt service.</t>
  </si>
  <si>
    <t>Returns / terminal value</t>
  </si>
  <si>
    <t>Terminal EV (continuation value)</t>
  </si>
  <si>
    <t>Indicative continuation value of the proven 20MW platform at month 36 as it scales (see 10Y master model). NOT a wind-down value. IRR is highly sensitive to this input.</t>
  </si>
  <si>
    <t>Maintenance capex</t>
  </si>
  <si>
    <t>% hardware p.a.</t>
  </si>
  <si>
    <t>Sustaining capex; 0 in base Phase 1 (initial spares allowance covers early replacements).</t>
  </si>
  <si>
    <t>Month</t>
  </si>
  <si>
    <t>GVL Close MW</t>
  </si>
  <si>
    <t>AMSA Close MW</t>
  </si>
  <si>
    <t>Solar Close MW</t>
  </si>
  <si>
    <t>GVL Open MW</t>
  </si>
  <si>
    <t>AMSA Open MW</t>
  </si>
  <si>
    <t>Solar Open MW</t>
  </si>
  <si>
    <t>Total Close MW</t>
  </si>
  <si>
    <t>Avg GVL MW</t>
  </si>
  <si>
    <t>Avg AMSA MW</t>
  </si>
  <si>
    <t>Avg Solar MW</t>
  </si>
  <si>
    <t>Total Avg MW</t>
  </si>
  <si>
    <t>New Mining MW</t>
  </si>
  <si>
    <t>New Solar MW</t>
  </si>
  <si>
    <t>Active Sites</t>
  </si>
  <si>
    <t>New Containers</t>
  </si>
  <si>
    <t>Avg Miners</t>
  </si>
  <si>
    <t>Effective Hashrate TH/s</t>
  </si>
  <si>
    <t>GVL Grid MWh</t>
  </si>
  <si>
    <t>AMSA Grid MWh</t>
  </si>
  <si>
    <t>AMSA Solar MWh</t>
  </si>
  <si>
    <t>BTC Price USD</t>
  </si>
  <si>
    <t>Network Hash TH/s</t>
  </si>
  <si>
    <t>Subsidy BTC/block</t>
  </si>
  <si>
    <t>Fee %</t>
  </si>
  <si>
    <t>Network BTC</t>
  </si>
  <si>
    <t>BitMach BTC</t>
  </si>
  <si>
    <t>BTC Revenue</t>
  </si>
  <si>
    <t>DR Eligible MW</t>
  </si>
  <si>
    <t>IDR Standby</t>
  </si>
  <si>
    <t>DDMP-style Incentive</t>
  </si>
  <si>
    <t>Event Value</t>
  </si>
  <si>
    <t>Total DR</t>
  </si>
  <si>
    <t>AI/DC Pilot</t>
  </si>
  <si>
    <t>Total Revenue</t>
  </si>
  <si>
    <t>Tariff R/kWh</t>
  </si>
  <si>
    <t>GVL Grid Cost</t>
  </si>
  <si>
    <t>AMSA Grid Cost</t>
  </si>
  <si>
    <t>Total Energy Cost</t>
  </si>
  <si>
    <t>Corporate Payroll</t>
  </si>
  <si>
    <t>Site Payroll</t>
  </si>
  <si>
    <t>Benefits</t>
  </si>
  <si>
    <t>Software/Storage</t>
  </si>
  <si>
    <t>Legal</t>
  </si>
  <si>
    <t>Office</t>
  </si>
  <si>
    <t>Tools/Security/Utilities</t>
  </si>
  <si>
    <t>Total Cash Opex</t>
  </si>
  <si>
    <t>Site Starts</t>
  </si>
  <si>
    <t>ASIC Hardware</t>
  </si>
  <si>
    <t>Containers</t>
  </si>
  <si>
    <t>Electrical EPC</t>
  </si>
  <si>
    <t>Solar PV</t>
  </si>
  <si>
    <t>Spares</t>
  </si>
  <si>
    <t>Tools/Staff/Setup</t>
  </si>
  <si>
    <t>Logistics/Duties</t>
  </si>
  <si>
    <t>Total Capex Basis</t>
  </si>
  <si>
    <t>Capex Cash Spend</t>
  </si>
  <si>
    <t>Revenue</t>
  </si>
  <si>
    <t>Cash Opex</t>
  </si>
  <si>
    <t>EBITDA</t>
  </si>
  <si>
    <t>Capex Cash</t>
  </si>
  <si>
    <t>Unlevered CF</t>
  </si>
  <si>
    <t>Opening Cash</t>
  </si>
  <si>
    <t>Required Funding</t>
  </si>
  <si>
    <t>Equity Draw</t>
  </si>
  <si>
    <t>Debt Draw Gross</t>
  </si>
  <si>
    <t>Arrangement Fee</t>
  </si>
  <si>
    <t>Net Funding</t>
  </si>
  <si>
    <t>Interest</t>
  </si>
  <si>
    <t>Principal</t>
  </si>
  <si>
    <t>Debt Service</t>
  </si>
  <si>
    <t>Ending Cash</t>
  </si>
  <si>
    <t>Opening Debt</t>
  </si>
  <si>
    <t>Capitalised Interest</t>
  </si>
  <si>
    <t>Closing Debt</t>
  </si>
  <si>
    <t>Antalpha Draw</t>
  </si>
  <si>
    <t>DMTN Draw</t>
  </si>
  <si>
    <t>Antalpha Interest</t>
  </si>
  <si>
    <t>DMTN Interest</t>
  </si>
  <si>
    <t>Antalpha Close Bal</t>
  </si>
  <si>
    <t>DMTN Close Bal</t>
  </si>
  <si>
    <t>Trailing-12M DSCR</t>
  </si>
  <si>
    <t>Bullet / Conversion</t>
  </si>
  <si>
    <t>Unlevered CF (IRR)</t>
  </si>
  <si>
    <t>Equity CF (IRR)</t>
  </si>
  <si>
    <t>Annual Summary</t>
  </si>
  <si>
    <t>Metric</t>
  </si>
  <si>
    <t>Units</t>
  </si>
  <si>
    <t>Year 1</t>
  </si>
  <si>
    <t>Year 2</t>
  </si>
  <si>
    <t>Year 3</t>
  </si>
  <si>
    <t>Closing Mining MW</t>
  </si>
  <si>
    <t>BTC mined</t>
  </si>
  <si>
    <t>BTC revenue</t>
  </si>
  <si>
    <t>DR revenue</t>
  </si>
  <si>
    <t>AI/DC pilot revenue</t>
  </si>
  <si>
    <t>Total revenue</t>
  </si>
  <si>
    <t>Cash opex</t>
  </si>
  <si>
    <t>Capex cash</t>
  </si>
  <si>
    <t>Unlevered FCF</t>
  </si>
  <si>
    <t>Debt Draw</t>
  </si>
  <si>
    <t>Closing Cash</t>
  </si>
  <si>
    <t>Annual DSCR (interest-only)</t>
  </si>
  <si>
    <t>x</t>
  </si>
  <si>
    <t>Cash interest paid</t>
  </si>
  <si>
    <t>Cash debt service</t>
  </si>
  <si>
    <t>Antalpha closing balance</t>
  </si>
  <si>
    <t>DMTN closing balance</t>
  </si>
  <si>
    <t>Coverage summary (Debt Case)</t>
  </si>
  <si>
    <t>Min trailing-12M DSCR</t>
  </si>
  <si>
    <t>DSCR covenant (min)</t>
  </si>
  <si>
    <t>Indicative DMTN covenant</t>
  </si>
  <si>
    <t>Min DSCR vs covenant</t>
  </si>
  <si>
    <t>Antalpha bullet refinance (M24)</t>
  </si>
  <si>
    <t>Refinance / convert before Year-3 thin period</t>
  </si>
  <si>
    <t>Note: standalone BTC-only coverage falls below 1.0x in Year 3 (subsidy halving + rising difficulty). Mitigants: 24-month Antalpha bullet retired/refinanced before Year 3; DMTN equitised at IPO (toggle in Controls); first-ranking ASIC security; funded DSRA; and DR / tariff-relief upside in the Sponsor and Upside cases.</t>
  </si>
  <si>
    <t>Phase 1 underwriting milestones and scale-up gating</t>
  </si>
  <si>
    <t>Gate</t>
  </si>
  <si>
    <t>Target timing</t>
  </si>
  <si>
    <t>Evidence expected</t>
  </si>
  <si>
    <t>Model consequence</t>
  </si>
  <si>
    <t>Current status</t>
  </si>
  <si>
    <t>Owner</t>
  </si>
  <si>
    <t>Next action</t>
  </si>
  <si>
    <t>Investor use</t>
  </si>
  <si>
    <t>Capital close</t>
  </si>
  <si>
    <t>Month 0</t>
  </si>
  <si>
    <t>Executed subscription / funding availability</t>
  </si>
  <si>
    <t>Procurement and EPC deposits released</t>
  </si>
  <si>
    <t>In progress</t>
  </si>
  <si>
    <t>Finance</t>
  </si>
  <si>
    <t>Finalise first-close documents</t>
  </si>
  <si>
    <t>Confirms project start</t>
  </si>
  <si>
    <t>Grootvlei 10MW energised</t>
  </si>
  <si>
    <t>Month 3</t>
  </si>
  <si>
    <t>Eskom energisation / commissioning sign-off</t>
  </si>
  <si>
    <t>GVL BTC revenue begins</t>
  </si>
  <si>
    <t>Planned</t>
  </si>
  <si>
    <t>Operations</t>
  </si>
  <si>
    <t>EPC and protection workstream</t>
  </si>
  <si>
    <t>Proof of physical execution</t>
  </si>
  <si>
    <t>AMSA 10MW energised</t>
  </si>
  <si>
    <t>Month 4</t>
  </si>
  <si>
    <t>AMSA site energisation and access package</t>
  </si>
  <si>
    <t>AMSA BTC revenue begins</t>
  </si>
  <si>
    <t>Conclude AMSA Phase 1 package</t>
  </si>
  <si>
    <t>Proves dual-node model</t>
  </si>
  <si>
    <t>Real-time telemetry &amp; curtailment proof</t>
  </si>
  <si>
    <t>Month 6-9</t>
  </si>
  <si>
    <t>SCADA logs, curtailment response report, Eskom/NTCSA telemetry test</t>
  </si>
  <si>
    <t>DR revenue may move from excluded to scenario-supported</t>
  </si>
  <si>
    <t>Technical</t>
  </si>
  <si>
    <t>Implement telemetry reporting pack</t>
  </si>
  <si>
    <t>Unlocks infrastructure capital</t>
  </si>
  <si>
    <t>Tariff reduction pathway</t>
  </si>
  <si>
    <t>Month 12-18</t>
  </si>
  <si>
    <t>Demonstrated grid value, tariff engagement, demand-response evidence</t>
  </si>
  <si>
    <t>Post-initial tariff assumptions are validated</t>
  </si>
  <si>
    <t>Commercial</t>
  </si>
  <si>
    <t>Quantify system value and tariff submission</t>
  </si>
  <si>
    <t>Supports scale-up economics</t>
  </si>
  <si>
    <t>Institutional scale-up approval</t>
  </si>
  <si>
    <t>Month 12+</t>
  </si>
  <si>
    <t>Investor IC approval against live KPIs</t>
  </si>
  <si>
    <t>Scale-up model / 10Y platform case becomes funding source</t>
  </si>
  <si>
    <t>Pending</t>
  </si>
  <si>
    <t>Board</t>
  </si>
  <si>
    <t>Prepare scale-up data room</t>
  </si>
  <si>
    <t>Unlocks next capital tranche</t>
  </si>
  <si>
    <t>AI/DC customer validation</t>
  </si>
  <si>
    <t>Month 18+</t>
  </si>
  <si>
    <t>Term sheet or pilot hosting customer</t>
  </si>
  <si>
    <t>AI/DC pilot revenue may be activated in upside case only</t>
  </si>
  <si>
    <t>Future option</t>
  </si>
  <si>
    <t>Develop hosting partner pipeline</t>
  </si>
  <si>
    <t>Demonstrates layer 4 economics</t>
  </si>
  <si>
    <t>Phase 1 underwriting sensitivities</t>
  </si>
  <si>
    <t>IRR engine (helper) — monthly cash flows by terminal value; referenced by the table above</t>
  </si>
  <si>
    <t>Unlev op CF</t>
  </si>
  <si>
    <t>Equity op CF</t>
  </si>
  <si>
    <t>U:0k</t>
  </si>
  <si>
    <t>U:250k</t>
  </si>
  <si>
    <t>U:500k</t>
  </si>
  <si>
    <t>U:750k</t>
  </si>
  <si>
    <t>U:1000k</t>
  </si>
  <si>
    <t>E:0k</t>
  </si>
  <si>
    <t>E:250k</t>
  </si>
  <si>
    <t>E:500k</t>
  </si>
  <si>
    <t>E:750k</t>
  </si>
  <si>
    <t>E:1000k</t>
  </si>
  <si>
    <t>Scenario metric</t>
  </si>
  <si>
    <t>Value</t>
  </si>
  <si>
    <t>Indicative 36-month BTC revenue (ZAR'000)</t>
  </si>
  <si>
    <t>Network ↓ \ BTC price growth →</t>
  </si>
  <si>
    <t>Peak external funding (total)</t>
  </si>
  <si>
    <t>36M revenue</t>
  </si>
  <si>
    <t>36M EBITDA</t>
  </si>
  <si>
    <t>36M unlevered FCF (excl. terminal)</t>
  </si>
  <si>
    <t>Closing cash M36</t>
  </si>
  <si>
    <t>Closing debt M36</t>
  </si>
  <si>
    <t>● Debt Case base = 5% BTC / 20% network (cell highlighted). DR &amp; AI excluded.</t>
  </si>
  <si>
    <t>Break-even BTC price Year 1</t>
  </si>
  <si>
    <t>Unlevered IRR (base terminal value)</t>
  </si>
  <si>
    <t>Equity IRR (base terminal value)</t>
  </si>
  <si>
    <t>Single-factor sensitivities  —  IC asks: FX · energy escalation · hardware cost · terminal value</t>
  </si>
  <si>
    <t>FX rate (ZAR/USD)</t>
  </si>
  <si>
    <t>36M BTC revenue (ZAR'000)</t>
  </si>
  <si>
    <t>Revenue ∝ FX; ZAR opex unaffected. Hardware/containers (USD) capex also scales with FX (see hardware table).</t>
  </si>
  <si>
    <t>36M EBITDA (ZAR'000)</t>
  </si>
  <si>
    <t>Initial Eskom tariff, first 18 months (R/kWh) — post-initial held at R0.60</t>
  </si>
  <si>
    <t>36M grid energy cost (ZAR'000)</t>
  </si>
  <si>
    <t>Energy cost ∝ tariff; EBITDA absorbs the difference vs the modelled R1.20 base.</t>
  </si>
  <si>
    <t>Hardware cost (USD per TH) — base implies $8.45/TH</t>
  </si>
  <si>
    <t>Total ASIC capex (ZAR'000)</t>
  </si>
  <si>
    <t>ASIC ∝ USD/TH. Negative headroom = committed facilities undersized at that hardware price.</t>
  </si>
  <si>
    <t>Total Phase 1 capex (ZAR'000)</t>
  </si>
  <si>
    <t>Headroom vs committed, ex-fees (ZAR'000)</t>
  </si>
  <si>
    <t>Terminal (continuation) value → IRR  —  base = R500,000k (Controls)</t>
  </si>
  <si>
    <t>Terminal EV (ZAR'000)</t>
  </si>
  <si>
    <t>"n/a" = capital not recovered within 36 months on a standalone basis. Same monthly cash flows as Funding_36M.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</si>
</sst>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\-"/>
    <numFmt numFmtId="165" formatCode="#,##0.0;\(#,##0.0\);\-"/>
    <numFmt numFmtId="166" formatCode="0.00\x"/>
    <numFmt numFmtId="167" formatCode="0.0%"/>
    <numFmt numFmtId="168" formatCode="\$0.00"/>
    <numFmt numFmtId="169" formatCode="#,##0.0;[Red]\(#,##0.0\);\-"/>
    <numFmt numFmtId="171" formatCode="#,##0.0"/>
    <numFmt numFmtId="172" formatCode="#,##0.000"/>
  </numFmts>
  <fonts count="31" x14ac:knownFonts="1">
    <font>
      <sz val="10"/>
      <name val="Arial"/>
      <family val="2"/>
      <charset val="1"/>
    </font>
    <font>
      <b/>
      <sz val="15"/>
      <color rgb="FFFFFFFF"/>
      <name val="Century Gothic"/>
      <family val="2"/>
    </font>
    <font>
      <sz val="11"/>
      <name val="Calibri"/>
      <family val="2"/>
    </font>
    <font>
      <i/>
      <sz val="9"/>
      <color rgb="FFCBD5E1"/>
      <name val="Calibri"/>
      <family val="2"/>
    </font>
    <font>
      <b/>
      <sz val="9"/>
      <color rgb="FFFFFFFF"/>
      <name val="Century Gothic"/>
      <family val="2"/>
    </font>
    <font>
      <b/>
      <sz val="13"/>
      <color rgb="FFFFFFFF"/>
      <name val="Calibri"/>
      <family val="2"/>
    </font>
    <font>
      <sz val="8"/>
      <color rgb="FFCBD5E1"/>
      <name val="Calibri"/>
      <family val="2"/>
    </font>
    <font>
      <b/>
      <sz val="11"/>
      <color rgb="FFFFFFFF"/>
      <name val="Century Gothic"/>
      <family val="2"/>
    </font>
    <font>
      <b/>
      <sz val="10"/>
      <color rgb="FFFFFFFF"/>
      <name val="Century Gothic"/>
      <family val="2"/>
    </font>
    <font>
      <sz val="10"/>
      <color rgb="FF1A2233"/>
      <name val="Calibri"/>
      <family val="2"/>
    </font>
    <font>
      <i/>
      <sz val="10"/>
      <name val="Calibri"/>
      <family val="2"/>
    </font>
    <font>
      <b/>
      <sz val="12"/>
      <color rgb="FFFFFFFF"/>
      <name val="Calibri"/>
      <family val="2"/>
    </font>
    <font>
      <b/>
      <sz val="10"/>
      <color rgb="FFB91C1C"/>
      <name val="Calibri"/>
      <family val="2"/>
    </font>
    <font>
      <sz val="10"/>
      <color rgb="FF111827"/>
      <name val="Calibri"/>
      <family val="2"/>
    </font>
    <font>
      <b/>
      <sz val="13"/>
      <color rgb="FFFFFFFF"/>
      <name val="Century Gothic"/>
      <family val="2"/>
    </font>
    <font>
      <i/>
      <sz val="11"/>
      <color rgb="FF374151"/>
      <name val="Calibri"/>
      <family val="2"/>
    </font>
    <font>
      <b/>
      <sz val="11"/>
      <name val="Calibri"/>
      <family val="2"/>
    </font>
    <font>
      <sz val="10"/>
      <color rgb="FF1F4E79"/>
      <name val="Calibri"/>
      <family val="2"/>
    </font>
    <font>
      <sz val="11"/>
      <color rgb="FF0000FF"/>
      <name val="Calibri"/>
      <family val="2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  <font>
      <b/>
      <sz val="10"/>
      <color rgb="FF1F4E79"/>
      <name val="Calibri"/>
      <family val="2"/>
    </font>
    <font>
      <sz val="10"/>
      <name val="Calibri"/>
      <family val="2"/>
    </font>
    <font>
      <b/>
      <sz val="11"/>
      <color rgb="FFB91C1C"/>
      <name val="Calibri"/>
      <family val="2"/>
    </font>
    <font>
      <i/>
      <sz val="10"/>
      <color rgb="FF111827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0000FF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sz val="9"/>
      <color rgb="FF64748B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B1020"/>
        <bgColor rgb="FF111827"/>
      </patternFill>
    </fill>
    <fill>
      <patternFill patternType="solid">
        <fgColor rgb="FF141B2E"/>
        <bgColor rgb="FF111827"/>
      </patternFill>
    </fill>
    <fill>
      <patternFill patternType="solid">
        <fgColor rgb="FF141923"/>
        <bgColor rgb="FF111827"/>
      </patternFill>
    </fill>
    <fill>
      <patternFill patternType="solid">
        <fgColor rgb="FF1E2A44"/>
        <bgColor rgb="FF1E293B"/>
      </patternFill>
    </fill>
    <fill>
      <patternFill patternType="solid">
        <fgColor rgb="FFF3F4F6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FFF2CC"/>
        <bgColor rgb="FFF3F4F6"/>
      </patternFill>
    </fill>
    <fill>
      <patternFill patternType="solid">
        <fgColor rgb="FFE21F3D"/>
        <bgColor rgb="FFE3363E"/>
      </patternFill>
    </fill>
    <fill>
      <patternFill patternType="solid">
        <fgColor rgb="FFFFFFFF"/>
        <bgColor rgb="FFF8FAFC"/>
      </patternFill>
    </fill>
    <fill>
      <patternFill patternType="solid">
        <fgColor rgb="FF1F2937"/>
        <bgColor rgb="FF1E293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E3363E"/>
      </bottom>
      <diagonal/>
    </border>
    <border>
      <left/>
      <right/>
      <top/>
      <bottom style="thin">
        <color rgb="FFE3363E"/>
      </bottom>
      <diagonal/>
    </border>
    <border>
      <left style="medium">
        <color rgb="FFE3363E"/>
      </left>
      <right style="medium">
        <color rgb="FFE3363E"/>
      </right>
      <top style="medium">
        <color rgb="FFE3363E"/>
      </top>
      <bottom style="medium">
        <color rgb="FFE3363E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4" fillId="0" borderId="0" xfId="0" applyFont="1" applyAlignment="1">
      <alignment wrapText="1"/>
    </xf>
    <xf numFmtId="0" fontId="19" fillId="9" borderId="0" xfId="0" applyFont="1" applyFill="1" applyAlignment="1">
      <alignment horizontal="left" vertical="center"/>
    </xf>
    <xf numFmtId="0" fontId="15" fillId="6" borderId="0" xfId="0" applyFont="1" applyFill="1" applyAlignment="1">
      <alignment wrapText="1"/>
    </xf>
    <xf numFmtId="0" fontId="14" fillId="2" borderId="1" xfId="0" applyFont="1" applyFill="1" applyBorder="1" applyAlignment="1">
      <alignment horizontal="left" vertical="center" indent="1"/>
    </xf>
    <xf numFmtId="0" fontId="13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11" fillId="2" borderId="0" xfId="0" applyFont="1" applyFill="1" applyAlignment="1">
      <alignment horizontal="left"/>
    </xf>
    <xf numFmtId="0" fontId="7" fillId="2" borderId="2" xfId="0" applyFont="1" applyFill="1" applyBorder="1" applyAlignment="1">
      <alignment vertical="center" indent="1"/>
    </xf>
    <xf numFmtId="0" fontId="3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/>
    <xf numFmtId="0" fontId="4" fillId="4" borderId="2" xfId="0" applyFont="1" applyFill="1" applyBorder="1" applyAlignment="1">
      <alignment horizontal="left"/>
    </xf>
    <xf numFmtId="0" fontId="2" fillId="4" borderId="2" xfId="0" applyFont="1" applyFill="1" applyBorder="1"/>
    <xf numFmtId="0" fontId="5" fillId="4" borderId="0" xfId="0" applyFont="1" applyFill="1" applyAlignment="1">
      <alignment horizontal="left"/>
    </xf>
    <xf numFmtId="0" fontId="2" fillId="4" borderId="0" xfId="0" applyFont="1" applyFill="1"/>
    <xf numFmtId="164" fontId="5" fillId="4" borderId="0" xfId="0" applyNumberFormat="1" applyFont="1" applyFill="1" applyAlignment="1">
      <alignment horizontal="left"/>
    </xf>
    <xf numFmtId="0" fontId="6" fillId="4" borderId="0" xfId="0" applyFont="1" applyFill="1" applyAlignment="1">
      <alignment horizontal="left"/>
    </xf>
    <xf numFmtId="165" fontId="5" fillId="4" borderId="0" xfId="0" applyNumberFormat="1" applyFont="1" applyFill="1" applyAlignment="1">
      <alignment horizontal="left"/>
    </xf>
    <xf numFmtId="166" fontId="5" fillId="4" borderId="0" xfId="0" applyNumberFormat="1" applyFont="1" applyFill="1" applyAlignment="1">
      <alignment horizontal="left"/>
    </xf>
    <xf numFmtId="167" fontId="5" fillId="4" borderId="0" xfId="0" applyNumberFormat="1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9" fillId="0" borderId="0" xfId="0" applyFont="1"/>
    <xf numFmtId="164" fontId="9" fillId="0" borderId="0" xfId="0" applyNumberFormat="1" applyFont="1"/>
    <xf numFmtId="0" fontId="9" fillId="0" borderId="0" xfId="0" applyFont="1" applyAlignment="1">
      <alignment horizontal="left"/>
    </xf>
    <xf numFmtId="168" fontId="2" fillId="0" borderId="0" xfId="0" applyNumberFormat="1" applyFont="1"/>
    <xf numFmtId="0" fontId="10" fillId="0" borderId="0" xfId="0" applyFont="1"/>
    <xf numFmtId="0" fontId="11" fillId="2" borderId="0" xfId="0" applyFont="1" applyFill="1" applyAlignment="1">
      <alignment horizontal="left" vertical="center"/>
    </xf>
    <xf numFmtId="0" fontId="11" fillId="2" borderId="0" xfId="0" applyFont="1" applyFill="1"/>
    <xf numFmtId="0" fontId="2" fillId="2" borderId="1" xfId="0" applyFont="1" applyFill="1" applyBorder="1" applyAlignment="1">
      <alignment wrapText="1"/>
    </xf>
    <xf numFmtId="0" fontId="16" fillId="7" borderId="0" xfId="0" applyFont="1" applyFill="1"/>
    <xf numFmtId="0" fontId="17" fillId="7" borderId="0" xfId="0" applyFont="1" applyFill="1"/>
    <xf numFmtId="0" fontId="18" fillId="8" borderId="0" xfId="0" applyFont="1" applyFill="1"/>
    <xf numFmtId="0" fontId="2" fillId="7" borderId="0" xfId="0" applyFont="1" applyFill="1"/>
    <xf numFmtId="0" fontId="19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left" vertical="center" wrapText="1"/>
    </xf>
    <xf numFmtId="0" fontId="18" fillId="10" borderId="0" xfId="0" applyFont="1" applyFill="1"/>
    <xf numFmtId="167" fontId="18" fillId="10" borderId="0" xfId="0" applyNumberFormat="1" applyFont="1" applyFill="1"/>
    <xf numFmtId="0" fontId="16" fillId="10" borderId="0" xfId="0" applyFont="1" applyFill="1" applyAlignment="1">
      <alignment wrapText="1"/>
    </xf>
    <xf numFmtId="164" fontId="17" fillId="8" borderId="0" xfId="0" applyNumberFormat="1" applyFont="1" applyFill="1" applyAlignment="1">
      <alignment wrapText="1"/>
    </xf>
    <xf numFmtId="0" fontId="2" fillId="10" borderId="0" xfId="0" applyFont="1" applyFill="1" applyAlignment="1">
      <alignment wrapText="1"/>
    </xf>
    <xf numFmtId="167" fontId="20" fillId="10" borderId="0" xfId="0" applyNumberFormat="1" applyFont="1" applyFill="1" applyAlignment="1">
      <alignment wrapText="1"/>
    </xf>
    <xf numFmtId="0" fontId="20" fillId="10" borderId="0" xfId="0" applyFont="1" applyFill="1" applyAlignment="1">
      <alignment wrapText="1"/>
    </xf>
    <xf numFmtId="10" fontId="20" fillId="10" borderId="0" xfId="0" applyNumberFormat="1" applyFont="1" applyFill="1" applyAlignment="1">
      <alignment wrapText="1"/>
    </xf>
    <xf numFmtId="1" fontId="17" fillId="8" borderId="0" xfId="0" applyNumberFormat="1" applyFont="1" applyFill="1" applyAlignment="1">
      <alignment wrapText="1"/>
    </xf>
    <xf numFmtId="167" fontId="17" fillId="8" borderId="0" xfId="0" applyNumberFormat="1" applyFont="1" applyFill="1" applyAlignment="1">
      <alignment wrapText="1"/>
    </xf>
    <xf numFmtId="165" fontId="17" fillId="8" borderId="0" xfId="0" applyNumberFormat="1" applyFont="1" applyFill="1" applyAlignment="1">
      <alignment wrapText="1"/>
    </xf>
    <xf numFmtId="2" fontId="17" fillId="8" borderId="0" xfId="0" applyNumberFormat="1" applyFont="1" applyFill="1" applyAlignment="1">
      <alignment wrapText="1"/>
    </xf>
    <xf numFmtId="171" fontId="20" fillId="10" borderId="0" xfId="0" applyNumberFormat="1" applyFont="1" applyFill="1" applyAlignment="1">
      <alignment wrapText="1"/>
    </xf>
    <xf numFmtId="171" fontId="19" fillId="2" borderId="0" xfId="0" applyNumberFormat="1" applyFont="1" applyFill="1" applyAlignment="1">
      <alignment horizontal="left" vertical="center" wrapText="1"/>
    </xf>
    <xf numFmtId="0" fontId="19" fillId="2" borderId="0" xfId="0" applyFont="1" applyFill="1" applyAlignment="1">
      <alignment horizontal="left"/>
    </xf>
    <xf numFmtId="0" fontId="2" fillId="8" borderId="0" xfId="0" applyFont="1" applyFill="1"/>
    <xf numFmtId="164" fontId="21" fillId="8" borderId="0" xfId="0" applyNumberFormat="1" applyFont="1" applyFill="1"/>
    <xf numFmtId="167" fontId="21" fillId="8" borderId="0" xfId="0" applyNumberFormat="1" applyFont="1" applyFill="1"/>
    <xf numFmtId="1" fontId="21" fillId="8" borderId="0" xfId="0" applyNumberFormat="1" applyFont="1" applyFill="1"/>
    <xf numFmtId="169" fontId="2" fillId="0" borderId="0" xfId="0" applyNumberFormat="1" applyFont="1"/>
    <xf numFmtId="164" fontId="17" fillId="8" borderId="0" xfId="0" applyNumberFormat="1" applyFont="1" applyFill="1"/>
    <xf numFmtId="0" fontId="4" fillId="2" borderId="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2" fillId="10" borderId="0" xfId="0" applyFont="1" applyFill="1"/>
    <xf numFmtId="17" fontId="2" fillId="10" borderId="0" xfId="0" applyNumberFormat="1" applyFont="1" applyFill="1"/>
    <xf numFmtId="165" fontId="2" fillId="10" borderId="0" xfId="0" applyNumberFormat="1" applyFont="1" applyFill="1"/>
    <xf numFmtId="164" fontId="2" fillId="10" borderId="0" xfId="0" applyNumberFormat="1" applyFont="1" applyFill="1"/>
    <xf numFmtId="0" fontId="22" fillId="0" borderId="0" xfId="0" applyFont="1"/>
    <xf numFmtId="164" fontId="2" fillId="10" borderId="0" xfId="0" applyNumberFormat="1" applyFont="1" applyFill="1" applyAlignment="1">
      <alignment wrapText="1"/>
    </xf>
    <xf numFmtId="172" fontId="2" fillId="10" borderId="0" xfId="0" applyNumberFormat="1" applyFont="1" applyFill="1" applyAlignment="1">
      <alignment wrapText="1"/>
    </xf>
    <xf numFmtId="167" fontId="2" fillId="10" borderId="0" xfId="0" applyNumberFormat="1" applyFont="1" applyFill="1" applyAlignment="1">
      <alignment wrapText="1"/>
    </xf>
    <xf numFmtId="165" fontId="2" fillId="10" borderId="0" xfId="0" applyNumberFormat="1" applyFont="1" applyFill="1" applyAlignment="1">
      <alignment wrapText="1"/>
    </xf>
    <xf numFmtId="164" fontId="2" fillId="0" borderId="0" xfId="0" applyNumberFormat="1" applyFont="1" applyAlignment="1">
      <alignment wrapText="1"/>
    </xf>
    <xf numFmtId="164" fontId="23" fillId="0" borderId="0" xfId="0" applyNumberFormat="1" applyFont="1"/>
    <xf numFmtId="164" fontId="2" fillId="0" borderId="0" xfId="0" applyNumberFormat="1" applyFont="1"/>
    <xf numFmtId="166" fontId="2" fillId="0" borderId="0" xfId="0" applyNumberFormat="1" applyFont="1"/>
    <xf numFmtId="0" fontId="8" fillId="5" borderId="0" xfId="0" applyFont="1" applyFill="1" applyAlignment="1">
      <alignment vertical="center"/>
    </xf>
    <xf numFmtId="166" fontId="2" fillId="10" borderId="0" xfId="0" applyNumberFormat="1" applyFont="1" applyFill="1" applyAlignment="1">
      <alignment wrapText="1"/>
    </xf>
    <xf numFmtId="0" fontId="19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16" fillId="0" borderId="0" xfId="0" applyFont="1" applyAlignment="1">
      <alignment wrapText="1"/>
    </xf>
    <xf numFmtId="166" fontId="16" fillId="0" borderId="0" xfId="0" applyNumberFormat="1" applyFont="1" applyAlignment="1">
      <alignment wrapText="1"/>
    </xf>
    <xf numFmtId="166" fontId="18" fillId="8" borderId="0" xfId="0" applyNumberFormat="1" applyFont="1" applyFill="1" applyAlignment="1">
      <alignment wrapText="1"/>
    </xf>
    <xf numFmtId="0" fontId="10" fillId="0" borderId="0" xfId="0" applyFont="1" applyAlignment="1">
      <alignment wrapText="1"/>
    </xf>
    <xf numFmtId="0" fontId="16" fillId="0" borderId="0" xfId="0" applyFont="1" applyAlignment="1">
      <alignment horizontal="left"/>
    </xf>
    <xf numFmtId="169" fontId="16" fillId="0" borderId="0" xfId="0" applyNumberFormat="1" applyFont="1" applyAlignment="1">
      <alignment wrapText="1"/>
    </xf>
    <xf numFmtId="0" fontId="25" fillId="2" borderId="1" xfId="0" applyFont="1" applyFill="1" applyBorder="1" applyAlignment="1">
      <alignment horizontal="left" vertical="center"/>
    </xf>
    <xf numFmtId="0" fontId="25" fillId="2" borderId="1" xfId="0" applyFont="1" applyFill="1" applyBorder="1" applyAlignment="1">
      <alignment wrapText="1"/>
    </xf>
    <xf numFmtId="0" fontId="25" fillId="11" borderId="0" xfId="0" applyFont="1" applyFill="1" applyAlignment="1">
      <alignment wrapText="1"/>
    </xf>
    <xf numFmtId="169" fontId="8" fillId="5" borderId="0" xfId="0" applyNumberFormat="1" applyFont="1" applyFill="1" applyAlignment="1">
      <alignment vertical="center"/>
    </xf>
    <xf numFmtId="49" fontId="2" fillId="10" borderId="0" xfId="0" applyNumberFormat="1" applyFont="1" applyFill="1" applyAlignment="1">
      <alignment wrapText="1"/>
    </xf>
    <xf numFmtId="0" fontId="26" fillId="4" borderId="0" xfId="0" applyFont="1" applyFill="1" applyAlignment="1">
      <alignment vertical="center" wrapText="1"/>
    </xf>
    <xf numFmtId="9" fontId="27" fillId="8" borderId="0" xfId="0" applyNumberFormat="1" applyFont="1" applyFill="1" applyAlignment="1">
      <alignment horizontal="center"/>
    </xf>
    <xf numFmtId="0" fontId="28" fillId="0" borderId="0" xfId="0" applyFont="1" applyAlignment="1">
      <alignment wrapText="1"/>
    </xf>
    <xf numFmtId="169" fontId="28" fillId="0" borderId="0" xfId="0" applyNumberFormat="1" applyFont="1" applyAlignment="1">
      <alignment wrapText="1"/>
    </xf>
    <xf numFmtId="169" fontId="2" fillId="10" borderId="0" xfId="0" applyNumberFormat="1" applyFont="1" applyFill="1" applyAlignment="1">
      <alignment wrapText="1"/>
    </xf>
    <xf numFmtId="169" fontId="22" fillId="0" borderId="0" xfId="0" applyNumberFormat="1" applyFont="1" applyAlignment="1">
      <alignment horizontal="right"/>
    </xf>
    <xf numFmtId="169" fontId="29" fillId="0" borderId="3" xfId="0" applyNumberFormat="1" applyFont="1" applyBorder="1" applyAlignment="1">
      <alignment horizontal="right"/>
    </xf>
    <xf numFmtId="0" fontId="30" fillId="0" borderId="0" xfId="0" applyFont="1" applyAlignment="1">
      <alignment wrapText="1"/>
    </xf>
    <xf numFmtId="166" fontId="2" fillId="0" borderId="0" xfId="0" applyNumberFormat="1" applyFont="1" applyAlignment="1">
      <alignment wrapText="1"/>
    </xf>
    <xf numFmtId="167" fontId="2" fillId="0" borderId="0" xfId="0" applyNumberFormat="1" applyFont="1" applyAlignment="1">
      <alignment wrapText="1"/>
    </xf>
    <xf numFmtId="0" fontId="19" fillId="2" borderId="0" xfId="0" applyFont="1" applyFill="1" applyAlignment="1">
      <alignment horizontal="left" vertical="center"/>
    </xf>
    <xf numFmtId="0" fontId="26" fillId="4" borderId="0" xfId="0" applyFont="1" applyFill="1" applyAlignment="1">
      <alignment horizontal="left" vertical="center"/>
    </xf>
    <xf numFmtId="1" fontId="27" fillId="8" borderId="0" xfId="0" applyNumberFormat="1" applyFont="1" applyFill="1" applyAlignment="1">
      <alignment horizontal="center"/>
    </xf>
    <xf numFmtId="0" fontId="22" fillId="0" borderId="0" xfId="0" applyFont="1" applyAlignment="1">
      <alignment wrapText="1"/>
    </xf>
    <xf numFmtId="169" fontId="22" fillId="0" borderId="0" xfId="0" applyNumberFormat="1" applyFont="1" applyAlignment="1">
      <alignment wrapText="1"/>
    </xf>
    <xf numFmtId="2" fontId="27" fillId="8" borderId="0" xfId="0" applyNumberFormat="1" applyFont="1" applyFill="1" applyAlignment="1">
      <alignment horizontal="center"/>
    </xf>
    <xf numFmtId="0" fontId="26" fillId="4" borderId="0" xfId="0" applyFont="1" applyFill="1" applyAlignment="1">
      <alignment wrapText="1"/>
    </xf>
    <xf numFmtId="168" fontId="27" fillId="8" borderId="0" xfId="0" applyNumberFormat="1" applyFont="1" applyFill="1" applyAlignment="1">
      <alignment horizontal="center"/>
    </xf>
    <xf numFmtId="0" fontId="29" fillId="0" borderId="0" xfId="0" applyFont="1" applyAlignment="1">
      <alignment wrapText="1"/>
    </xf>
    <xf numFmtId="169" fontId="27" fillId="8" borderId="0" xfId="0" applyNumberFormat="1" applyFont="1" applyFill="1" applyAlignment="1">
      <alignment horizontal="center"/>
    </xf>
    <xf numFmtId="167" fontId="2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F3D"/>
      <rgbColor rgb="FF00FF00"/>
      <rgbColor rgb="FF0000FF"/>
      <rgbColor rgb="FFFFFF00"/>
      <rgbColor rgb="FFFF00FF"/>
      <rgbColor rgb="FF00FFFF"/>
      <rgbColor rgb="FF111827"/>
      <rgbColor rgb="FF008000"/>
      <rgbColor rgb="FF0B1020"/>
      <rgbColor rgb="FF808000"/>
      <rgbColor rgb="FF800080"/>
      <rgbColor rgb="FF1E6B3A"/>
      <rgbColor rgb="FFCCCCCC"/>
      <rgbColor rgb="FF8B8B8B"/>
      <rgbColor rgb="FF9999FF"/>
      <rgbColor rgb="FFB45309"/>
      <rgbColor rgb="FFFFF2CC"/>
      <rgbColor rgb="FFF3F4F6"/>
      <rgbColor rgb="FF1A2233"/>
      <rgbColor rgb="FFFF8080"/>
      <rgbColor rgb="FF1F4E79"/>
      <rgbColor rgb="FFCBD5E1"/>
      <rgbColor rgb="FF141B2E"/>
      <rgbColor rgb="FFFF00FF"/>
      <rgbColor rgb="FFFFFF00"/>
      <rgbColor rgb="FF00FFFF"/>
      <rgbColor rgb="FF800080"/>
      <rgbColor rgb="FF800000"/>
      <rgbColor rgb="FF475569"/>
      <rgbColor rgb="FF0000FF"/>
      <rgbColor rgb="FF00CCFF"/>
      <rgbColor rgb="FFF8FAFC"/>
      <rgbColor rgb="FFD9D9D9"/>
      <rgbColor rgb="FFFFFF99"/>
      <rgbColor rgb="FF99CCFF"/>
      <rgbColor rgb="FFFF99CC"/>
      <rgbColor rgb="FFCC99FF"/>
      <rgbColor rgb="FFFFCC99"/>
      <rgbColor rgb="FF374151"/>
      <rgbColor rgb="FF33CCCC"/>
      <rgbColor rgb="FF99CC00"/>
      <rgbColor rgb="FFFFCC00"/>
      <rgbColor rgb="FFFF9900"/>
      <rgbColor rgb="FFFF6600"/>
      <rgbColor rgb="FF64748B"/>
      <rgbColor rgb="FF94A3B8"/>
      <rgbColor rgb="FF1E2A44"/>
      <rgbColor rgb="FF339966"/>
      <rgbColor rgb="FF141923"/>
      <rgbColor rgb="FF1E293B"/>
      <rgbColor rgb="FFB91C1C"/>
      <rgbColor rgb="FFE3363E"/>
      <rgbColor rgb="FF334155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Annual revenue, EBITDA &amp; capex (ZAR 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E3363E"/>
            </a:solidFill>
            <a:ln w="0">
              <a:solidFill>
                <a:srgbClr val="E3363E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Annual_Summary!$C$3:$E$3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Annual_Summary!$C$9:$E$9</c:f>
              <c:numCache>
                <c:formatCode>#\ ##0;\(#\ ##0\);\-</c:formatCode>
                <c:ptCount val="3"/>
                <c:pt idx="0">
                  <c:v>224399.48874118156</c:v>
                </c:pt>
                <c:pt idx="1">
                  <c:v>238357.73549665386</c:v>
                </c:pt>
                <c:pt idx="2">
                  <c:v>115912.21259145396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5-48BC-A5E7-DBE9C7E1D9DB}"/>
            </c:ext>
          </c:extLst>
        </c:ser>
        <c:ser>
          <c:idx val="1"/>
          <c:order val="1"/>
          <c:tx>
            <c:v>EBITDA</c:v>
          </c:tx>
          <c:spPr>
            <a:solidFill>
              <a:srgbClr val="0B1020"/>
            </a:solidFill>
            <a:ln w="0">
              <a:solidFill>
                <a:srgbClr val="0B102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Annual_Summary!$C$3:$E$3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Annual_Summary!$C$11:$E$11</c:f>
              <c:numCache>
                <c:formatCode>#\ ##0;\(#\ ##0\);\-</c:formatCode>
                <c:ptCount val="3"/>
                <c:pt idx="0">
                  <c:v>100722.51707451488</c:v>
                </c:pt>
                <c:pt idx="1">
                  <c:v>118518.33549665389</c:v>
                </c:pt>
                <c:pt idx="2">
                  <c:v>26975.212591453965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05-48BC-A5E7-DBE9C7E1D9DB}"/>
            </c:ext>
          </c:extLst>
        </c:ser>
        <c:ser>
          <c:idx val="2"/>
          <c:order val="2"/>
          <c:tx>
            <c:v>Capex</c:v>
          </c:tx>
          <c:spPr>
            <a:solidFill>
              <a:srgbClr val="94A3B8"/>
            </a:solidFill>
            <a:ln w="0">
              <a:solidFill>
                <a:srgbClr val="94A3B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Annual_Summary!$C$3:$E$3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Annual_Summary!$C$12:$E$12</c:f>
              <c:numCache>
                <c:formatCode>#\ ##0;\(#\ ##0\);\-</c:formatCode>
                <c:ptCount val="3"/>
                <c:pt idx="0">
                  <c:v>511456.85714285716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05-48BC-A5E7-DBE9C7E1D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857568"/>
        <c:axId val="29880721"/>
      </c:barChart>
      <c:catAx>
        <c:axId val="6485756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9880721"/>
        <c:crosses val="autoZero"/>
        <c:auto val="1"/>
        <c:lblAlgn val="ctr"/>
        <c:lblOffset val="100"/>
        <c:noMultiLvlLbl val="0"/>
      </c:catAx>
      <c:valAx>
        <c:axId val="2988072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.0;[Red]\(#,##0.0\);\-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48575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Monthly funding draw &amp; closing cash (ZAR 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Monthly funding draw</c:v>
          </c:tx>
          <c:spPr>
            <a:ln w="28080">
              <a:solidFill>
                <a:srgbClr val="E3363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Funding_36M!$B$2:$B$37</c:f>
              <c:strCache>
                <c:ptCount val="36"/>
                <c:pt idx="0">
                  <c:v>Jul-26</c:v>
                </c:pt>
                <c:pt idx="1">
                  <c:v>Aug-26</c:v>
                </c:pt>
                <c:pt idx="2">
                  <c:v>Sept-26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Sept-27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  <c:pt idx="24">
                  <c:v>Jul-28</c:v>
                </c:pt>
                <c:pt idx="25">
                  <c:v>Aug-28</c:v>
                </c:pt>
                <c:pt idx="26">
                  <c:v>Sept-28</c:v>
                </c:pt>
                <c:pt idx="27">
                  <c:v>Oct-28</c:v>
                </c:pt>
                <c:pt idx="28">
                  <c:v>Nov-28</c:v>
                </c:pt>
                <c:pt idx="29">
                  <c:v>Dec-28</c:v>
                </c:pt>
                <c:pt idx="30">
                  <c:v>Jan-29</c:v>
                </c:pt>
                <c:pt idx="31">
                  <c:v>Feb-29</c:v>
                </c:pt>
                <c:pt idx="32">
                  <c:v>Mar-29</c:v>
                </c:pt>
                <c:pt idx="33">
                  <c:v>Apr-29</c:v>
                </c:pt>
                <c:pt idx="34">
                  <c:v>May-29</c:v>
                </c:pt>
                <c:pt idx="35">
                  <c:v>Jun-29</c:v>
                </c:pt>
              </c:strCache>
            </c:strRef>
          </c:cat>
          <c:val>
            <c:numRef>
              <c:f>Funding_36M!$I$2:$I$37</c:f>
              <c:numCache>
                <c:formatCode>#\ ##0;\(#\ ##0\);\-</c:formatCode>
                <c:ptCount val="36"/>
                <c:pt idx="0">
                  <c:v>40065.5</c:v>
                </c:pt>
                <c:pt idx="1">
                  <c:v>124119.62705831889</c:v>
                </c:pt>
                <c:pt idx="2">
                  <c:v>212363.93796691019</c:v>
                </c:pt>
                <c:pt idx="3">
                  <c:v>158986.83319444957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23-488A-B2C9-1C930E448DFA}"/>
            </c:ext>
          </c:extLst>
        </c:ser>
        <c:ser>
          <c:idx val="1"/>
          <c:order val="1"/>
          <c:tx>
            <c:v>Closing cash</c:v>
          </c:tx>
          <c:spPr>
            <a:ln w="28080">
              <a:solidFill>
                <a:srgbClr val="0B102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Funding_36M!$B$2:$B$37</c:f>
              <c:strCache>
                <c:ptCount val="36"/>
                <c:pt idx="0">
                  <c:v>Jul-26</c:v>
                </c:pt>
                <c:pt idx="1">
                  <c:v>Aug-26</c:v>
                </c:pt>
                <c:pt idx="2">
                  <c:v>Sept-26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Sept-27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  <c:pt idx="24">
                  <c:v>Jul-28</c:v>
                </c:pt>
                <c:pt idx="25">
                  <c:v>Aug-28</c:v>
                </c:pt>
                <c:pt idx="26">
                  <c:v>Sept-28</c:v>
                </c:pt>
                <c:pt idx="27">
                  <c:v>Oct-28</c:v>
                </c:pt>
                <c:pt idx="28">
                  <c:v>Nov-28</c:v>
                </c:pt>
                <c:pt idx="29">
                  <c:v>Dec-28</c:v>
                </c:pt>
                <c:pt idx="30">
                  <c:v>Jan-29</c:v>
                </c:pt>
                <c:pt idx="31">
                  <c:v>Feb-29</c:v>
                </c:pt>
                <c:pt idx="32">
                  <c:v>Mar-29</c:v>
                </c:pt>
                <c:pt idx="33">
                  <c:v>Apr-29</c:v>
                </c:pt>
                <c:pt idx="34">
                  <c:v>May-29</c:v>
                </c:pt>
                <c:pt idx="35">
                  <c:v>Jun-29</c:v>
                </c:pt>
              </c:strCache>
            </c:strRef>
          </c:cat>
          <c:val>
            <c:numRef>
              <c:f>Funding_36M!$Q$2:$Q$37</c:f>
              <c:numCache>
                <c:formatCode>#\ ##0;\(#\ ##0\);\-</c:formatCode>
                <c:ptCount val="36"/>
                <c:pt idx="0">
                  <c:v>32212.5</c:v>
                </c:pt>
                <c:pt idx="1">
                  <c:v>32212.5</c:v>
                </c:pt>
                <c:pt idx="2">
                  <c:v>32212.5</c:v>
                </c:pt>
                <c:pt idx="3">
                  <c:v>32212.5</c:v>
                </c:pt>
                <c:pt idx="4">
                  <c:v>43797.794844193704</c:v>
                </c:pt>
                <c:pt idx="5">
                  <c:v>55627.344290547713</c:v>
                </c:pt>
                <c:pt idx="6">
                  <c:v>62779.426706832492</c:v>
                </c:pt>
                <c:pt idx="7">
                  <c:v>68387.184930092742</c:v>
                </c:pt>
                <c:pt idx="8">
                  <c:v>75109.151066525126</c:v>
                </c:pt>
                <c:pt idx="9">
                  <c:v>81189.722468797991</c:v>
                </c:pt>
                <c:pt idx="10">
                  <c:v>87488.734821082486</c:v>
                </c:pt>
                <c:pt idx="11">
                  <c:v>93163.42295318417</c:v>
                </c:pt>
                <c:pt idx="12">
                  <c:v>99046.537086825454</c:v>
                </c:pt>
                <c:pt idx="13">
                  <c:v>104724.31487092312</c:v>
                </c:pt>
                <c:pt idx="14">
                  <c:v>109802.85254068239</c:v>
                </c:pt>
                <c:pt idx="15">
                  <c:v>115075.11766620593</c:v>
                </c:pt>
                <c:pt idx="16">
                  <c:v>119764.52346668197</c:v>
                </c:pt>
                <c:pt idx="17">
                  <c:v>124638.06958097511</c:v>
                </c:pt>
                <c:pt idx="18">
                  <c:v>134493.01169313595</c:v>
                </c:pt>
                <c:pt idx="19">
                  <c:v>143091.47537936718</c:v>
                </c:pt>
                <c:pt idx="20">
                  <c:v>152557.69693656758</c:v>
                </c:pt>
                <c:pt idx="21">
                  <c:v>161313.8030157552</c:v>
                </c:pt>
                <c:pt idx="22">
                  <c:v>159871.55029068145</c:v>
                </c:pt>
                <c:pt idx="23">
                  <c:v>158165.48805353351</c:v>
                </c:pt>
                <c:pt idx="24">
                  <c:v>156535.36468717479</c:v>
                </c:pt>
                <c:pt idx="25">
                  <c:v>154812.49808419205</c:v>
                </c:pt>
                <c:pt idx="26">
                  <c:v>152837.17539597722</c:v>
                </c:pt>
                <c:pt idx="27">
                  <c:v>150931.17603987883</c:v>
                </c:pt>
                <c:pt idx="28">
                  <c:v>148780.1330067493</c:v>
                </c:pt>
                <c:pt idx="29">
                  <c:v>146694.09903332024</c:v>
                </c:pt>
                <c:pt idx="30">
                  <c:v>144519.19463371669</c:v>
                </c:pt>
                <c:pt idx="31">
                  <c:v>141818.05189385946</c:v>
                </c:pt>
                <c:pt idx="32">
                  <c:v>139467.67089704651</c:v>
                </c:pt>
                <c:pt idx="33">
                  <c:v>136890.24277864283</c:v>
                </c:pt>
                <c:pt idx="34">
                  <c:v>134367.36527895843</c:v>
                </c:pt>
                <c:pt idx="35">
                  <c:v>131624.43024868297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23-488A-B2C9-1C930E448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812770"/>
        <c:axId val="21696531"/>
      </c:lineChart>
      <c:catAx>
        <c:axId val="3481277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1696531"/>
        <c:crosses val="autoZero"/>
        <c:auto val="1"/>
        <c:lblAlgn val="ctr"/>
        <c:lblOffset val="100"/>
        <c:noMultiLvlLbl val="0"/>
      </c:catAx>
      <c:valAx>
        <c:axId val="2169653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.0;[Red]\(#,##0.0\);\-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48127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Monthly deployment — GVL / AMSA / Solar (MW)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Grootvlei</c:v>
          </c:tx>
          <c:spPr>
            <a:solidFill>
              <a:srgbClr val="E3363E"/>
            </a:solidFill>
            <a:ln w="0">
              <a:solidFill>
                <a:srgbClr val="E3363E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Monthly_Deployment!$C$2:$C$37</c:f>
              <c:strCache>
                <c:ptCount val="36"/>
                <c:pt idx="0">
                  <c:v>Jul-26</c:v>
                </c:pt>
                <c:pt idx="1">
                  <c:v>Aug-26</c:v>
                </c:pt>
                <c:pt idx="2">
                  <c:v>Sept-26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Sept-27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  <c:pt idx="24">
                  <c:v>Jul-28</c:v>
                </c:pt>
                <c:pt idx="25">
                  <c:v>Aug-28</c:v>
                </c:pt>
                <c:pt idx="26">
                  <c:v>Sept-28</c:v>
                </c:pt>
                <c:pt idx="27">
                  <c:v>Oct-28</c:v>
                </c:pt>
                <c:pt idx="28">
                  <c:v>Nov-28</c:v>
                </c:pt>
                <c:pt idx="29">
                  <c:v>Dec-28</c:v>
                </c:pt>
                <c:pt idx="30">
                  <c:v>Jan-29</c:v>
                </c:pt>
                <c:pt idx="31">
                  <c:v>Feb-29</c:v>
                </c:pt>
                <c:pt idx="32">
                  <c:v>Mar-29</c:v>
                </c:pt>
                <c:pt idx="33">
                  <c:v>Apr-29</c:v>
                </c:pt>
                <c:pt idx="34">
                  <c:v>May-29</c:v>
                </c:pt>
                <c:pt idx="35">
                  <c:v>Jun-29</c:v>
                </c:pt>
              </c:strCache>
            </c:strRef>
          </c:cat>
          <c:val>
            <c:numRef>
              <c:f>Monthly_Deployment!$D$2:$D$37</c:f>
              <c:numCache>
                <c:formatCode>#\ ##0.0;\(#\ ##0.0\);\-</c:formatCode>
                <c:ptCount val="3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7-4643-8B52-7DF747C155C2}"/>
            </c:ext>
          </c:extLst>
        </c:ser>
        <c:ser>
          <c:idx val="1"/>
          <c:order val="1"/>
          <c:tx>
            <c:v>AMSA</c:v>
          </c:tx>
          <c:spPr>
            <a:solidFill>
              <a:srgbClr val="0B1020"/>
            </a:solidFill>
            <a:ln w="0">
              <a:solidFill>
                <a:srgbClr val="0B102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Monthly_Deployment!$C$2:$C$37</c:f>
              <c:strCache>
                <c:ptCount val="36"/>
                <c:pt idx="0">
                  <c:v>Jul-26</c:v>
                </c:pt>
                <c:pt idx="1">
                  <c:v>Aug-26</c:v>
                </c:pt>
                <c:pt idx="2">
                  <c:v>Sept-26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Sept-27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  <c:pt idx="24">
                  <c:v>Jul-28</c:v>
                </c:pt>
                <c:pt idx="25">
                  <c:v>Aug-28</c:v>
                </c:pt>
                <c:pt idx="26">
                  <c:v>Sept-28</c:v>
                </c:pt>
                <c:pt idx="27">
                  <c:v>Oct-28</c:v>
                </c:pt>
                <c:pt idx="28">
                  <c:v>Nov-28</c:v>
                </c:pt>
                <c:pt idx="29">
                  <c:v>Dec-28</c:v>
                </c:pt>
                <c:pt idx="30">
                  <c:v>Jan-29</c:v>
                </c:pt>
                <c:pt idx="31">
                  <c:v>Feb-29</c:v>
                </c:pt>
                <c:pt idx="32">
                  <c:v>Mar-29</c:v>
                </c:pt>
                <c:pt idx="33">
                  <c:v>Apr-29</c:v>
                </c:pt>
                <c:pt idx="34">
                  <c:v>May-29</c:v>
                </c:pt>
                <c:pt idx="35">
                  <c:v>Jun-29</c:v>
                </c:pt>
              </c:strCache>
            </c:strRef>
          </c:cat>
          <c:val>
            <c:numRef>
              <c:f>Monthly_Deployment!$E$2:$E$37</c:f>
              <c:numCache>
                <c:formatCode>#\ ##0.0;\(#\ ##0.0\);\-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7-4643-8B52-7DF747C155C2}"/>
            </c:ext>
          </c:extLst>
        </c:ser>
        <c:ser>
          <c:idx val="2"/>
          <c:order val="2"/>
          <c:tx>
            <c:v>Solar</c:v>
          </c:tx>
          <c:spPr>
            <a:solidFill>
              <a:srgbClr val="94A3B8"/>
            </a:solidFill>
            <a:ln w="0">
              <a:solidFill>
                <a:srgbClr val="94A3B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Monthly_Deployment!$C$2:$C$37</c:f>
              <c:strCache>
                <c:ptCount val="36"/>
                <c:pt idx="0">
                  <c:v>Jul-26</c:v>
                </c:pt>
                <c:pt idx="1">
                  <c:v>Aug-26</c:v>
                </c:pt>
                <c:pt idx="2">
                  <c:v>Sept-26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Sept-27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  <c:pt idx="24">
                  <c:v>Jul-28</c:v>
                </c:pt>
                <c:pt idx="25">
                  <c:v>Aug-28</c:v>
                </c:pt>
                <c:pt idx="26">
                  <c:v>Sept-28</c:v>
                </c:pt>
                <c:pt idx="27">
                  <c:v>Oct-28</c:v>
                </c:pt>
                <c:pt idx="28">
                  <c:v>Nov-28</c:v>
                </c:pt>
                <c:pt idx="29">
                  <c:v>Dec-28</c:v>
                </c:pt>
                <c:pt idx="30">
                  <c:v>Jan-29</c:v>
                </c:pt>
                <c:pt idx="31">
                  <c:v>Feb-29</c:v>
                </c:pt>
                <c:pt idx="32">
                  <c:v>Mar-29</c:v>
                </c:pt>
                <c:pt idx="33">
                  <c:v>Apr-29</c:v>
                </c:pt>
                <c:pt idx="34">
                  <c:v>May-29</c:v>
                </c:pt>
                <c:pt idx="35">
                  <c:v>Jun-29</c:v>
                </c:pt>
              </c:strCache>
            </c:strRef>
          </c:cat>
          <c:val>
            <c:numRef>
              <c:f>Monthly_Deployment!$F$2:$F$37</c:f>
              <c:numCache>
                <c:formatCode>#\ ##0.0;\(#\ ##0.0\);\-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57-4643-8B52-7DF747C15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06180"/>
        <c:axId val="19726273"/>
      </c:barChart>
      <c:catAx>
        <c:axId val="740618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9726273"/>
        <c:crosses val="autoZero"/>
        <c:auto val="1"/>
        <c:lblAlgn val="ctr"/>
        <c:lblOffset val="100"/>
        <c:noMultiLvlLbl val="0"/>
      </c:catAx>
      <c:valAx>
        <c:axId val="1972627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4061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59</xdr:row>
      <xdr:rowOff>0</xdr:rowOff>
    </xdr:from>
    <xdr:to>
      <xdr:col>4</xdr:col>
      <xdr:colOff>1690200</xdr:colOff>
      <xdr:row>76</xdr:row>
      <xdr:rowOff>189000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59</xdr:row>
      <xdr:rowOff>0</xdr:rowOff>
    </xdr:from>
    <xdr:to>
      <xdr:col>10</xdr:col>
      <xdr:colOff>1690200</xdr:colOff>
      <xdr:row>76</xdr:row>
      <xdr:rowOff>189000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78</xdr:row>
      <xdr:rowOff>0</xdr:rowOff>
    </xdr:from>
    <xdr:to>
      <xdr:col>10</xdr:col>
      <xdr:colOff>1690200</xdr:colOff>
      <xdr:row>95</xdr:row>
      <xdr:rowOff>189000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1418400</xdr:colOff>
      <xdr:row>0</xdr:row>
      <xdr:rowOff>304200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0" y="0"/>
          <a:ext cx="1418400" cy="304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3363E"/>
    <pageSetUpPr fitToPage="1"/>
  </sheetPr>
  <dimension ref="A1:Z60"/>
  <sheetViews>
    <sheetView tabSelected="1" topLeftCell="A35" zoomScaleNormal="100" workbookViewId="0">
      <selection sqref="A1:L1"/>
    </sheetView>
  </sheetViews>
  <sheetFormatPr defaultColWidth="8.6640625" defaultRowHeight="13.2" x14ac:dyDescent="0.25"/>
  <cols>
    <col min="1" max="12" width="24" customWidth="1"/>
  </cols>
  <sheetData>
    <row r="1" spans="1:26" ht="49.5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9.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26" ht="15" customHeight="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26" ht="15" customHeight="1" x14ac:dyDescent="0.3">
      <c r="A4" s="13" t="s">
        <v>2</v>
      </c>
      <c r="B4" s="14"/>
      <c r="C4" s="14"/>
      <c r="D4" s="13" t="s">
        <v>3</v>
      </c>
      <c r="E4" s="14"/>
      <c r="F4" s="14"/>
      <c r="G4" s="13" t="s">
        <v>4</v>
      </c>
      <c r="H4" s="14"/>
      <c r="I4" s="14"/>
      <c r="J4" s="13" t="s">
        <v>5</v>
      </c>
      <c r="K4" s="14"/>
      <c r="L4" s="14"/>
    </row>
    <row r="5" spans="1:26" ht="44.25" customHeight="1" x14ac:dyDescent="0.35">
      <c r="A5" s="15" t="str">
        <f>Controls!$C$4</f>
        <v>Debt Case</v>
      </c>
      <c r="B5" s="16"/>
      <c r="C5" s="16"/>
      <c r="D5" s="17">
        <f>Controls!$B$32</f>
        <v>20</v>
      </c>
      <c r="E5" s="16"/>
      <c r="F5" s="16"/>
      <c r="G5" s="15" t="str">
        <f>Controls!$B$33&amp;" / "&amp;Controls!$B$34&amp;" MW"</f>
        <v>10 / 10 MW</v>
      </c>
      <c r="H5" s="16"/>
      <c r="I5" s="16"/>
      <c r="J5" s="17">
        <f>SUM(Capex_36M!$O$2:$O$37)</f>
        <v>511456.85714285716</v>
      </c>
      <c r="K5" s="16"/>
      <c r="L5" s="16"/>
    </row>
    <row r="6" spans="1:26" ht="15" customHeight="1" x14ac:dyDescent="0.3">
      <c r="A6" s="18" t="s">
        <v>6</v>
      </c>
      <c r="B6" s="16"/>
      <c r="C6" s="16"/>
      <c r="D6" s="18" t="s">
        <v>7</v>
      </c>
      <c r="E6" s="16"/>
      <c r="F6" s="16"/>
      <c r="G6" s="18" t="s">
        <v>8</v>
      </c>
      <c r="H6" s="16"/>
      <c r="I6" s="16"/>
      <c r="J6" s="18" t="s">
        <v>9</v>
      </c>
      <c r="K6" s="16"/>
      <c r="L6" s="16"/>
    </row>
    <row r="7" spans="1:26" ht="15" customHeight="1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26" ht="15" customHeight="1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26" ht="15" customHeight="1" x14ac:dyDescent="0.3">
      <c r="A9" s="13" t="s">
        <v>10</v>
      </c>
      <c r="B9" s="14"/>
      <c r="C9" s="14"/>
      <c r="D9" s="13" t="s">
        <v>11</v>
      </c>
      <c r="E9" s="14"/>
      <c r="F9" s="14"/>
      <c r="G9" s="13" t="s">
        <v>12</v>
      </c>
      <c r="H9" s="14"/>
      <c r="I9" s="14"/>
      <c r="J9" s="13" t="s">
        <v>13</v>
      </c>
      <c r="K9" s="14"/>
      <c r="L9" s="14"/>
    </row>
    <row r="10" spans="1:26" ht="44.25" customHeight="1" x14ac:dyDescent="0.35">
      <c r="A10" s="17">
        <f>SUM(Funding_36M!$J$2:$J$37)+SUM(Funding_36M!$K$2:$K$37)</f>
        <v>535535.89821967867</v>
      </c>
      <c r="B10" s="16"/>
      <c r="C10" s="16"/>
      <c r="D10" s="17">
        <f>SUM(Funding_36M!$J$2:$J$37)</f>
        <v>68000</v>
      </c>
      <c r="E10" s="16"/>
      <c r="F10" s="16"/>
      <c r="G10" s="17">
        <f>SUM(Funding_36M!$K$2:$K$37)</f>
        <v>467535.89821967867</v>
      </c>
      <c r="H10" s="16"/>
      <c r="I10" s="16"/>
      <c r="J10" s="17">
        <f>MAX(Funding_36M!$T$2:$T$37)</f>
        <v>482022.08554965188</v>
      </c>
      <c r="K10" s="16"/>
      <c r="L10" s="16"/>
    </row>
    <row r="11" spans="1:26" ht="15" customHeight="1" x14ac:dyDescent="0.3">
      <c r="A11" s="18" t="s">
        <v>14</v>
      </c>
      <c r="B11" s="16"/>
      <c r="C11" s="16"/>
      <c r="D11" s="18" t="s">
        <v>9</v>
      </c>
      <c r="E11" s="16"/>
      <c r="F11" s="16"/>
      <c r="G11" s="18" t="s">
        <v>9</v>
      </c>
      <c r="H11" s="16"/>
      <c r="I11" s="16"/>
      <c r="J11" s="18" t="s">
        <v>9</v>
      </c>
      <c r="K11" s="16"/>
      <c r="L11" s="16"/>
    </row>
    <row r="12" spans="1:26" ht="15" customHeight="1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26" ht="15" customHeight="1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26" ht="23.25" customHeight="1" x14ac:dyDescent="0.3">
      <c r="A14" s="13" t="s">
        <v>15</v>
      </c>
      <c r="B14" s="14"/>
      <c r="C14" s="14"/>
      <c r="D14" s="13" t="s">
        <v>16</v>
      </c>
      <c r="E14" s="14"/>
      <c r="F14" s="14"/>
      <c r="G14" s="13" t="s">
        <v>17</v>
      </c>
      <c r="H14" s="14"/>
      <c r="I14" s="14"/>
      <c r="J14" s="13" t="s">
        <v>18</v>
      </c>
      <c r="K14" s="14"/>
      <c r="L14" s="14"/>
    </row>
    <row r="15" spans="1:26" ht="44.25" customHeight="1" x14ac:dyDescent="0.35">
      <c r="A15" s="17">
        <f>Annual_Summary!$C$11</f>
        <v>100722.51707451488</v>
      </c>
      <c r="B15" s="16"/>
      <c r="C15" s="16"/>
      <c r="D15" s="17">
        <f>SUM(Revenue_36M!$P$2:$P$37)</f>
        <v>578669.43682928919</v>
      </c>
      <c r="E15" s="16"/>
      <c r="F15" s="16"/>
      <c r="G15" s="19">
        <f>SUM(Revenue_36M!$H$2:$H$37)</f>
        <v>426.54125928588718</v>
      </c>
      <c r="H15" s="16"/>
      <c r="I15" s="16"/>
      <c r="J15" s="17">
        <f>Sensitivity!$B$11</f>
        <v>42463.034827686541</v>
      </c>
      <c r="K15" s="16"/>
      <c r="L15" s="16"/>
    </row>
    <row r="16" spans="1:26" ht="15" customHeight="1" x14ac:dyDescent="0.3">
      <c r="A16" s="18" t="s">
        <v>9</v>
      </c>
      <c r="B16" s="16"/>
      <c r="C16" s="16"/>
      <c r="D16" s="18" t="s">
        <v>9</v>
      </c>
      <c r="E16" s="16"/>
      <c r="F16" s="16"/>
      <c r="G16" s="18" t="s">
        <v>19</v>
      </c>
      <c r="H16" s="16"/>
      <c r="I16" s="16"/>
      <c r="J16" s="18" t="s">
        <v>20</v>
      </c>
      <c r="K16" s="16"/>
      <c r="L16" s="16"/>
    </row>
    <row r="17" spans="1:12" ht="15" customHeight="1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ht="15" customHeight="1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 ht="15" customHeight="1" x14ac:dyDescent="0.3">
      <c r="A19" s="13" t="s">
        <v>21</v>
      </c>
      <c r="B19" s="14"/>
      <c r="C19" s="14"/>
      <c r="D19" s="13" t="s">
        <v>22</v>
      </c>
      <c r="E19" s="14"/>
      <c r="F19" s="14"/>
      <c r="G19" s="13" t="s">
        <v>23</v>
      </c>
      <c r="H19" s="14"/>
      <c r="I19" s="14"/>
      <c r="J19" s="13" t="s">
        <v>24</v>
      </c>
      <c r="K19" s="14"/>
      <c r="L19" s="14"/>
    </row>
    <row r="20" spans="1:12" ht="15" customHeight="1" x14ac:dyDescent="0.35">
      <c r="A20" s="20">
        <f>MIN(Funding_36M!$AA$14:$AA$37)</f>
        <v>0.5040562877736845</v>
      </c>
      <c r="B20" s="16"/>
      <c r="C20" s="16"/>
      <c r="D20" s="20">
        <f>Annual_Summary!$B$26</f>
        <v>1.5</v>
      </c>
      <c r="E20" s="16"/>
      <c r="F20" s="16"/>
      <c r="G20" s="21">
        <f>IFERROR((1+IRR(Funding_36M!$AC$2:$AC$37,0.01))^12-1,"n/a")</f>
        <v>0.19748389632507113</v>
      </c>
      <c r="H20" s="16"/>
      <c r="I20" s="16"/>
      <c r="J20" s="21">
        <f>IFERROR((1+IRR(Funding_36M!$AD$2:$AD$37,0.01))^12-1,"n/a")</f>
        <v>0.31458689402831208</v>
      </c>
      <c r="K20" s="16"/>
      <c r="L20" s="16"/>
    </row>
    <row r="21" spans="1:12" ht="15" customHeight="1" x14ac:dyDescent="0.3">
      <c r="A21" s="18" t="s">
        <v>25</v>
      </c>
      <c r="B21" s="16"/>
      <c r="C21" s="16"/>
      <c r="D21" s="18" t="s">
        <v>26</v>
      </c>
      <c r="E21" s="16"/>
      <c r="F21" s="16"/>
      <c r="G21" s="18" t="s">
        <v>27</v>
      </c>
      <c r="H21" s="16"/>
      <c r="I21" s="16"/>
      <c r="J21" s="18" t="s">
        <v>28</v>
      </c>
      <c r="K21" s="16"/>
      <c r="L21" s="16"/>
    </row>
    <row r="22" spans="1:12" ht="15" customHeight="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ht="15" customHeight="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ht="15" customHeight="1" x14ac:dyDescent="0.3">
      <c r="A24" s="13" t="s">
        <v>29</v>
      </c>
      <c r="B24" s="14"/>
      <c r="C24" s="14"/>
      <c r="D24" s="13" t="s">
        <v>30</v>
      </c>
      <c r="E24" s="14"/>
      <c r="F24" s="14"/>
      <c r="G24" s="13" t="s">
        <v>31</v>
      </c>
      <c r="H24" s="14"/>
      <c r="I24" s="14"/>
      <c r="J24" s="13" t="s">
        <v>32</v>
      </c>
      <c r="K24" s="14"/>
      <c r="L24" s="14"/>
    </row>
    <row r="25" spans="1:12" ht="21.75" customHeight="1" x14ac:dyDescent="0.35">
      <c r="A25" s="17">
        <f>INDEX(Funding_36M!$Q$2:$Q$37,36)</f>
        <v>131624.43024868297</v>
      </c>
      <c r="B25" s="16"/>
      <c r="C25" s="16"/>
      <c r="D25" s="17">
        <f>INDEX(Funding_36M!$T$2:$T$37,36)</f>
        <v>482022.08554965188</v>
      </c>
      <c r="E25" s="16"/>
      <c r="F25" s="16"/>
      <c r="G25" s="17">
        <f>Controls!$B$111</f>
        <v>27212.5</v>
      </c>
      <c r="H25" s="16"/>
      <c r="I25" s="16"/>
      <c r="J25" s="17">
        <f>(Controls!$B$100+Controls!$B$101+Controls!$B$104)-(SUM(Funding_36M!$J$2:$J$37)+SUM(Funding_36M!$K$2:$K$37))</f>
        <v>20464.101780321333</v>
      </c>
      <c r="K25" s="16"/>
      <c r="L25" s="16"/>
    </row>
    <row r="26" spans="1:12" ht="15" customHeight="1" x14ac:dyDescent="0.3">
      <c r="A26" s="18" t="s">
        <v>33</v>
      </c>
      <c r="B26" s="16"/>
      <c r="C26" s="16"/>
      <c r="D26" s="18" t="s">
        <v>9</v>
      </c>
      <c r="E26" s="16"/>
      <c r="F26" s="16"/>
      <c r="G26" s="18" t="s">
        <v>34</v>
      </c>
      <c r="H26" s="16"/>
      <c r="I26" s="16"/>
      <c r="J26" s="18" t="s">
        <v>35</v>
      </c>
      <c r="K26" s="16"/>
      <c r="L26" s="16"/>
    </row>
    <row r="27" spans="1:12" ht="1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 ht="1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ht="21.75" customHeight="1" x14ac:dyDescent="0.25">
      <c r="A29" s="8" t="s">
        <v>36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ht="15" customHeight="1" x14ac:dyDescent="0.3">
      <c r="A30" s="22" t="s">
        <v>37</v>
      </c>
      <c r="B30" s="12"/>
      <c r="C30" s="12"/>
      <c r="D30" s="22" t="s">
        <v>38</v>
      </c>
      <c r="E30" s="12"/>
      <c r="F30" s="22" t="s">
        <v>39</v>
      </c>
      <c r="G30" s="12"/>
      <c r="H30" s="22" t="s">
        <v>40</v>
      </c>
      <c r="I30" s="12"/>
      <c r="J30" s="22" t="s">
        <v>41</v>
      </c>
      <c r="K30" s="12"/>
      <c r="L30" s="12"/>
    </row>
    <row r="31" spans="1:12" ht="15" customHeight="1" x14ac:dyDescent="0.3">
      <c r="A31" s="23" t="s">
        <v>42</v>
      </c>
      <c r="B31" s="12"/>
      <c r="C31" s="12"/>
      <c r="D31" s="24">
        <f>Controls!$B$100</f>
        <v>68000</v>
      </c>
      <c r="E31" s="12"/>
      <c r="F31" s="24">
        <f>SUM(Funding_36M!$J$2:$J$37)</f>
        <v>68000</v>
      </c>
      <c r="G31" s="12"/>
      <c r="H31" s="24">
        <f>D31-F31</f>
        <v>0</v>
      </c>
      <c r="I31" s="12"/>
      <c r="J31" s="25" t="s">
        <v>43</v>
      </c>
      <c r="K31" s="12"/>
      <c r="L31" s="12"/>
    </row>
    <row r="32" spans="1:12" ht="15" customHeight="1" x14ac:dyDescent="0.3">
      <c r="A32" s="23" t="s">
        <v>44</v>
      </c>
      <c r="B32" s="12"/>
      <c r="C32" s="12"/>
      <c r="D32" s="24">
        <f>Controls!$B$101</f>
        <v>238000</v>
      </c>
      <c r="E32" s="12"/>
      <c r="F32" s="24">
        <f>SUM(Funding_36M!$U$2:$U$37)</f>
        <v>238000</v>
      </c>
      <c r="G32" s="12"/>
      <c r="H32" s="24">
        <f>D32-F32</f>
        <v>0</v>
      </c>
      <c r="I32" s="12"/>
      <c r="J32" s="25" t="s">
        <v>45</v>
      </c>
      <c r="K32" s="12"/>
      <c r="L32" s="12"/>
    </row>
    <row r="33" spans="1:12" ht="15" customHeight="1" x14ac:dyDescent="0.3">
      <c r="A33" s="23" t="s">
        <v>46</v>
      </c>
      <c r="B33" s="12"/>
      <c r="C33" s="12"/>
      <c r="D33" s="24">
        <f>Controls!$B$104</f>
        <v>250000</v>
      </c>
      <c r="E33" s="12"/>
      <c r="F33" s="24">
        <f>SUM(Funding_36M!$V$2:$V$37)</f>
        <v>229535.89821967864</v>
      </c>
      <c r="G33" s="12"/>
      <c r="H33" s="24">
        <f>D33-F33</f>
        <v>20464.101780321362</v>
      </c>
      <c r="I33" s="12"/>
      <c r="J33" s="25" t="s">
        <v>47</v>
      </c>
      <c r="K33" s="12"/>
      <c r="L33" s="12"/>
    </row>
    <row r="34" spans="1:12" ht="15" customHeight="1" x14ac:dyDescent="0.3">
      <c r="A34" s="23" t="s">
        <v>48</v>
      </c>
      <c r="B34" s="12"/>
      <c r="C34" s="12"/>
      <c r="D34" s="24">
        <f>Controls!$B$100+Controls!$B$101+Controls!$B$104</f>
        <v>556000</v>
      </c>
      <c r="E34" s="12"/>
      <c r="F34" s="24">
        <f>F31+F32+F33</f>
        <v>535535.89821967867</v>
      </c>
      <c r="G34" s="12"/>
      <c r="H34" s="24">
        <f>D34-F34</f>
        <v>20464.101780321333</v>
      </c>
      <c r="I34" s="12"/>
      <c r="J34" s="23" t="s">
        <v>49</v>
      </c>
      <c r="K34" s="12"/>
      <c r="L34" s="12"/>
    </row>
    <row r="35" spans="1:12" ht="15" customHeigh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 ht="15" customHeigh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ht="21.75" customHeight="1" x14ac:dyDescent="0.25">
      <c r="A37" s="8" t="s">
        <v>50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ht="15" customHeight="1" x14ac:dyDescent="0.3">
      <c r="A38" s="22" t="s">
        <v>51</v>
      </c>
      <c r="B38" s="12"/>
      <c r="C38" s="12"/>
      <c r="D38" s="22" t="s">
        <v>52</v>
      </c>
      <c r="E38" s="12"/>
      <c r="F38" s="22" t="s">
        <v>53</v>
      </c>
      <c r="G38" s="12"/>
      <c r="H38" s="22" t="s">
        <v>54</v>
      </c>
      <c r="I38" s="12"/>
      <c r="J38" s="22" t="s">
        <v>55</v>
      </c>
      <c r="K38" s="12"/>
      <c r="L38" s="12"/>
    </row>
    <row r="39" spans="1:12" ht="15" customHeight="1" x14ac:dyDescent="0.3">
      <c r="A39" s="23" t="s">
        <v>56</v>
      </c>
      <c r="B39" s="12"/>
      <c r="C39" s="12"/>
      <c r="D39" s="24">
        <f>SUM(Capex_36M!$G$2:$G$37)</f>
        <v>218895.23809523811</v>
      </c>
      <c r="E39" s="12"/>
      <c r="F39" s="24">
        <v>374000</v>
      </c>
      <c r="G39" s="12"/>
      <c r="H39" s="24">
        <f t="shared" ref="H39:H45" si="0">D39-F39</f>
        <v>-155104.76190476189</v>
      </c>
      <c r="I39" s="12"/>
      <c r="J39" s="25" t="s">
        <v>57</v>
      </c>
      <c r="K39" s="12"/>
      <c r="L39" s="12"/>
    </row>
    <row r="40" spans="1:12" ht="15" customHeight="1" x14ac:dyDescent="0.3">
      <c r="A40" s="23" t="s">
        <v>58</v>
      </c>
      <c r="B40" s="12"/>
      <c r="C40" s="12"/>
      <c r="D40" s="24">
        <f>SUM(Capex_36M!$H$2:$H$37)</f>
        <v>65450</v>
      </c>
      <c r="E40" s="12"/>
      <c r="F40" s="24">
        <v>102000</v>
      </c>
      <c r="G40" s="12"/>
      <c r="H40" s="24">
        <f t="shared" si="0"/>
        <v>-36550</v>
      </c>
      <c r="I40" s="12"/>
      <c r="J40" s="25" t="s">
        <v>59</v>
      </c>
      <c r="K40" s="12"/>
      <c r="L40" s="12"/>
    </row>
    <row r="41" spans="1:12" ht="15" customHeight="1" x14ac:dyDescent="0.3">
      <c r="A41" s="23" t="s">
        <v>60</v>
      </c>
      <c r="B41" s="12"/>
      <c r="C41" s="12"/>
      <c r="D41" s="24">
        <f>SUM(Capex_36M!$I$2:$I$37)</f>
        <v>126872</v>
      </c>
      <c r="E41" s="12"/>
      <c r="F41" s="24">
        <v>51000</v>
      </c>
      <c r="G41" s="12"/>
      <c r="H41" s="24">
        <f t="shared" si="0"/>
        <v>75872</v>
      </c>
      <c r="I41" s="12"/>
      <c r="J41" s="25" t="s">
        <v>61</v>
      </c>
      <c r="K41" s="12"/>
      <c r="L41" s="12"/>
    </row>
    <row r="42" spans="1:12" ht="15" customHeight="1" x14ac:dyDescent="0.3">
      <c r="A42" s="23" t="s">
        <v>62</v>
      </c>
      <c r="B42" s="12"/>
      <c r="C42" s="12"/>
      <c r="D42" s="24">
        <f>SUM(Capex_36M!$J$2:$J$37)</f>
        <v>70000</v>
      </c>
      <c r="E42" s="12"/>
      <c r="F42" s="24">
        <v>0</v>
      </c>
      <c r="G42" s="12"/>
      <c r="H42" s="24">
        <f t="shared" si="0"/>
        <v>70000</v>
      </c>
      <c r="I42" s="12"/>
      <c r="J42" s="25" t="s">
        <v>63</v>
      </c>
      <c r="K42" s="12"/>
      <c r="L42" s="12"/>
    </row>
    <row r="43" spans="1:12" ht="15" customHeight="1" x14ac:dyDescent="0.3">
      <c r="A43" s="23" t="s">
        <v>64</v>
      </c>
      <c r="B43" s="12"/>
      <c r="C43" s="12"/>
      <c r="D43" s="24">
        <f>SUM(Capex_36M!$K$2:$K$37)+SUM(Capex_36M!$L$2:$L$37)</f>
        <v>8712.9047619047633</v>
      </c>
      <c r="E43" s="12"/>
      <c r="F43" s="24">
        <v>0</v>
      </c>
      <c r="G43" s="12"/>
      <c r="H43" s="24">
        <f t="shared" si="0"/>
        <v>8712.9047619047633</v>
      </c>
      <c r="I43" s="12"/>
      <c r="J43" s="25" t="s">
        <v>65</v>
      </c>
      <c r="K43" s="12"/>
      <c r="L43" s="12"/>
    </row>
    <row r="44" spans="1:12" ht="15" customHeight="1" x14ac:dyDescent="0.3">
      <c r="A44" s="23" t="s">
        <v>66</v>
      </c>
      <c r="B44" s="12"/>
      <c r="C44" s="12"/>
      <c r="D44" s="24">
        <f>SUM(Capex_36M!$M$2:$M$37)</f>
        <v>21526.714285714286</v>
      </c>
      <c r="E44" s="12"/>
      <c r="F44" s="24">
        <v>0</v>
      </c>
      <c r="G44" s="12"/>
      <c r="H44" s="24">
        <f t="shared" si="0"/>
        <v>21526.714285714286</v>
      </c>
      <c r="I44" s="12"/>
      <c r="J44" s="25" t="s">
        <v>67</v>
      </c>
      <c r="K44" s="12"/>
      <c r="L44" s="12"/>
    </row>
    <row r="45" spans="1:12" ht="15" customHeight="1" x14ac:dyDescent="0.3">
      <c r="A45" s="23" t="s">
        <v>68</v>
      </c>
      <c r="B45" s="12"/>
      <c r="C45" s="12"/>
      <c r="D45" s="24">
        <f>SUM(Capex_36M!$O$2:$O$37)</f>
        <v>511456.85714285716</v>
      </c>
      <c r="E45" s="12"/>
      <c r="F45" s="24">
        <v>527000</v>
      </c>
      <c r="G45" s="12"/>
      <c r="H45" s="24">
        <f t="shared" si="0"/>
        <v>-15543.142857142841</v>
      </c>
      <c r="I45" s="12"/>
      <c r="J45" s="23" t="s">
        <v>69</v>
      </c>
      <c r="K45" s="12"/>
      <c r="L45" s="12"/>
    </row>
    <row r="46" spans="1:12" ht="15" customHeight="1" x14ac:dyDescent="0.3">
      <c r="A46" s="12" t="s">
        <v>70</v>
      </c>
      <c r="B46" s="12"/>
      <c r="C46" s="12"/>
      <c r="D46" s="26">
        <f>Controls!$B$46/Controls!$B$43</f>
        <v>8.4499999999999993</v>
      </c>
      <c r="E46" s="12"/>
      <c r="F46" s="27" t="s">
        <v>71</v>
      </c>
      <c r="G46" s="12"/>
      <c r="H46" s="12"/>
      <c r="I46" s="12"/>
      <c r="J46" s="27" t="s">
        <v>72</v>
      </c>
      <c r="K46" s="12"/>
      <c r="L46" s="12"/>
    </row>
    <row r="47" spans="1:12" ht="15" customHeigh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 ht="15" customHeigh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ht="15" customHeight="1" x14ac:dyDescent="0.3">
      <c r="A49" s="7" t="s">
        <v>73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15" customHeight="1" x14ac:dyDescent="0.3">
      <c r="A50" s="6" t="s">
        <v>74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ht="15" customHeight="1" x14ac:dyDescent="0.3">
      <c r="A51" s="6" t="s">
        <v>75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ht="15" customHeight="1" x14ac:dyDescent="0.3">
      <c r="A52" s="5" t="s">
        <v>76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5" customHeigh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 ht="15" customHeight="1" x14ac:dyDescent="0.3">
      <c r="A54" s="5" t="s">
        <v>77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5" customHeigh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1:12" ht="15" customHeight="1" x14ac:dyDescent="0.3">
      <c r="A56" s="5" t="s">
        <v>78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15" customHeight="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 ht="15" customHeight="1" x14ac:dyDescent="0.3">
      <c r="A58" s="28" t="s">
        <v>79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12"/>
    </row>
    <row r="59" spans="1:12" ht="15" customHeight="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 ht="15" customHeigh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</sheetData>
  <mergeCells count="10">
    <mergeCell ref="A50:L50"/>
    <mergeCell ref="A51:L51"/>
    <mergeCell ref="A52:L52"/>
    <mergeCell ref="A54:L54"/>
    <mergeCell ref="A56:L56"/>
    <mergeCell ref="A1:L1"/>
    <mergeCell ref="A2:L2"/>
    <mergeCell ref="A29:L29"/>
    <mergeCell ref="A37:L37"/>
    <mergeCell ref="A49:L49"/>
  </mergeCells>
  <pageMargins left="0.3" right="0.3" top="0.4" bottom="0.4" header="0.511811023622047" footer="0.511811023622047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020"/>
    <pageSetUpPr fitToPage="1"/>
  </sheetPr>
  <dimension ref="A1:Z114"/>
  <sheetViews>
    <sheetView topLeftCell="A99" zoomScaleNormal="100" workbookViewId="0">
      <selection activeCell="C87" sqref="C87"/>
    </sheetView>
  </sheetViews>
  <sheetFormatPr defaultColWidth="8.6640625" defaultRowHeight="13.2" x14ac:dyDescent="0.25"/>
  <cols>
    <col min="1" max="1" width="32" customWidth="1"/>
    <col min="2" max="2" width="18" customWidth="1"/>
    <col min="3" max="3" width="22.6640625" customWidth="1"/>
    <col min="4" max="4" width="70" customWidth="1"/>
  </cols>
  <sheetData>
    <row r="1" spans="1:26" ht="42" customHeight="1" x14ac:dyDescent="0.3">
      <c r="A1" s="4" t="s">
        <v>80</v>
      </c>
      <c r="B1" s="4"/>
      <c r="C1" s="4"/>
      <c r="D1" s="4"/>
      <c r="E1" s="4"/>
      <c r="F1" s="4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5" customHeight="1" x14ac:dyDescent="0.3">
      <c r="A2" s="3" t="s">
        <v>81</v>
      </c>
      <c r="B2" s="3"/>
      <c r="C2" s="3"/>
      <c r="D2" s="3"/>
      <c r="E2" s="3"/>
      <c r="F2" s="3"/>
    </row>
    <row r="4" spans="1:26" ht="15" customHeight="1" x14ac:dyDescent="0.3">
      <c r="A4" s="31" t="s">
        <v>82</v>
      </c>
      <c r="B4" s="32" t="s">
        <v>83</v>
      </c>
      <c r="C4" s="33" t="s">
        <v>84</v>
      </c>
      <c r="D4" s="34" t="s">
        <v>85</v>
      </c>
      <c r="G4" s="2" t="s">
        <v>86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spans="1:26" ht="41.25" customHeight="1" x14ac:dyDescent="0.25">
      <c r="G5" s="35" t="s">
        <v>87</v>
      </c>
      <c r="H5" s="35" t="s">
        <v>88</v>
      </c>
      <c r="I5" s="35" t="s">
        <v>89</v>
      </c>
      <c r="J5" s="35" t="s">
        <v>90</v>
      </c>
      <c r="K5" s="35" t="s">
        <v>91</v>
      </c>
      <c r="L5" s="35" t="s">
        <v>92</v>
      </c>
      <c r="M5" s="35" t="s">
        <v>93</v>
      </c>
      <c r="N5" s="35" t="s">
        <v>94</v>
      </c>
      <c r="O5" s="35" t="s">
        <v>95</v>
      </c>
      <c r="P5" s="35" t="s">
        <v>96</v>
      </c>
      <c r="Q5" s="35" t="s">
        <v>97</v>
      </c>
    </row>
    <row r="6" spans="1:26" ht="15" customHeight="1" x14ac:dyDescent="0.3">
      <c r="A6" s="36" t="s">
        <v>98</v>
      </c>
      <c r="B6" s="36"/>
      <c r="C6" s="36"/>
      <c r="D6" s="36"/>
      <c r="G6" s="37" t="s">
        <v>84</v>
      </c>
      <c r="H6" s="38">
        <v>0.05</v>
      </c>
      <c r="I6" s="38">
        <v>0.2</v>
      </c>
      <c r="J6" s="38">
        <v>0.96</v>
      </c>
      <c r="K6" s="37">
        <v>0</v>
      </c>
      <c r="L6" s="37">
        <v>99</v>
      </c>
      <c r="M6" s="38">
        <v>0</v>
      </c>
      <c r="N6" s="37">
        <v>0</v>
      </c>
      <c r="O6" s="37">
        <v>99</v>
      </c>
      <c r="P6" s="38">
        <v>0.35</v>
      </c>
      <c r="Q6" s="38">
        <v>0.13</v>
      </c>
    </row>
    <row r="7" spans="1:26" ht="15" customHeight="1" x14ac:dyDescent="0.3">
      <c r="A7" s="39" t="s">
        <v>99</v>
      </c>
      <c r="B7" s="40">
        <v>46204</v>
      </c>
      <c r="C7" s="41" t="s">
        <v>100</v>
      </c>
      <c r="D7" s="41" t="s">
        <v>101</v>
      </c>
      <c r="G7" s="37" t="s">
        <v>102</v>
      </c>
      <c r="H7" s="38">
        <v>0.1</v>
      </c>
      <c r="I7" s="38">
        <v>0.15</v>
      </c>
      <c r="J7" s="38">
        <v>0.97</v>
      </c>
      <c r="K7" s="37">
        <v>1</v>
      </c>
      <c r="L7" s="37">
        <v>13</v>
      </c>
      <c r="M7" s="38">
        <v>0.35</v>
      </c>
      <c r="N7" s="37">
        <v>0</v>
      </c>
      <c r="O7" s="37">
        <v>99</v>
      </c>
      <c r="P7" s="38">
        <v>0.35</v>
      </c>
      <c r="Q7" s="38">
        <v>0.13</v>
      </c>
    </row>
    <row r="8" spans="1:26" ht="15" customHeight="1" x14ac:dyDescent="0.3">
      <c r="A8" s="39" t="s">
        <v>103</v>
      </c>
      <c r="B8" s="42">
        <f>INDEX($H$6:$H$8,MATCH($C$4,$G$6:$G$8,0))</f>
        <v>0.05</v>
      </c>
      <c r="C8" s="41" t="s">
        <v>104</v>
      </c>
      <c r="D8" s="41" t="s">
        <v>105</v>
      </c>
      <c r="G8" s="37" t="s">
        <v>106</v>
      </c>
      <c r="H8" s="38">
        <v>0.12</v>
      </c>
      <c r="I8" s="38">
        <v>0.1</v>
      </c>
      <c r="J8" s="38">
        <v>0.98</v>
      </c>
      <c r="K8" s="37">
        <v>1</v>
      </c>
      <c r="L8" s="37">
        <v>7</v>
      </c>
      <c r="M8" s="38">
        <v>0.6</v>
      </c>
      <c r="N8" s="37">
        <v>1</v>
      </c>
      <c r="O8" s="37">
        <v>18</v>
      </c>
      <c r="P8" s="38">
        <v>0.3</v>
      </c>
      <c r="Q8" s="38">
        <v>0.11</v>
      </c>
    </row>
    <row r="9" spans="1:26" ht="27.75" customHeight="1" x14ac:dyDescent="0.3">
      <c r="A9" s="39" t="s">
        <v>107</v>
      </c>
      <c r="B9" s="42">
        <f>INDEX($I$6:$I$8,MATCH($C$4,$G$6:$G$8,0))</f>
        <v>0.2</v>
      </c>
      <c r="C9" s="41" t="s">
        <v>104</v>
      </c>
      <c r="D9" s="41" t="s">
        <v>108</v>
      </c>
    </row>
    <row r="10" spans="1:26" ht="15" customHeight="1" x14ac:dyDescent="0.3">
      <c r="A10" s="39" t="s">
        <v>109</v>
      </c>
      <c r="B10" s="42">
        <f>INDEX($J$6:$J$8,MATCH($C$4,$G$6:$G$8,0))</f>
        <v>0.96</v>
      </c>
      <c r="C10" s="41" t="s">
        <v>104</v>
      </c>
      <c r="D10" s="41" t="s">
        <v>110</v>
      </c>
    </row>
    <row r="11" spans="1:26" ht="15" customHeight="1" x14ac:dyDescent="0.3">
      <c r="A11" s="39" t="s">
        <v>91</v>
      </c>
      <c r="B11" s="43">
        <f>INDEX($K$6:$K$8,MATCH($C$4,$G$6:$G$8,0))</f>
        <v>0</v>
      </c>
      <c r="C11" s="41" t="s">
        <v>111</v>
      </c>
      <c r="D11" s="41" t="s">
        <v>112</v>
      </c>
    </row>
    <row r="12" spans="1:26" ht="15" customHeight="1" x14ac:dyDescent="0.3">
      <c r="A12" s="39" t="s">
        <v>92</v>
      </c>
      <c r="B12" s="43">
        <f>INDEX($L$6:$L$8,MATCH($C$4,$G$6:$G$8,0))</f>
        <v>99</v>
      </c>
      <c r="C12" s="41" t="s">
        <v>113</v>
      </c>
      <c r="D12" s="41" t="s">
        <v>114</v>
      </c>
    </row>
    <row r="13" spans="1:26" ht="15" customHeight="1" x14ac:dyDescent="0.3">
      <c r="A13" s="39" t="s">
        <v>93</v>
      </c>
      <c r="B13" s="42">
        <f>INDEX($M$6:$M$8,MATCH($C$4,$G$6:$G$8,0))</f>
        <v>0</v>
      </c>
      <c r="C13" s="41" t="s">
        <v>104</v>
      </c>
      <c r="D13" s="41" t="s">
        <v>115</v>
      </c>
    </row>
    <row r="14" spans="1:26" ht="15" customHeight="1" x14ac:dyDescent="0.3">
      <c r="A14" s="39" t="s">
        <v>94</v>
      </c>
      <c r="B14" s="42">
        <f>INDEX($N$6:$N$8,MATCH($C$4,$G$6:$G$8,0))</f>
        <v>0</v>
      </c>
      <c r="C14" s="41" t="s">
        <v>111</v>
      </c>
      <c r="D14" s="41" t="s">
        <v>116</v>
      </c>
    </row>
    <row r="15" spans="1:26" ht="15" customHeight="1" x14ac:dyDescent="0.3">
      <c r="A15" s="39" t="s">
        <v>95</v>
      </c>
      <c r="B15" s="43">
        <f>INDEX($O$6:$O$8,MATCH($C$4,$G$6:$G$8,0))</f>
        <v>99</v>
      </c>
      <c r="C15" s="41" t="s">
        <v>113</v>
      </c>
      <c r="D15" s="41" t="s">
        <v>117</v>
      </c>
    </row>
    <row r="16" spans="1:26" ht="15" customHeight="1" x14ac:dyDescent="0.3">
      <c r="A16" s="39" t="s">
        <v>96</v>
      </c>
      <c r="B16" s="42">
        <f>INDEX($P$6:$P$8,MATCH($C$4,$G$6:$G$8,0))</f>
        <v>0.35</v>
      </c>
      <c r="C16" s="41" t="s">
        <v>104</v>
      </c>
      <c r="D16" s="41" t="s">
        <v>118</v>
      </c>
    </row>
    <row r="17" spans="1:4" ht="15" customHeight="1" x14ac:dyDescent="0.3">
      <c r="A17" s="39" t="s">
        <v>119</v>
      </c>
      <c r="B17" s="44">
        <f>1-B16</f>
        <v>0.65</v>
      </c>
      <c r="C17" s="41" t="s">
        <v>104</v>
      </c>
      <c r="D17" s="41" t="s">
        <v>120</v>
      </c>
    </row>
    <row r="18" spans="1:4" ht="15" customHeight="1" x14ac:dyDescent="0.3">
      <c r="A18" s="39" t="s">
        <v>121</v>
      </c>
      <c r="B18" s="42">
        <f>INDEX($Q$6:$Q$8,MATCH($C$4,$G$6:$G$8,0))</f>
        <v>0.13</v>
      </c>
      <c r="C18" s="41" t="s">
        <v>104</v>
      </c>
      <c r="D18" s="41" t="s">
        <v>122</v>
      </c>
    </row>
    <row r="19" spans="1:4" ht="15" customHeight="1" x14ac:dyDescent="0.3">
      <c r="A19" s="39" t="s">
        <v>123</v>
      </c>
      <c r="B19" s="45">
        <v>12</v>
      </c>
      <c r="C19" s="41" t="s">
        <v>124</v>
      </c>
      <c r="D19" s="41" t="s">
        <v>125</v>
      </c>
    </row>
    <row r="20" spans="1:4" ht="15" customHeight="1" x14ac:dyDescent="0.3">
      <c r="A20" s="39" t="s">
        <v>126</v>
      </c>
      <c r="B20" s="45">
        <v>60</v>
      </c>
      <c r="C20" s="41" t="s">
        <v>124</v>
      </c>
      <c r="D20" s="41" t="s">
        <v>127</v>
      </c>
    </row>
    <row r="21" spans="1:4" ht="15" customHeight="1" x14ac:dyDescent="0.3">
      <c r="A21" s="39" t="s">
        <v>128</v>
      </c>
      <c r="B21" s="46">
        <v>0.01</v>
      </c>
      <c r="C21" s="41" t="s">
        <v>104</v>
      </c>
      <c r="D21" s="41" t="s">
        <v>129</v>
      </c>
    </row>
    <row r="22" spans="1:4" ht="15" customHeight="1" x14ac:dyDescent="0.3">
      <c r="A22" s="39" t="s">
        <v>130</v>
      </c>
      <c r="B22" s="40">
        <v>5000</v>
      </c>
      <c r="C22" s="41" t="s">
        <v>9</v>
      </c>
      <c r="D22" s="41" t="s">
        <v>131</v>
      </c>
    </row>
    <row r="23" spans="1:4" ht="15" customHeight="1" x14ac:dyDescent="0.25">
      <c r="A23" s="36" t="s">
        <v>132</v>
      </c>
      <c r="B23" s="36"/>
      <c r="C23" s="36"/>
      <c r="D23" s="36"/>
    </row>
    <row r="24" spans="1:4" ht="15" customHeight="1" x14ac:dyDescent="0.3">
      <c r="A24" s="39" t="s">
        <v>133</v>
      </c>
      <c r="B24" s="40">
        <v>75000</v>
      </c>
      <c r="C24" s="41" t="s">
        <v>20</v>
      </c>
      <c r="D24" s="41" t="s">
        <v>134</v>
      </c>
    </row>
    <row r="25" spans="1:4" ht="15" customHeight="1" x14ac:dyDescent="0.3">
      <c r="A25" s="39" t="s">
        <v>135</v>
      </c>
      <c r="B25" s="40">
        <v>17</v>
      </c>
      <c r="C25" s="41" t="s">
        <v>136</v>
      </c>
      <c r="D25" s="41" t="s">
        <v>137</v>
      </c>
    </row>
    <row r="26" spans="1:4" ht="15" customHeight="1" x14ac:dyDescent="0.3">
      <c r="A26" s="39" t="s">
        <v>138</v>
      </c>
      <c r="B26" s="40">
        <v>900000000</v>
      </c>
      <c r="C26" s="41" t="s">
        <v>139</v>
      </c>
      <c r="D26" s="41" t="s">
        <v>140</v>
      </c>
    </row>
    <row r="27" spans="1:4" ht="15" customHeight="1" x14ac:dyDescent="0.3">
      <c r="A27" s="39" t="s">
        <v>141</v>
      </c>
      <c r="B27" s="40">
        <v>3.125</v>
      </c>
      <c r="C27" s="41" t="s">
        <v>142</v>
      </c>
      <c r="D27" s="41" t="s">
        <v>143</v>
      </c>
    </row>
    <row r="28" spans="1:4" ht="15" customHeight="1" x14ac:dyDescent="0.3">
      <c r="A28" s="39" t="s">
        <v>144</v>
      </c>
      <c r="B28" s="45">
        <v>23</v>
      </c>
      <c r="C28" s="41" t="s">
        <v>113</v>
      </c>
      <c r="D28" s="41" t="s">
        <v>145</v>
      </c>
    </row>
    <row r="29" spans="1:4" ht="15" customHeight="1" x14ac:dyDescent="0.3">
      <c r="A29" s="39" t="s">
        <v>146</v>
      </c>
      <c r="B29" s="40">
        <v>0.12</v>
      </c>
      <c r="C29" s="41" t="s">
        <v>147</v>
      </c>
      <c r="D29" s="41" t="s">
        <v>148</v>
      </c>
    </row>
    <row r="30" spans="1:4" ht="15" customHeight="1" x14ac:dyDescent="0.3">
      <c r="A30" s="39" t="s">
        <v>149</v>
      </c>
      <c r="B30" s="40">
        <v>2.5000000000000001E-3</v>
      </c>
      <c r="C30" s="41" t="s">
        <v>150</v>
      </c>
      <c r="D30" s="41" t="s">
        <v>151</v>
      </c>
    </row>
    <row r="31" spans="1:4" ht="15" customHeight="1" x14ac:dyDescent="0.25">
      <c r="A31" s="36" t="s">
        <v>152</v>
      </c>
      <c r="B31" s="36"/>
      <c r="C31" s="36"/>
      <c r="D31" s="36"/>
    </row>
    <row r="32" spans="1:4" ht="15" customHeight="1" x14ac:dyDescent="0.3">
      <c r="A32" s="39" t="s">
        <v>153</v>
      </c>
      <c r="B32" s="47">
        <v>20</v>
      </c>
      <c r="C32" s="41" t="s">
        <v>154</v>
      </c>
      <c r="D32" s="41" t="s">
        <v>155</v>
      </c>
    </row>
    <row r="33" spans="1:4" ht="15" customHeight="1" x14ac:dyDescent="0.3">
      <c r="A33" s="39" t="s">
        <v>156</v>
      </c>
      <c r="B33" s="47">
        <v>10</v>
      </c>
      <c r="C33" s="41" t="s">
        <v>154</v>
      </c>
      <c r="D33" s="41" t="s">
        <v>157</v>
      </c>
    </row>
    <row r="34" spans="1:4" ht="15" customHeight="1" x14ac:dyDescent="0.3">
      <c r="A34" s="39" t="s">
        <v>158</v>
      </c>
      <c r="B34" s="47">
        <v>10</v>
      </c>
      <c r="C34" s="41" t="s">
        <v>154</v>
      </c>
      <c r="D34" s="41" t="s">
        <v>157</v>
      </c>
    </row>
    <row r="35" spans="1:4" ht="15" customHeight="1" x14ac:dyDescent="0.3">
      <c r="A35" s="39" t="s">
        <v>159</v>
      </c>
      <c r="B35" s="47">
        <v>10</v>
      </c>
      <c r="C35" s="41" t="s">
        <v>154</v>
      </c>
      <c r="D35" s="41" t="s">
        <v>160</v>
      </c>
    </row>
    <row r="36" spans="1:4" ht="15" customHeight="1" x14ac:dyDescent="0.3">
      <c r="A36" s="39" t="s">
        <v>161</v>
      </c>
      <c r="B36" s="40">
        <v>19</v>
      </c>
      <c r="C36" s="41" t="s">
        <v>162</v>
      </c>
      <c r="D36" s="41" t="s">
        <v>163</v>
      </c>
    </row>
    <row r="37" spans="1:4" ht="15" customHeight="1" x14ac:dyDescent="0.3">
      <c r="A37" s="39" t="s">
        <v>164</v>
      </c>
      <c r="B37" s="40">
        <v>9</v>
      </c>
      <c r="C37" s="41" t="s">
        <v>162</v>
      </c>
      <c r="D37" s="41" t="s">
        <v>165</v>
      </c>
    </row>
    <row r="38" spans="1:4" ht="15" customHeight="1" x14ac:dyDescent="0.3">
      <c r="A38" s="39" t="s">
        <v>166</v>
      </c>
      <c r="B38" s="48">
        <v>1.2</v>
      </c>
      <c r="C38" s="41" t="s">
        <v>167</v>
      </c>
      <c r="D38" s="41" t="s">
        <v>168</v>
      </c>
    </row>
    <row r="39" spans="1:4" ht="15" customHeight="1" x14ac:dyDescent="0.3">
      <c r="A39" s="39" t="s">
        <v>169</v>
      </c>
      <c r="B39" s="48">
        <v>0.6</v>
      </c>
      <c r="C39" s="41" t="s">
        <v>167</v>
      </c>
      <c r="D39" s="41" t="s">
        <v>170</v>
      </c>
    </row>
    <row r="40" spans="1:4" ht="15" customHeight="1" x14ac:dyDescent="0.3">
      <c r="A40" s="39" t="s">
        <v>171</v>
      </c>
      <c r="B40" s="45">
        <v>18</v>
      </c>
      <c r="C40" s="41" t="s">
        <v>124</v>
      </c>
      <c r="D40" s="41" t="s">
        <v>172</v>
      </c>
    </row>
    <row r="41" spans="1:4" ht="15" customHeight="1" x14ac:dyDescent="0.3">
      <c r="A41" s="39" t="s">
        <v>173</v>
      </c>
      <c r="B41" s="40">
        <v>0.02</v>
      </c>
      <c r="C41" s="41" t="s">
        <v>174</v>
      </c>
      <c r="D41" s="41" t="s">
        <v>175</v>
      </c>
    </row>
    <row r="42" spans="1:4" ht="15" customHeight="1" x14ac:dyDescent="0.25">
      <c r="A42" s="36" t="s">
        <v>176</v>
      </c>
      <c r="B42" s="36"/>
      <c r="C42" s="36"/>
      <c r="D42" s="36"/>
    </row>
    <row r="43" spans="1:4" ht="15" customHeight="1" x14ac:dyDescent="0.3">
      <c r="A43" s="39" t="s">
        <v>177</v>
      </c>
      <c r="B43" s="40">
        <v>700</v>
      </c>
      <c r="C43" s="41" t="s">
        <v>178</v>
      </c>
      <c r="D43" s="41" t="s">
        <v>179</v>
      </c>
    </row>
    <row r="44" spans="1:4" ht="15" customHeight="1" x14ac:dyDescent="0.3">
      <c r="A44" s="39" t="s">
        <v>180</v>
      </c>
      <c r="B44" s="40">
        <v>12.5</v>
      </c>
      <c r="C44" s="41" t="s">
        <v>181</v>
      </c>
      <c r="D44" s="41" t="s">
        <v>182</v>
      </c>
    </row>
    <row r="45" spans="1:4" ht="15" customHeight="1" x14ac:dyDescent="0.3">
      <c r="A45" s="39" t="s">
        <v>183</v>
      </c>
      <c r="B45" s="49">
        <f>B43*B44</f>
        <v>8750</v>
      </c>
      <c r="C45" s="41" t="s">
        <v>184</v>
      </c>
      <c r="D45" s="41" t="s">
        <v>185</v>
      </c>
    </row>
    <row r="46" spans="1:4" ht="15" customHeight="1" x14ac:dyDescent="0.3">
      <c r="A46" s="39" t="s">
        <v>186</v>
      </c>
      <c r="B46" s="40">
        <v>5915</v>
      </c>
      <c r="C46" s="41" t="s">
        <v>187</v>
      </c>
      <c r="D46" s="41" t="s">
        <v>188</v>
      </c>
    </row>
    <row r="47" spans="1:4" ht="15" customHeight="1" x14ac:dyDescent="0.3">
      <c r="A47" s="39" t="s">
        <v>189</v>
      </c>
      <c r="B47" s="46">
        <v>0.05</v>
      </c>
      <c r="C47" s="41" t="s">
        <v>104</v>
      </c>
      <c r="D47" s="41" t="s">
        <v>190</v>
      </c>
    </row>
    <row r="48" spans="1:4" ht="15" customHeight="1" x14ac:dyDescent="0.3">
      <c r="A48" s="39" t="s">
        <v>191</v>
      </c>
      <c r="B48" s="40">
        <v>240</v>
      </c>
      <c r="C48" s="41" t="s">
        <v>192</v>
      </c>
      <c r="D48" s="41" t="s">
        <v>193</v>
      </c>
    </row>
    <row r="49" spans="1:4" ht="15" customHeight="1" x14ac:dyDescent="0.3">
      <c r="A49" s="39" t="s">
        <v>194</v>
      </c>
      <c r="B49" s="49">
        <f>B48*B45/1000000*(1+B47)</f>
        <v>2.2050000000000001</v>
      </c>
      <c r="C49" s="41" t="s">
        <v>195</v>
      </c>
      <c r="D49" s="41" t="s">
        <v>196</v>
      </c>
    </row>
    <row r="50" spans="1:4" ht="15" customHeight="1" x14ac:dyDescent="0.3">
      <c r="A50" s="39" t="s">
        <v>197</v>
      </c>
      <c r="B50" s="40">
        <v>350000</v>
      </c>
      <c r="C50" s="41" t="s">
        <v>198</v>
      </c>
      <c r="D50" s="41" t="s">
        <v>199</v>
      </c>
    </row>
    <row r="51" spans="1:4" ht="15" customHeight="1" x14ac:dyDescent="0.25">
      <c r="A51" s="36" t="s">
        <v>200</v>
      </c>
      <c r="B51" s="50"/>
      <c r="C51" s="36"/>
      <c r="D51" s="36"/>
    </row>
    <row r="52" spans="1:4" ht="27.75" customHeight="1" x14ac:dyDescent="0.3">
      <c r="A52" s="39" t="s">
        <v>201</v>
      </c>
      <c r="B52" s="40">
        <v>25376</v>
      </c>
      <c r="C52" s="41" t="s">
        <v>202</v>
      </c>
      <c r="D52" s="41" t="s">
        <v>203</v>
      </c>
    </row>
    <row r="53" spans="1:4" ht="15" customHeight="1" x14ac:dyDescent="0.3">
      <c r="A53" s="39" t="s">
        <v>204</v>
      </c>
      <c r="B53" s="40">
        <v>3806</v>
      </c>
      <c r="C53" s="41" t="s">
        <v>205</v>
      </c>
      <c r="D53" s="41" t="s">
        <v>206</v>
      </c>
    </row>
    <row r="54" spans="1:4" ht="15" customHeight="1" x14ac:dyDescent="0.3">
      <c r="A54" s="39" t="s">
        <v>207</v>
      </c>
      <c r="B54" s="40">
        <v>7000</v>
      </c>
      <c r="C54" s="41" t="s">
        <v>205</v>
      </c>
      <c r="D54" s="41" t="s">
        <v>208</v>
      </c>
    </row>
    <row r="55" spans="1:4" ht="15" customHeight="1" x14ac:dyDescent="0.3">
      <c r="A55" s="39" t="s">
        <v>209</v>
      </c>
      <c r="B55" s="40">
        <v>0.02</v>
      </c>
      <c r="C55" s="41" t="s">
        <v>210</v>
      </c>
      <c r="D55" s="41" t="s">
        <v>211</v>
      </c>
    </row>
    <row r="56" spans="1:4" ht="15" customHeight="1" x14ac:dyDescent="0.3">
      <c r="A56" s="39" t="s">
        <v>212</v>
      </c>
      <c r="B56" s="40">
        <v>750</v>
      </c>
      <c r="C56" s="41" t="s">
        <v>202</v>
      </c>
      <c r="D56" s="41" t="s">
        <v>213</v>
      </c>
    </row>
    <row r="57" spans="1:4" ht="15" customHeight="1" x14ac:dyDescent="0.3">
      <c r="A57" s="39" t="s">
        <v>214</v>
      </c>
      <c r="B57" s="40">
        <v>35</v>
      </c>
      <c r="C57" s="41" t="s">
        <v>215</v>
      </c>
      <c r="D57" s="41" t="s">
        <v>216</v>
      </c>
    </row>
    <row r="58" spans="1:4" ht="15" customHeight="1" x14ac:dyDescent="0.3">
      <c r="A58" s="39" t="s">
        <v>217</v>
      </c>
      <c r="B58" s="40">
        <v>8000</v>
      </c>
      <c r="C58" s="41" t="s">
        <v>198</v>
      </c>
      <c r="D58" s="41" t="s">
        <v>218</v>
      </c>
    </row>
    <row r="59" spans="1:4" ht="15" customHeight="1" x14ac:dyDescent="0.3">
      <c r="A59" s="39" t="s">
        <v>219</v>
      </c>
      <c r="B59" s="40">
        <v>150</v>
      </c>
      <c r="C59" s="41" t="s">
        <v>220</v>
      </c>
      <c r="D59" s="41" t="s">
        <v>221</v>
      </c>
    </row>
    <row r="60" spans="1:4" ht="15" customHeight="1" x14ac:dyDescent="0.3">
      <c r="A60" s="39" t="s">
        <v>222</v>
      </c>
      <c r="B60" s="40">
        <v>70</v>
      </c>
      <c r="C60" s="41" t="s">
        <v>220</v>
      </c>
      <c r="D60" s="41" t="s">
        <v>223</v>
      </c>
    </row>
    <row r="61" spans="1:4" ht="15" customHeight="1" x14ac:dyDescent="0.3">
      <c r="A61" s="39" t="s">
        <v>224</v>
      </c>
      <c r="B61" s="40">
        <v>50</v>
      </c>
      <c r="C61" s="41" t="s">
        <v>220</v>
      </c>
      <c r="D61" s="41" t="s">
        <v>225</v>
      </c>
    </row>
    <row r="62" spans="1:4" ht="14.4" x14ac:dyDescent="0.3">
      <c r="A62" s="39" t="s">
        <v>226</v>
      </c>
      <c r="B62" s="40">
        <v>0.01</v>
      </c>
      <c r="C62" s="41" t="s">
        <v>227</v>
      </c>
      <c r="D62" s="41" t="s">
        <v>228</v>
      </c>
    </row>
    <row r="63" spans="1:4" ht="14.4" x14ac:dyDescent="0.3">
      <c r="A63" s="39" t="s">
        <v>229</v>
      </c>
      <c r="B63" s="40">
        <v>0.05</v>
      </c>
      <c r="C63" s="41" t="s">
        <v>227</v>
      </c>
      <c r="D63" s="41" t="s">
        <v>230</v>
      </c>
    </row>
    <row r="64" spans="1:4" ht="15" customHeight="1" x14ac:dyDescent="0.3">
      <c r="A64" s="39" t="s">
        <v>231</v>
      </c>
      <c r="B64" s="40">
        <v>350</v>
      </c>
      <c r="C64" s="41" t="s">
        <v>9</v>
      </c>
      <c r="D64" s="41" t="s">
        <v>232</v>
      </c>
    </row>
    <row r="65" spans="1:4" ht="15" customHeight="1" x14ac:dyDescent="0.3">
      <c r="A65" s="39" t="s">
        <v>233</v>
      </c>
      <c r="B65" s="40">
        <v>1500</v>
      </c>
      <c r="C65" s="41" t="s">
        <v>9</v>
      </c>
      <c r="D65" s="41" t="s">
        <v>234</v>
      </c>
    </row>
    <row r="66" spans="1:4" ht="15" customHeight="1" x14ac:dyDescent="0.3">
      <c r="A66" s="39" t="s">
        <v>235</v>
      </c>
      <c r="B66" s="40">
        <v>600</v>
      </c>
      <c r="C66" s="41" t="s">
        <v>9</v>
      </c>
      <c r="D66" s="41" t="s">
        <v>236</v>
      </c>
    </row>
    <row r="67" spans="1:4" ht="15" customHeight="1" x14ac:dyDescent="0.25">
      <c r="A67" s="36" t="s">
        <v>237</v>
      </c>
      <c r="B67" s="36"/>
      <c r="C67" s="36"/>
      <c r="D67" s="36"/>
    </row>
    <row r="68" spans="1:4" ht="15" customHeight="1" x14ac:dyDescent="0.3">
      <c r="A68" s="39" t="s">
        <v>238</v>
      </c>
      <c r="B68" s="40">
        <v>4</v>
      </c>
      <c r="C68" s="41" t="s">
        <v>239</v>
      </c>
      <c r="D68" s="41" t="s">
        <v>240</v>
      </c>
    </row>
    <row r="69" spans="1:4" ht="15" customHeight="1" x14ac:dyDescent="0.3">
      <c r="A69" s="39" t="s">
        <v>241</v>
      </c>
      <c r="B69" s="45">
        <v>1000</v>
      </c>
      <c r="C69" s="41" t="s">
        <v>242</v>
      </c>
      <c r="D69" s="41" t="s">
        <v>243</v>
      </c>
    </row>
    <row r="70" spans="1:4" ht="15" customHeight="1" x14ac:dyDescent="0.3">
      <c r="A70" s="39" t="s">
        <v>244</v>
      </c>
      <c r="B70" s="40">
        <v>2</v>
      </c>
      <c r="C70" s="41" t="s">
        <v>245</v>
      </c>
      <c r="D70" s="41" t="s">
        <v>246</v>
      </c>
    </row>
    <row r="71" spans="1:4" ht="15" customHeight="1" x14ac:dyDescent="0.3">
      <c r="A71" s="39" t="s">
        <v>247</v>
      </c>
      <c r="B71" s="45">
        <v>700</v>
      </c>
      <c r="C71" s="41" t="s">
        <v>242</v>
      </c>
      <c r="D71" s="41" t="s">
        <v>248</v>
      </c>
    </row>
    <row r="72" spans="1:4" ht="15" customHeight="1" x14ac:dyDescent="0.3">
      <c r="A72" s="39" t="s">
        <v>249</v>
      </c>
      <c r="B72" s="47">
        <v>0.35</v>
      </c>
      <c r="C72" s="41" t="s">
        <v>250</v>
      </c>
      <c r="D72" s="41" t="s">
        <v>251</v>
      </c>
    </row>
    <row r="73" spans="1:4" ht="15" customHeight="1" x14ac:dyDescent="0.3">
      <c r="A73" s="39" t="s">
        <v>252</v>
      </c>
      <c r="B73" s="45">
        <v>350</v>
      </c>
      <c r="C73" s="41" t="s">
        <v>242</v>
      </c>
      <c r="D73" s="41" t="s">
        <v>253</v>
      </c>
    </row>
    <row r="74" spans="1:4" ht="15" customHeight="1" x14ac:dyDescent="0.3">
      <c r="A74" s="39" t="s">
        <v>254</v>
      </c>
      <c r="B74" s="47">
        <v>0.08</v>
      </c>
      <c r="C74" s="41" t="s">
        <v>250</v>
      </c>
      <c r="D74" s="41" t="s">
        <v>255</v>
      </c>
    </row>
    <row r="75" spans="1:4" ht="15" customHeight="1" x14ac:dyDescent="0.3">
      <c r="A75" s="39" t="s">
        <v>256</v>
      </c>
      <c r="B75" s="45">
        <v>450</v>
      </c>
      <c r="C75" s="41" t="s">
        <v>242</v>
      </c>
      <c r="D75" s="41" t="s">
        <v>257</v>
      </c>
    </row>
    <row r="76" spans="1:4" ht="15" customHeight="1" x14ac:dyDescent="0.3">
      <c r="A76" s="39" t="s">
        <v>258</v>
      </c>
      <c r="B76" s="40">
        <v>0.2</v>
      </c>
      <c r="C76" s="41" t="s">
        <v>259</v>
      </c>
      <c r="D76" s="41" t="s">
        <v>260</v>
      </c>
    </row>
    <row r="77" spans="1:4" ht="15" customHeight="1" x14ac:dyDescent="0.3">
      <c r="A77" s="39" t="s">
        <v>261</v>
      </c>
      <c r="B77" s="40">
        <v>0.06</v>
      </c>
      <c r="C77" s="41" t="s">
        <v>259</v>
      </c>
      <c r="D77" s="41" t="s">
        <v>262</v>
      </c>
    </row>
    <row r="78" spans="1:4" ht="15" customHeight="1" x14ac:dyDescent="0.3">
      <c r="A78" s="39" t="s">
        <v>263</v>
      </c>
      <c r="B78" s="40">
        <v>250</v>
      </c>
      <c r="C78" s="41" t="s">
        <v>202</v>
      </c>
      <c r="D78" s="41" t="s">
        <v>264</v>
      </c>
    </row>
    <row r="79" spans="1:4" ht="14.4" x14ac:dyDescent="0.3">
      <c r="A79" s="39" t="s">
        <v>265</v>
      </c>
      <c r="B79" s="45">
        <v>3.5</v>
      </c>
      <c r="C79" s="41" t="s">
        <v>266</v>
      </c>
      <c r="D79" s="41" t="s">
        <v>267</v>
      </c>
    </row>
    <row r="80" spans="1:4" ht="14.4" x14ac:dyDescent="0.3">
      <c r="A80" s="39" t="s">
        <v>268</v>
      </c>
      <c r="B80" s="45">
        <v>40</v>
      </c>
      <c r="C80" s="41" t="s">
        <v>269</v>
      </c>
      <c r="D80" s="41" t="s">
        <v>270</v>
      </c>
    </row>
    <row r="81" spans="1:4" ht="15" customHeight="1" x14ac:dyDescent="0.3">
      <c r="A81" s="39" t="s">
        <v>271</v>
      </c>
      <c r="B81" s="45">
        <v>75</v>
      </c>
      <c r="C81" s="41" t="s">
        <v>272</v>
      </c>
      <c r="D81" s="41" t="s">
        <v>273</v>
      </c>
    </row>
    <row r="82" spans="1:4" ht="15" customHeight="1" x14ac:dyDescent="0.3">
      <c r="A82" s="39" t="s">
        <v>274</v>
      </c>
      <c r="B82" s="45">
        <v>10</v>
      </c>
      <c r="C82" s="41" t="s">
        <v>272</v>
      </c>
      <c r="D82" s="41" t="s">
        <v>275</v>
      </c>
    </row>
    <row r="83" spans="1:4" ht="15" customHeight="1" x14ac:dyDescent="0.3">
      <c r="A83" s="39" t="s">
        <v>276</v>
      </c>
      <c r="B83" s="45">
        <v>4</v>
      </c>
      <c r="C83" s="41" t="s">
        <v>272</v>
      </c>
      <c r="D83" s="41" t="s">
        <v>277</v>
      </c>
    </row>
    <row r="84" spans="1:4" ht="14.4" x14ac:dyDescent="0.3">
      <c r="A84" s="39" t="s">
        <v>278</v>
      </c>
      <c r="B84" s="45">
        <v>8</v>
      </c>
      <c r="C84" s="41" t="s">
        <v>279</v>
      </c>
      <c r="D84" s="41" t="s">
        <v>280</v>
      </c>
    </row>
    <row r="85" spans="1:4" ht="14.4" x14ac:dyDescent="0.3">
      <c r="A85" s="39" t="s">
        <v>281</v>
      </c>
      <c r="B85" s="45">
        <v>40</v>
      </c>
      <c r="C85" s="41" t="s">
        <v>269</v>
      </c>
      <c r="D85" s="41" t="s">
        <v>282</v>
      </c>
    </row>
    <row r="86" spans="1:4" ht="14.4" x14ac:dyDescent="0.3">
      <c r="A86" s="39" t="s">
        <v>283</v>
      </c>
      <c r="B86" s="45">
        <v>10</v>
      </c>
      <c r="C86" s="41" t="s">
        <v>279</v>
      </c>
      <c r="D86" s="41" t="s">
        <v>284</v>
      </c>
    </row>
    <row r="87" spans="1:4" ht="15" customHeight="1" x14ac:dyDescent="0.25">
      <c r="A87" s="36" t="s">
        <v>285</v>
      </c>
      <c r="B87" s="36"/>
      <c r="C87" s="36"/>
      <c r="D87" s="36"/>
    </row>
    <row r="88" spans="1:4" ht="27.75" customHeight="1" x14ac:dyDescent="0.3">
      <c r="A88" s="39" t="s">
        <v>286</v>
      </c>
      <c r="B88" s="45">
        <v>75</v>
      </c>
      <c r="C88" s="41" t="s">
        <v>279</v>
      </c>
      <c r="D88" s="41" t="s">
        <v>287</v>
      </c>
    </row>
    <row r="89" spans="1:4" ht="15" customHeight="1" x14ac:dyDescent="0.3">
      <c r="A89" s="39" t="s">
        <v>288</v>
      </c>
      <c r="B89" s="40">
        <v>3000</v>
      </c>
      <c r="C89" s="41" t="s">
        <v>205</v>
      </c>
      <c r="D89" s="41" t="s">
        <v>289</v>
      </c>
    </row>
    <row r="90" spans="1:4" ht="15" customHeight="1" x14ac:dyDescent="0.3">
      <c r="A90" s="39" t="s">
        <v>290</v>
      </c>
      <c r="B90" s="45">
        <v>24</v>
      </c>
      <c r="C90" s="41" t="s">
        <v>124</v>
      </c>
      <c r="D90" s="41" t="s">
        <v>291</v>
      </c>
    </row>
    <row r="91" spans="1:4" ht="15" customHeight="1" x14ac:dyDescent="0.3">
      <c r="A91" s="39" t="s">
        <v>292</v>
      </c>
      <c r="B91" s="40">
        <v>3</v>
      </c>
      <c r="C91" s="41" t="s">
        <v>293</v>
      </c>
      <c r="D91" s="41" t="s">
        <v>294</v>
      </c>
    </row>
    <row r="92" spans="1:4" ht="15" customHeight="1" x14ac:dyDescent="0.3">
      <c r="A92" s="39" t="s">
        <v>295</v>
      </c>
      <c r="B92" s="45">
        <v>2</v>
      </c>
      <c r="C92" s="41" t="s">
        <v>296</v>
      </c>
      <c r="D92" s="41" t="s">
        <v>297</v>
      </c>
    </row>
    <row r="93" spans="1:4" ht="15" customHeight="1" x14ac:dyDescent="0.25">
      <c r="A93" s="36" t="s">
        <v>298</v>
      </c>
      <c r="B93" s="50"/>
      <c r="C93" s="36"/>
      <c r="D93" s="36"/>
    </row>
    <row r="94" spans="1:4" ht="15" customHeight="1" x14ac:dyDescent="0.3">
      <c r="A94" s="39" t="s">
        <v>299</v>
      </c>
      <c r="B94" s="47">
        <v>5</v>
      </c>
      <c r="C94" s="41" t="s">
        <v>154</v>
      </c>
      <c r="D94" s="41" t="s">
        <v>300</v>
      </c>
    </row>
    <row r="95" spans="1:4" ht="15" customHeight="1" x14ac:dyDescent="0.3">
      <c r="A95" s="39" t="s">
        <v>301</v>
      </c>
      <c r="B95" s="48">
        <v>2.5</v>
      </c>
      <c r="C95" s="41" t="s">
        <v>167</v>
      </c>
      <c r="D95" s="41" t="s">
        <v>302</v>
      </c>
    </row>
    <row r="96" spans="1:4" ht="15" customHeight="1" x14ac:dyDescent="0.3">
      <c r="A96" s="39" t="s">
        <v>303</v>
      </c>
      <c r="B96" s="48">
        <v>0.2</v>
      </c>
      <c r="C96" s="41" t="s">
        <v>167</v>
      </c>
      <c r="D96" s="41" t="s">
        <v>304</v>
      </c>
    </row>
    <row r="97" spans="1:4" ht="27.75" customHeight="1" x14ac:dyDescent="0.3">
      <c r="A97" s="39" t="s">
        <v>305</v>
      </c>
      <c r="B97" s="45">
        <v>250</v>
      </c>
      <c r="C97" s="41" t="s">
        <v>279</v>
      </c>
      <c r="D97" s="41" t="s">
        <v>306</v>
      </c>
    </row>
    <row r="99" spans="1:4" ht="15" customHeight="1" x14ac:dyDescent="0.3">
      <c r="A99" s="51" t="s">
        <v>307</v>
      </c>
      <c r="B99" s="51"/>
      <c r="C99" s="51"/>
      <c r="D99" s="51"/>
    </row>
    <row r="100" spans="1:4" ht="15" customHeight="1" x14ac:dyDescent="0.3">
      <c r="A100" s="52" t="s">
        <v>308</v>
      </c>
      <c r="B100" s="53">
        <v>68000</v>
      </c>
      <c r="C100" s="52" t="s">
        <v>9</v>
      </c>
      <c r="D100" s="12" t="s">
        <v>309</v>
      </c>
    </row>
    <row r="101" spans="1:4" ht="15" customHeight="1" x14ac:dyDescent="0.3">
      <c r="A101" s="52" t="s">
        <v>310</v>
      </c>
      <c r="B101" s="53">
        <v>238000</v>
      </c>
      <c r="C101" s="52" t="s">
        <v>9</v>
      </c>
      <c r="D101" s="12" t="s">
        <v>311</v>
      </c>
    </row>
    <row r="102" spans="1:4" ht="15" customHeight="1" x14ac:dyDescent="0.3">
      <c r="A102" s="52" t="s">
        <v>312</v>
      </c>
      <c r="B102" s="54">
        <v>0.1</v>
      </c>
      <c r="C102" s="52" t="s">
        <v>104</v>
      </c>
      <c r="D102" s="12" t="s">
        <v>313</v>
      </c>
    </row>
    <row r="103" spans="1:4" ht="15" customHeight="1" x14ac:dyDescent="0.3">
      <c r="A103" s="52" t="s">
        <v>314</v>
      </c>
      <c r="B103" s="55">
        <v>24</v>
      </c>
      <c r="C103" s="52" t="s">
        <v>124</v>
      </c>
      <c r="D103" s="12" t="s">
        <v>315</v>
      </c>
    </row>
    <row r="104" spans="1:4" ht="15" customHeight="1" x14ac:dyDescent="0.3">
      <c r="A104" s="52" t="s">
        <v>316</v>
      </c>
      <c r="B104" s="53">
        <v>250000</v>
      </c>
      <c r="C104" s="52" t="s">
        <v>9</v>
      </c>
      <c r="D104" s="12" t="s">
        <v>317</v>
      </c>
    </row>
    <row r="105" spans="1:4" ht="15" customHeight="1" x14ac:dyDescent="0.3">
      <c r="A105" s="52" t="s">
        <v>318</v>
      </c>
      <c r="B105" s="54">
        <v>0.1225</v>
      </c>
      <c r="C105" s="52" t="s">
        <v>104</v>
      </c>
      <c r="D105" s="12" t="s">
        <v>319</v>
      </c>
    </row>
    <row r="106" spans="1:4" ht="15" customHeight="1" x14ac:dyDescent="0.3">
      <c r="A106" s="52" t="s">
        <v>320</v>
      </c>
      <c r="B106" s="55">
        <v>60</v>
      </c>
      <c r="C106" s="52" t="s">
        <v>124</v>
      </c>
      <c r="D106" s="12" t="s">
        <v>321</v>
      </c>
    </row>
    <row r="107" spans="1:4" ht="15" customHeight="1" x14ac:dyDescent="0.3">
      <c r="A107" s="52" t="s">
        <v>322</v>
      </c>
      <c r="B107" s="55">
        <v>0</v>
      </c>
      <c r="C107" s="52" t="s">
        <v>111</v>
      </c>
      <c r="D107" s="12" t="s">
        <v>323</v>
      </c>
    </row>
    <row r="108" spans="1:4" ht="15" customHeight="1" x14ac:dyDescent="0.3">
      <c r="A108" s="52" t="s">
        <v>324</v>
      </c>
      <c r="B108" s="55">
        <v>24</v>
      </c>
      <c r="C108" s="52" t="s">
        <v>113</v>
      </c>
      <c r="D108" s="12" t="s">
        <v>325</v>
      </c>
    </row>
    <row r="109" spans="1:4" ht="15" customHeight="1" x14ac:dyDescent="0.3">
      <c r="A109" s="52" t="s">
        <v>326</v>
      </c>
      <c r="B109" s="55">
        <v>6</v>
      </c>
      <c r="C109" s="52" t="s">
        <v>124</v>
      </c>
      <c r="D109" s="12" t="s">
        <v>327</v>
      </c>
    </row>
    <row r="110" spans="1:4" ht="15" customHeight="1" x14ac:dyDescent="0.3">
      <c r="A110" s="52" t="s">
        <v>328</v>
      </c>
      <c r="B110" s="55">
        <v>6</v>
      </c>
      <c r="C110" s="52" t="s">
        <v>124</v>
      </c>
      <c r="D110" s="12" t="s">
        <v>329</v>
      </c>
    </row>
    <row r="111" spans="1:4" ht="15" customHeight="1" x14ac:dyDescent="0.3">
      <c r="A111" s="12" t="s">
        <v>330</v>
      </c>
      <c r="B111" s="56">
        <f>B110*(B101*B102+B104*B105)/12</f>
        <v>27212.5</v>
      </c>
      <c r="C111" s="12" t="s">
        <v>9</v>
      </c>
      <c r="D111" s="12" t="s">
        <v>331</v>
      </c>
    </row>
    <row r="112" spans="1:4" ht="15" customHeight="1" x14ac:dyDescent="0.3">
      <c r="A112" s="51" t="s">
        <v>332</v>
      </c>
      <c r="B112" s="51"/>
      <c r="C112" s="51"/>
      <c r="D112" s="51"/>
    </row>
    <row r="113" spans="1:4" ht="15" customHeight="1" x14ac:dyDescent="0.3">
      <c r="A113" s="52" t="s">
        <v>333</v>
      </c>
      <c r="B113" s="53">
        <v>500000</v>
      </c>
      <c r="C113" s="52" t="s">
        <v>9</v>
      </c>
      <c r="D113" s="12" t="s">
        <v>334</v>
      </c>
    </row>
    <row r="114" spans="1:4" ht="15" customHeight="1" x14ac:dyDescent="0.3">
      <c r="A114" s="12" t="s">
        <v>335</v>
      </c>
      <c r="B114" s="57">
        <v>0</v>
      </c>
      <c r="C114" s="12" t="s">
        <v>336</v>
      </c>
      <c r="D114" s="12" t="s">
        <v>337</v>
      </c>
    </row>
  </sheetData>
  <mergeCells count="3">
    <mergeCell ref="A1:F1"/>
    <mergeCell ref="A2:F2"/>
    <mergeCell ref="G4:Q4"/>
  </mergeCells>
  <dataValidations count="1">
    <dataValidation type="list" sqref="C4" xr:uid="{00000000-0002-0000-0100-000000000000}">
      <formula1>"Debt Case,Sponsor Case,Upside Case"</formula1>
      <formula2>0</formula2>
    </dataValidation>
  </dataValidations>
  <pageMargins left="0.3" right="0.3" top="0.4" bottom="0.4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75569"/>
    <pageSetUpPr fitToPage="1"/>
  </sheetPr>
  <dimension ref="A1:Z3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3.2" x14ac:dyDescent="0.25"/>
  <cols>
    <col min="1" max="23" width="14" customWidth="1"/>
  </cols>
  <sheetData>
    <row r="1" spans="1:26" ht="25.5" customHeight="1" x14ac:dyDescent="0.25">
      <c r="A1" s="58" t="s">
        <v>113</v>
      </c>
      <c r="B1" s="58" t="s">
        <v>100</v>
      </c>
      <c r="C1" s="58" t="s">
        <v>338</v>
      </c>
      <c r="D1" s="58" t="s">
        <v>339</v>
      </c>
      <c r="E1" s="58" t="s">
        <v>340</v>
      </c>
      <c r="F1" s="58" t="s">
        <v>341</v>
      </c>
      <c r="G1" s="58" t="s">
        <v>342</v>
      </c>
      <c r="H1" s="58" t="s">
        <v>343</v>
      </c>
      <c r="I1" s="58" t="s">
        <v>344</v>
      </c>
      <c r="J1" s="58" t="s">
        <v>345</v>
      </c>
      <c r="K1" s="58" t="s">
        <v>346</v>
      </c>
      <c r="L1" s="59" t="s">
        <v>347</v>
      </c>
      <c r="M1" s="59" t="s">
        <v>348</v>
      </c>
      <c r="N1" s="59" t="s">
        <v>349</v>
      </c>
      <c r="O1" s="59" t="s">
        <v>350</v>
      </c>
      <c r="P1" s="59" t="s">
        <v>351</v>
      </c>
      <c r="Q1" s="59" t="s">
        <v>352</v>
      </c>
      <c r="R1" s="59" t="s">
        <v>353</v>
      </c>
      <c r="S1" s="59" t="s">
        <v>354</v>
      </c>
      <c r="T1" s="59" t="s">
        <v>355</v>
      </c>
      <c r="U1" s="59" t="s">
        <v>356</v>
      </c>
      <c r="V1" s="59" t="s">
        <v>357</v>
      </c>
      <c r="W1" s="59" t="s">
        <v>358</v>
      </c>
      <c r="X1" s="59"/>
      <c r="Y1" s="59"/>
      <c r="Z1" s="59"/>
    </row>
    <row r="2" spans="1:26" ht="15" customHeight="1" x14ac:dyDescent="0.3">
      <c r="A2" s="60">
        <v>1</v>
      </c>
      <c r="B2" s="61">
        <f>EDATE(Controls!$B$7,A2-1)</f>
        <v>46204</v>
      </c>
      <c r="C2" s="60" t="str">
        <f t="shared" ref="C2:C37" si="0">TEXT(B2,"mmm-yy")</f>
        <v>Jul-26</v>
      </c>
      <c r="D2" s="62">
        <f>IF(A2&lt;2,0,IF(A2=2,Controls!$B$33/2,Controls!$B$33))</f>
        <v>0</v>
      </c>
      <c r="E2" s="62">
        <f>IF(A2&lt;3,0,IF(A2=3,Controls!$B$34/2,Controls!$B$34))</f>
        <v>0</v>
      </c>
      <c r="F2" s="62">
        <f>IF(A2&lt;4,0,Controls!$B$35)</f>
        <v>0</v>
      </c>
      <c r="G2" s="62">
        <f>0</f>
        <v>0</v>
      </c>
      <c r="H2" s="62">
        <f>0</f>
        <v>0</v>
      </c>
      <c r="I2" s="62">
        <f>0</f>
        <v>0</v>
      </c>
      <c r="J2" s="62">
        <f t="shared" ref="J2:J37" si="1">D2+E2</f>
        <v>0</v>
      </c>
      <c r="K2" s="62">
        <f t="shared" ref="K2:K37" si="2">(G2+D2)/2</f>
        <v>0</v>
      </c>
      <c r="L2" s="62">
        <f t="shared" ref="L2:L37" si="3">(H2+E2)/2</f>
        <v>0</v>
      </c>
      <c r="M2" s="62">
        <f t="shared" ref="M2:M37" si="4">(I2+F2)/2</f>
        <v>0</v>
      </c>
      <c r="N2" s="62">
        <f t="shared" ref="N2:N37" si="5">K2+L2</f>
        <v>0</v>
      </c>
      <c r="O2" s="62">
        <f>MAX(J2,0)</f>
        <v>0</v>
      </c>
      <c r="P2" s="62">
        <f>MAX(F2,0)</f>
        <v>0</v>
      </c>
      <c r="Q2" s="63">
        <f t="shared" ref="Q2:Q37" si="6">--(K2&gt;0)+--(L2&gt;0)</f>
        <v>0</v>
      </c>
      <c r="R2" s="63">
        <f>CEILING(O2/Controls!$B$49,1)</f>
        <v>0</v>
      </c>
      <c r="S2" s="63">
        <f>IF(Controls!$B$45=0,0,N2/(1+Controls!$B$47)*1000000/Controls!$B$45)</f>
        <v>0</v>
      </c>
      <c r="T2" s="63">
        <f>S2*Controls!$B$43*(Controls!$B$36/24)*Controls!$B$10</f>
        <v>0</v>
      </c>
      <c r="U2" s="62">
        <f>K2*Controls!$B$36*DAY(EOMONTH(B2,0))*Controls!$B$10</f>
        <v>0</v>
      </c>
      <c r="V2" s="62">
        <f>MAX(L2*Controls!$B$36-MIN(L2,M2)*Controls!$B$37,0)*DAY(EOMONTH(B2,0))*Controls!$B$10</f>
        <v>0</v>
      </c>
      <c r="W2" s="62">
        <f>MIN(L2,M2)*Controls!$B$37*DAY(EOMONTH(B2,0))*Controls!$B$10</f>
        <v>0</v>
      </c>
      <c r="X2" s="64"/>
      <c r="Y2" s="64"/>
      <c r="Z2" s="64"/>
    </row>
    <row r="3" spans="1:26" ht="15" customHeight="1" x14ac:dyDescent="0.3">
      <c r="A3" s="60">
        <v>2</v>
      </c>
      <c r="B3" s="61">
        <f>EDATE(Controls!$B$7,A3-1)</f>
        <v>46235</v>
      </c>
      <c r="C3" s="60" t="str">
        <f t="shared" si="0"/>
        <v>Aug-26</v>
      </c>
      <c r="D3" s="62">
        <f>IF(A3&lt;2,0,IF(A3=2,Controls!$B$33/2,Controls!$B$33))</f>
        <v>5</v>
      </c>
      <c r="E3" s="62">
        <f>IF(A3&lt;3,0,IF(A3=3,Controls!$B$34/2,Controls!$B$34))</f>
        <v>0</v>
      </c>
      <c r="F3" s="62">
        <f>IF(A3&lt;4,0,Controls!$B$35)</f>
        <v>0</v>
      </c>
      <c r="G3" s="62">
        <f t="shared" ref="G3:G37" si="7">D2</f>
        <v>0</v>
      </c>
      <c r="H3" s="62">
        <f t="shared" ref="H3:H37" si="8">E2</f>
        <v>0</v>
      </c>
      <c r="I3" s="62">
        <f t="shared" ref="I3:I37" si="9">F2</f>
        <v>0</v>
      </c>
      <c r="J3" s="62">
        <f t="shared" si="1"/>
        <v>5</v>
      </c>
      <c r="K3" s="62">
        <f t="shared" si="2"/>
        <v>2.5</v>
      </c>
      <c r="L3" s="62">
        <f t="shared" si="3"/>
        <v>0</v>
      </c>
      <c r="M3" s="62">
        <f t="shared" si="4"/>
        <v>0</v>
      </c>
      <c r="N3" s="62">
        <f t="shared" si="5"/>
        <v>2.5</v>
      </c>
      <c r="O3" s="62">
        <f t="shared" ref="O3:O37" si="10">MAX(J3-J2,0)</f>
        <v>5</v>
      </c>
      <c r="P3" s="62">
        <f t="shared" ref="P3:P37" si="11">MAX(F3-F2,0)</f>
        <v>0</v>
      </c>
      <c r="Q3" s="63">
        <f t="shared" si="6"/>
        <v>1</v>
      </c>
      <c r="R3" s="63">
        <f>CEILING(O3/Controls!$B$49,1)</f>
        <v>3</v>
      </c>
      <c r="S3" s="63">
        <f>IF(Controls!$B$45=0,0,N3/(1+Controls!$B$47)*1000000/Controls!$B$45)</f>
        <v>272.108843537415</v>
      </c>
      <c r="T3" s="63">
        <f>S3*Controls!$B$43*(Controls!$B$36/24)*Controls!$B$10</f>
        <v>144761.90476190476</v>
      </c>
      <c r="U3" s="62">
        <f>K3*Controls!$B$36*DAY(EOMONTH(B3,0))*Controls!$B$10</f>
        <v>1413.6</v>
      </c>
      <c r="V3" s="62">
        <f>MAX(L3*Controls!$B$36-MIN(L3,M3)*Controls!$B$37,0)*DAY(EOMONTH(B3,0))*Controls!$B$10</f>
        <v>0</v>
      </c>
      <c r="W3" s="62">
        <f>MIN(L3,M3)*Controls!$B$37*DAY(EOMONTH(B3,0))*Controls!$B$10</f>
        <v>0</v>
      </c>
      <c r="X3" s="64"/>
      <c r="Y3" s="64"/>
      <c r="Z3" s="64"/>
    </row>
    <row r="4" spans="1:26" ht="15" customHeight="1" x14ac:dyDescent="0.3">
      <c r="A4" s="60">
        <v>3</v>
      </c>
      <c r="B4" s="61">
        <f>EDATE(Controls!$B$7,A4-1)</f>
        <v>46266</v>
      </c>
      <c r="C4" s="60" t="str">
        <f t="shared" si="0"/>
        <v>Sept-26</v>
      </c>
      <c r="D4" s="62">
        <f>IF(A4&lt;2,0,IF(A4=2,Controls!$B$33/2,Controls!$B$33))</f>
        <v>10</v>
      </c>
      <c r="E4" s="62">
        <f>IF(A4&lt;3,0,IF(A4=3,Controls!$B$34/2,Controls!$B$34))</f>
        <v>5</v>
      </c>
      <c r="F4" s="62">
        <f>IF(A4&lt;4,0,Controls!$B$35)</f>
        <v>0</v>
      </c>
      <c r="G4" s="62">
        <f t="shared" si="7"/>
        <v>5</v>
      </c>
      <c r="H4" s="62">
        <f t="shared" si="8"/>
        <v>0</v>
      </c>
      <c r="I4" s="62">
        <f t="shared" si="9"/>
        <v>0</v>
      </c>
      <c r="J4" s="62">
        <f t="shared" si="1"/>
        <v>15</v>
      </c>
      <c r="K4" s="62">
        <f t="shared" si="2"/>
        <v>7.5</v>
      </c>
      <c r="L4" s="62">
        <f t="shared" si="3"/>
        <v>2.5</v>
      </c>
      <c r="M4" s="62">
        <f t="shared" si="4"/>
        <v>0</v>
      </c>
      <c r="N4" s="62">
        <f t="shared" si="5"/>
        <v>10</v>
      </c>
      <c r="O4" s="62">
        <f t="shared" si="10"/>
        <v>10</v>
      </c>
      <c r="P4" s="62">
        <f t="shared" si="11"/>
        <v>0</v>
      </c>
      <c r="Q4" s="63">
        <f t="shared" si="6"/>
        <v>2</v>
      </c>
      <c r="R4" s="63">
        <f>CEILING(O4/Controls!$B$49,1)</f>
        <v>5</v>
      </c>
      <c r="S4" s="63">
        <f>IF(Controls!$B$45=0,0,N4/(1+Controls!$B$47)*1000000/Controls!$B$45)</f>
        <v>1088.43537414966</v>
      </c>
      <c r="T4" s="63">
        <f>S4*Controls!$B$43*(Controls!$B$36/24)*Controls!$B$10</f>
        <v>579047.61904761905</v>
      </c>
      <c r="U4" s="62">
        <f>K4*Controls!$B$36*DAY(EOMONTH(B4,0))*Controls!$B$10</f>
        <v>4104</v>
      </c>
      <c r="V4" s="62">
        <f>MAX(L4*Controls!$B$36-MIN(L4,M4)*Controls!$B$37,0)*DAY(EOMONTH(B4,0))*Controls!$B$10</f>
        <v>1368</v>
      </c>
      <c r="W4" s="62">
        <f>MIN(L4,M4)*Controls!$B$37*DAY(EOMONTH(B4,0))*Controls!$B$10</f>
        <v>0</v>
      </c>
      <c r="X4" s="64"/>
      <c r="Y4" s="64"/>
      <c r="Z4" s="64"/>
    </row>
    <row r="5" spans="1:26" ht="15" customHeight="1" x14ac:dyDescent="0.3">
      <c r="A5" s="60">
        <v>4</v>
      </c>
      <c r="B5" s="61">
        <f>EDATE(Controls!$B$7,A5-1)</f>
        <v>46296</v>
      </c>
      <c r="C5" s="60" t="str">
        <f t="shared" si="0"/>
        <v>Oct-26</v>
      </c>
      <c r="D5" s="62">
        <f>IF(A5&lt;2,0,IF(A5=2,Controls!$B$33/2,Controls!$B$33))</f>
        <v>10</v>
      </c>
      <c r="E5" s="62">
        <f>IF(A5&lt;3,0,IF(A5=3,Controls!$B$34/2,Controls!$B$34))</f>
        <v>10</v>
      </c>
      <c r="F5" s="62">
        <f>IF(A5&lt;4,0,Controls!$B$35)</f>
        <v>10</v>
      </c>
      <c r="G5" s="62">
        <f t="shared" si="7"/>
        <v>10</v>
      </c>
      <c r="H5" s="62">
        <f t="shared" si="8"/>
        <v>5</v>
      </c>
      <c r="I5" s="62">
        <f t="shared" si="9"/>
        <v>0</v>
      </c>
      <c r="J5" s="62">
        <f t="shared" si="1"/>
        <v>20</v>
      </c>
      <c r="K5" s="62">
        <f t="shared" si="2"/>
        <v>10</v>
      </c>
      <c r="L5" s="62">
        <f t="shared" si="3"/>
        <v>7.5</v>
      </c>
      <c r="M5" s="62">
        <f t="shared" si="4"/>
        <v>5</v>
      </c>
      <c r="N5" s="62">
        <f t="shared" si="5"/>
        <v>17.5</v>
      </c>
      <c r="O5" s="62">
        <f t="shared" si="10"/>
        <v>5</v>
      </c>
      <c r="P5" s="62">
        <f t="shared" si="11"/>
        <v>10</v>
      </c>
      <c r="Q5" s="63">
        <f t="shared" si="6"/>
        <v>2</v>
      </c>
      <c r="R5" s="63">
        <f>CEILING(O5/Controls!$B$49,1)</f>
        <v>3</v>
      </c>
      <c r="S5" s="63">
        <f>IF(Controls!$B$45=0,0,N5/(1+Controls!$B$47)*1000000/Controls!$B$45)</f>
        <v>1904.7619047619046</v>
      </c>
      <c r="T5" s="63">
        <f>S5*Controls!$B$43*(Controls!$B$36/24)*Controls!$B$10</f>
        <v>1013333.3333333333</v>
      </c>
      <c r="U5" s="62">
        <f>K5*Controls!$B$36*DAY(EOMONTH(B5,0))*Controls!$B$10</f>
        <v>5654.4</v>
      </c>
      <c r="V5" s="62">
        <f>MAX(L5*Controls!$B$36-MIN(L5,M5)*Controls!$B$37,0)*DAY(EOMONTH(B5,0))*Controls!$B$10</f>
        <v>2901.6</v>
      </c>
      <c r="W5" s="62">
        <f>MIN(L5,M5)*Controls!$B$37*DAY(EOMONTH(B5,0))*Controls!$B$10</f>
        <v>1339.2</v>
      </c>
      <c r="X5" s="64"/>
      <c r="Y5" s="64"/>
      <c r="Z5" s="64"/>
    </row>
    <row r="6" spans="1:26" ht="15" customHeight="1" x14ac:dyDescent="0.3">
      <c r="A6" s="60">
        <v>5</v>
      </c>
      <c r="B6" s="61">
        <f>EDATE(Controls!$B$7,A6-1)</f>
        <v>46327</v>
      </c>
      <c r="C6" s="60" t="str">
        <f t="shared" si="0"/>
        <v>Nov-26</v>
      </c>
      <c r="D6" s="62">
        <f>IF(A6&lt;2,0,IF(A6=2,Controls!$B$33/2,Controls!$B$33))</f>
        <v>10</v>
      </c>
      <c r="E6" s="62">
        <f>IF(A6&lt;3,0,IF(A6=3,Controls!$B$34/2,Controls!$B$34))</f>
        <v>10</v>
      </c>
      <c r="F6" s="62">
        <f>IF(A6&lt;4,0,Controls!$B$35)</f>
        <v>10</v>
      </c>
      <c r="G6" s="62">
        <f t="shared" si="7"/>
        <v>10</v>
      </c>
      <c r="H6" s="62">
        <f t="shared" si="8"/>
        <v>10</v>
      </c>
      <c r="I6" s="62">
        <f t="shared" si="9"/>
        <v>10</v>
      </c>
      <c r="J6" s="62">
        <f t="shared" si="1"/>
        <v>20</v>
      </c>
      <c r="K6" s="62">
        <f t="shared" si="2"/>
        <v>10</v>
      </c>
      <c r="L6" s="62">
        <f t="shared" si="3"/>
        <v>10</v>
      </c>
      <c r="M6" s="62">
        <f t="shared" si="4"/>
        <v>10</v>
      </c>
      <c r="N6" s="62">
        <f t="shared" si="5"/>
        <v>20</v>
      </c>
      <c r="O6" s="62">
        <f t="shared" si="10"/>
        <v>0</v>
      </c>
      <c r="P6" s="62">
        <f t="shared" si="11"/>
        <v>0</v>
      </c>
      <c r="Q6" s="63">
        <f t="shared" si="6"/>
        <v>2</v>
      </c>
      <c r="R6" s="63">
        <f>CEILING(O6/Controls!$B$49,1)</f>
        <v>0</v>
      </c>
      <c r="S6" s="63">
        <f>IF(Controls!$B$45=0,0,N6/(1+Controls!$B$47)*1000000/Controls!$B$45)</f>
        <v>2176.87074829932</v>
      </c>
      <c r="T6" s="63">
        <f>S6*Controls!$B$43*(Controls!$B$36/24)*Controls!$B$10</f>
        <v>1158095.2380952381</v>
      </c>
      <c r="U6" s="62">
        <f>K6*Controls!$B$36*DAY(EOMONTH(B6,0))*Controls!$B$10</f>
        <v>5472</v>
      </c>
      <c r="V6" s="62">
        <f>MAX(L6*Controls!$B$36-MIN(L6,M6)*Controls!$B$37,0)*DAY(EOMONTH(B6,0))*Controls!$B$10</f>
        <v>2880</v>
      </c>
      <c r="W6" s="62">
        <f>MIN(L6,M6)*Controls!$B$37*DAY(EOMONTH(B6,0))*Controls!$B$10</f>
        <v>2592</v>
      </c>
      <c r="X6" s="64"/>
      <c r="Y6" s="64"/>
      <c r="Z6" s="64"/>
    </row>
    <row r="7" spans="1:26" ht="15" customHeight="1" x14ac:dyDescent="0.3">
      <c r="A7" s="60">
        <v>6</v>
      </c>
      <c r="B7" s="61">
        <f>EDATE(Controls!$B$7,A7-1)</f>
        <v>46357</v>
      </c>
      <c r="C7" s="60" t="str">
        <f t="shared" si="0"/>
        <v>Dec-26</v>
      </c>
      <c r="D7" s="62">
        <f>IF(A7&lt;2,0,IF(A7=2,Controls!$B$33/2,Controls!$B$33))</f>
        <v>10</v>
      </c>
      <c r="E7" s="62">
        <f>IF(A7&lt;3,0,IF(A7=3,Controls!$B$34/2,Controls!$B$34))</f>
        <v>10</v>
      </c>
      <c r="F7" s="62">
        <f>IF(A7&lt;4,0,Controls!$B$35)</f>
        <v>10</v>
      </c>
      <c r="G7" s="62">
        <f t="shared" si="7"/>
        <v>10</v>
      </c>
      <c r="H7" s="62">
        <f t="shared" si="8"/>
        <v>10</v>
      </c>
      <c r="I7" s="62">
        <f t="shared" si="9"/>
        <v>10</v>
      </c>
      <c r="J7" s="62">
        <f t="shared" si="1"/>
        <v>20</v>
      </c>
      <c r="K7" s="62">
        <f t="shared" si="2"/>
        <v>10</v>
      </c>
      <c r="L7" s="62">
        <f t="shared" si="3"/>
        <v>10</v>
      </c>
      <c r="M7" s="62">
        <f t="shared" si="4"/>
        <v>10</v>
      </c>
      <c r="N7" s="62">
        <f t="shared" si="5"/>
        <v>20</v>
      </c>
      <c r="O7" s="62">
        <f t="shared" si="10"/>
        <v>0</v>
      </c>
      <c r="P7" s="62">
        <f t="shared" si="11"/>
        <v>0</v>
      </c>
      <c r="Q7" s="63">
        <f t="shared" si="6"/>
        <v>2</v>
      </c>
      <c r="R7" s="63">
        <f>CEILING(O7/Controls!$B$49,1)</f>
        <v>0</v>
      </c>
      <c r="S7" s="63">
        <f>IF(Controls!$B$45=0,0,N7/(1+Controls!$B$47)*1000000/Controls!$B$45)</f>
        <v>2176.87074829932</v>
      </c>
      <c r="T7" s="63">
        <f>S7*Controls!$B$43*(Controls!$B$36/24)*Controls!$B$10</f>
        <v>1158095.2380952381</v>
      </c>
      <c r="U7" s="62">
        <f>K7*Controls!$B$36*DAY(EOMONTH(B7,0))*Controls!$B$10</f>
        <v>5654.4</v>
      </c>
      <c r="V7" s="62">
        <f>MAX(L7*Controls!$B$36-MIN(L7,M7)*Controls!$B$37,0)*DAY(EOMONTH(B7,0))*Controls!$B$10</f>
        <v>2976</v>
      </c>
      <c r="W7" s="62">
        <f>MIN(L7,M7)*Controls!$B$37*DAY(EOMONTH(B7,0))*Controls!$B$10</f>
        <v>2678.4</v>
      </c>
      <c r="X7" s="64"/>
      <c r="Y7" s="64"/>
      <c r="Z7" s="64"/>
    </row>
    <row r="8" spans="1:26" ht="15" customHeight="1" x14ac:dyDescent="0.3">
      <c r="A8" s="60">
        <v>7</v>
      </c>
      <c r="B8" s="61">
        <f>EDATE(Controls!$B$7,A8-1)</f>
        <v>46388</v>
      </c>
      <c r="C8" s="60" t="str">
        <f t="shared" si="0"/>
        <v>Jan-27</v>
      </c>
      <c r="D8" s="62">
        <f>IF(A8&lt;2,0,IF(A8=2,Controls!$B$33/2,Controls!$B$33))</f>
        <v>10</v>
      </c>
      <c r="E8" s="62">
        <f>IF(A8&lt;3,0,IF(A8=3,Controls!$B$34/2,Controls!$B$34))</f>
        <v>10</v>
      </c>
      <c r="F8" s="62">
        <f>IF(A8&lt;4,0,Controls!$B$35)</f>
        <v>10</v>
      </c>
      <c r="G8" s="62">
        <f t="shared" si="7"/>
        <v>10</v>
      </c>
      <c r="H8" s="62">
        <f t="shared" si="8"/>
        <v>10</v>
      </c>
      <c r="I8" s="62">
        <f t="shared" si="9"/>
        <v>10</v>
      </c>
      <c r="J8" s="62">
        <f t="shared" si="1"/>
        <v>20</v>
      </c>
      <c r="K8" s="62">
        <f t="shared" si="2"/>
        <v>10</v>
      </c>
      <c r="L8" s="62">
        <f t="shared" si="3"/>
        <v>10</v>
      </c>
      <c r="M8" s="62">
        <f t="shared" si="4"/>
        <v>10</v>
      </c>
      <c r="N8" s="62">
        <f t="shared" si="5"/>
        <v>20</v>
      </c>
      <c r="O8" s="62">
        <f t="shared" si="10"/>
        <v>0</v>
      </c>
      <c r="P8" s="62">
        <f t="shared" si="11"/>
        <v>0</v>
      </c>
      <c r="Q8" s="63">
        <f t="shared" si="6"/>
        <v>2</v>
      </c>
      <c r="R8" s="63">
        <f>CEILING(O8/Controls!$B$49,1)</f>
        <v>0</v>
      </c>
      <c r="S8" s="63">
        <f>IF(Controls!$B$45=0,0,N8/(1+Controls!$B$47)*1000000/Controls!$B$45)</f>
        <v>2176.87074829932</v>
      </c>
      <c r="T8" s="63">
        <f>S8*Controls!$B$43*(Controls!$B$36/24)*Controls!$B$10</f>
        <v>1158095.2380952381</v>
      </c>
      <c r="U8" s="62">
        <f>K8*Controls!$B$36*DAY(EOMONTH(B8,0))*Controls!$B$10</f>
        <v>5654.4</v>
      </c>
      <c r="V8" s="62">
        <f>MAX(L8*Controls!$B$36-MIN(L8,M8)*Controls!$B$37,0)*DAY(EOMONTH(B8,0))*Controls!$B$10</f>
        <v>2976</v>
      </c>
      <c r="W8" s="62">
        <f>MIN(L8,M8)*Controls!$B$37*DAY(EOMONTH(B8,0))*Controls!$B$10</f>
        <v>2678.4</v>
      </c>
      <c r="X8" s="64"/>
      <c r="Y8" s="64"/>
      <c r="Z8" s="64"/>
    </row>
    <row r="9" spans="1:26" ht="15" customHeight="1" x14ac:dyDescent="0.3">
      <c r="A9" s="60">
        <v>8</v>
      </c>
      <c r="B9" s="61">
        <f>EDATE(Controls!$B$7,A9-1)</f>
        <v>46419</v>
      </c>
      <c r="C9" s="60" t="str">
        <f t="shared" si="0"/>
        <v>Feb-27</v>
      </c>
      <c r="D9" s="62">
        <f>IF(A9&lt;2,0,IF(A9=2,Controls!$B$33/2,Controls!$B$33))</f>
        <v>10</v>
      </c>
      <c r="E9" s="62">
        <f>IF(A9&lt;3,0,IF(A9=3,Controls!$B$34/2,Controls!$B$34))</f>
        <v>10</v>
      </c>
      <c r="F9" s="62">
        <f>IF(A9&lt;4,0,Controls!$B$35)</f>
        <v>10</v>
      </c>
      <c r="G9" s="62">
        <f t="shared" si="7"/>
        <v>10</v>
      </c>
      <c r="H9" s="62">
        <f t="shared" si="8"/>
        <v>10</v>
      </c>
      <c r="I9" s="62">
        <f t="shared" si="9"/>
        <v>10</v>
      </c>
      <c r="J9" s="62">
        <f t="shared" si="1"/>
        <v>20</v>
      </c>
      <c r="K9" s="62">
        <f t="shared" si="2"/>
        <v>10</v>
      </c>
      <c r="L9" s="62">
        <f t="shared" si="3"/>
        <v>10</v>
      </c>
      <c r="M9" s="62">
        <f t="shared" si="4"/>
        <v>10</v>
      </c>
      <c r="N9" s="62">
        <f t="shared" si="5"/>
        <v>20</v>
      </c>
      <c r="O9" s="62">
        <f t="shared" si="10"/>
        <v>0</v>
      </c>
      <c r="P9" s="62">
        <f t="shared" si="11"/>
        <v>0</v>
      </c>
      <c r="Q9" s="63">
        <f t="shared" si="6"/>
        <v>2</v>
      </c>
      <c r="R9" s="63">
        <f>CEILING(O9/Controls!$B$49,1)</f>
        <v>0</v>
      </c>
      <c r="S9" s="63">
        <f>IF(Controls!$B$45=0,0,N9/(1+Controls!$B$47)*1000000/Controls!$B$45)</f>
        <v>2176.87074829932</v>
      </c>
      <c r="T9" s="63">
        <f>S9*Controls!$B$43*(Controls!$B$36/24)*Controls!$B$10</f>
        <v>1158095.2380952381</v>
      </c>
      <c r="U9" s="62">
        <f>K9*Controls!$B$36*DAY(EOMONTH(B9,0))*Controls!$B$10</f>
        <v>5107.2</v>
      </c>
      <c r="V9" s="62">
        <f>MAX(L9*Controls!$B$36-MIN(L9,M9)*Controls!$B$37,0)*DAY(EOMONTH(B9,0))*Controls!$B$10</f>
        <v>2688</v>
      </c>
      <c r="W9" s="62">
        <f>MIN(L9,M9)*Controls!$B$37*DAY(EOMONTH(B9,0))*Controls!$B$10</f>
        <v>2419.1999999999998</v>
      </c>
      <c r="X9" s="64"/>
      <c r="Y9" s="64"/>
      <c r="Z9" s="64"/>
    </row>
    <row r="10" spans="1:26" ht="15" customHeight="1" x14ac:dyDescent="0.3">
      <c r="A10" s="60">
        <v>9</v>
      </c>
      <c r="B10" s="61">
        <f>EDATE(Controls!$B$7,A10-1)</f>
        <v>46447</v>
      </c>
      <c r="C10" s="60" t="str">
        <f t="shared" si="0"/>
        <v>Mar-27</v>
      </c>
      <c r="D10" s="62">
        <f>IF(A10&lt;2,0,IF(A10=2,Controls!$B$33/2,Controls!$B$33))</f>
        <v>10</v>
      </c>
      <c r="E10" s="62">
        <f>IF(A10&lt;3,0,IF(A10=3,Controls!$B$34/2,Controls!$B$34))</f>
        <v>10</v>
      </c>
      <c r="F10" s="62">
        <f>IF(A10&lt;4,0,Controls!$B$35)</f>
        <v>10</v>
      </c>
      <c r="G10" s="62">
        <f t="shared" si="7"/>
        <v>10</v>
      </c>
      <c r="H10" s="62">
        <f t="shared" si="8"/>
        <v>10</v>
      </c>
      <c r="I10" s="62">
        <f t="shared" si="9"/>
        <v>10</v>
      </c>
      <c r="J10" s="62">
        <f t="shared" si="1"/>
        <v>20</v>
      </c>
      <c r="K10" s="62">
        <f t="shared" si="2"/>
        <v>10</v>
      </c>
      <c r="L10" s="62">
        <f t="shared" si="3"/>
        <v>10</v>
      </c>
      <c r="M10" s="62">
        <f t="shared" si="4"/>
        <v>10</v>
      </c>
      <c r="N10" s="62">
        <f t="shared" si="5"/>
        <v>20</v>
      </c>
      <c r="O10" s="62">
        <f t="shared" si="10"/>
        <v>0</v>
      </c>
      <c r="P10" s="62">
        <f t="shared" si="11"/>
        <v>0</v>
      </c>
      <c r="Q10" s="63">
        <f t="shared" si="6"/>
        <v>2</v>
      </c>
      <c r="R10" s="63">
        <f>CEILING(O10/Controls!$B$49,1)</f>
        <v>0</v>
      </c>
      <c r="S10" s="63">
        <f>IF(Controls!$B$45=0,0,N10/(1+Controls!$B$47)*1000000/Controls!$B$45)</f>
        <v>2176.87074829932</v>
      </c>
      <c r="T10" s="63">
        <f>S10*Controls!$B$43*(Controls!$B$36/24)*Controls!$B$10</f>
        <v>1158095.2380952381</v>
      </c>
      <c r="U10" s="62">
        <f>K10*Controls!$B$36*DAY(EOMONTH(B10,0))*Controls!$B$10</f>
        <v>5654.4</v>
      </c>
      <c r="V10" s="62">
        <f>MAX(L10*Controls!$B$36-MIN(L10,M10)*Controls!$B$37,0)*DAY(EOMONTH(B10,0))*Controls!$B$10</f>
        <v>2976</v>
      </c>
      <c r="W10" s="62">
        <f>MIN(L10,M10)*Controls!$B$37*DAY(EOMONTH(B10,0))*Controls!$B$10</f>
        <v>2678.4</v>
      </c>
      <c r="X10" s="64"/>
      <c r="Y10" s="64"/>
      <c r="Z10" s="64"/>
    </row>
    <row r="11" spans="1:26" ht="15" customHeight="1" x14ac:dyDescent="0.3">
      <c r="A11" s="60">
        <v>10</v>
      </c>
      <c r="B11" s="61">
        <f>EDATE(Controls!$B$7,A11-1)</f>
        <v>46478</v>
      </c>
      <c r="C11" s="60" t="str">
        <f t="shared" si="0"/>
        <v>Apr-27</v>
      </c>
      <c r="D11" s="62">
        <f>IF(A11&lt;2,0,IF(A11=2,Controls!$B$33/2,Controls!$B$33))</f>
        <v>10</v>
      </c>
      <c r="E11" s="62">
        <f>IF(A11&lt;3,0,IF(A11=3,Controls!$B$34/2,Controls!$B$34))</f>
        <v>10</v>
      </c>
      <c r="F11" s="62">
        <f>IF(A11&lt;4,0,Controls!$B$35)</f>
        <v>10</v>
      </c>
      <c r="G11" s="62">
        <f t="shared" si="7"/>
        <v>10</v>
      </c>
      <c r="H11" s="62">
        <f t="shared" si="8"/>
        <v>10</v>
      </c>
      <c r="I11" s="62">
        <f t="shared" si="9"/>
        <v>10</v>
      </c>
      <c r="J11" s="62">
        <f t="shared" si="1"/>
        <v>20</v>
      </c>
      <c r="K11" s="62">
        <f t="shared" si="2"/>
        <v>10</v>
      </c>
      <c r="L11" s="62">
        <f t="shared" si="3"/>
        <v>10</v>
      </c>
      <c r="M11" s="62">
        <f t="shared" si="4"/>
        <v>10</v>
      </c>
      <c r="N11" s="62">
        <f t="shared" si="5"/>
        <v>20</v>
      </c>
      <c r="O11" s="62">
        <f t="shared" si="10"/>
        <v>0</v>
      </c>
      <c r="P11" s="62">
        <f t="shared" si="11"/>
        <v>0</v>
      </c>
      <c r="Q11" s="63">
        <f t="shared" si="6"/>
        <v>2</v>
      </c>
      <c r="R11" s="63">
        <f>CEILING(O11/Controls!$B$49,1)</f>
        <v>0</v>
      </c>
      <c r="S11" s="63">
        <f>IF(Controls!$B$45=0,0,N11/(1+Controls!$B$47)*1000000/Controls!$B$45)</f>
        <v>2176.87074829932</v>
      </c>
      <c r="T11" s="63">
        <f>S11*Controls!$B$43*(Controls!$B$36/24)*Controls!$B$10</f>
        <v>1158095.2380952381</v>
      </c>
      <c r="U11" s="62">
        <f>K11*Controls!$B$36*DAY(EOMONTH(B11,0))*Controls!$B$10</f>
        <v>5472</v>
      </c>
      <c r="V11" s="62">
        <f>MAX(L11*Controls!$B$36-MIN(L11,M11)*Controls!$B$37,0)*DAY(EOMONTH(B11,0))*Controls!$B$10</f>
        <v>2880</v>
      </c>
      <c r="W11" s="62">
        <f>MIN(L11,M11)*Controls!$B$37*DAY(EOMONTH(B11,0))*Controls!$B$10</f>
        <v>2592</v>
      </c>
      <c r="X11" s="64"/>
      <c r="Y11" s="64"/>
      <c r="Z11" s="64"/>
    </row>
    <row r="12" spans="1:26" ht="15" customHeight="1" x14ac:dyDescent="0.3">
      <c r="A12" s="60">
        <v>11</v>
      </c>
      <c r="B12" s="61">
        <f>EDATE(Controls!$B$7,A12-1)</f>
        <v>46508</v>
      </c>
      <c r="C12" s="60" t="str">
        <f t="shared" si="0"/>
        <v>May-27</v>
      </c>
      <c r="D12" s="62">
        <f>IF(A12&lt;2,0,IF(A12=2,Controls!$B$33/2,Controls!$B$33))</f>
        <v>10</v>
      </c>
      <c r="E12" s="62">
        <f>IF(A12&lt;3,0,IF(A12=3,Controls!$B$34/2,Controls!$B$34))</f>
        <v>10</v>
      </c>
      <c r="F12" s="62">
        <f>IF(A12&lt;4,0,Controls!$B$35)</f>
        <v>10</v>
      </c>
      <c r="G12" s="62">
        <f t="shared" si="7"/>
        <v>10</v>
      </c>
      <c r="H12" s="62">
        <f t="shared" si="8"/>
        <v>10</v>
      </c>
      <c r="I12" s="62">
        <f t="shared" si="9"/>
        <v>10</v>
      </c>
      <c r="J12" s="62">
        <f t="shared" si="1"/>
        <v>20</v>
      </c>
      <c r="K12" s="62">
        <f t="shared" si="2"/>
        <v>10</v>
      </c>
      <c r="L12" s="62">
        <f t="shared" si="3"/>
        <v>10</v>
      </c>
      <c r="M12" s="62">
        <f t="shared" si="4"/>
        <v>10</v>
      </c>
      <c r="N12" s="62">
        <f t="shared" si="5"/>
        <v>20</v>
      </c>
      <c r="O12" s="62">
        <f t="shared" si="10"/>
        <v>0</v>
      </c>
      <c r="P12" s="62">
        <f t="shared" si="11"/>
        <v>0</v>
      </c>
      <c r="Q12" s="63">
        <f t="shared" si="6"/>
        <v>2</v>
      </c>
      <c r="R12" s="63">
        <f>CEILING(O12/Controls!$B$49,1)</f>
        <v>0</v>
      </c>
      <c r="S12" s="63">
        <f>IF(Controls!$B$45=0,0,N12/(1+Controls!$B$47)*1000000/Controls!$B$45)</f>
        <v>2176.87074829932</v>
      </c>
      <c r="T12" s="63">
        <f>S12*Controls!$B$43*(Controls!$B$36/24)*Controls!$B$10</f>
        <v>1158095.2380952381</v>
      </c>
      <c r="U12" s="62">
        <f>K12*Controls!$B$36*DAY(EOMONTH(B12,0))*Controls!$B$10</f>
        <v>5654.4</v>
      </c>
      <c r="V12" s="62">
        <f>MAX(L12*Controls!$B$36-MIN(L12,M12)*Controls!$B$37,0)*DAY(EOMONTH(B12,0))*Controls!$B$10</f>
        <v>2976</v>
      </c>
      <c r="W12" s="62">
        <f>MIN(L12,M12)*Controls!$B$37*DAY(EOMONTH(B12,0))*Controls!$B$10</f>
        <v>2678.4</v>
      </c>
      <c r="X12" s="64"/>
      <c r="Y12" s="64"/>
      <c r="Z12" s="64"/>
    </row>
    <row r="13" spans="1:26" ht="15" customHeight="1" x14ac:dyDescent="0.3">
      <c r="A13" s="60">
        <v>12</v>
      </c>
      <c r="B13" s="61">
        <f>EDATE(Controls!$B$7,A13-1)</f>
        <v>46539</v>
      </c>
      <c r="C13" s="60" t="str">
        <f t="shared" si="0"/>
        <v>Jun-27</v>
      </c>
      <c r="D13" s="62">
        <f>IF(A13&lt;2,0,IF(A13=2,Controls!$B$33/2,Controls!$B$33))</f>
        <v>10</v>
      </c>
      <c r="E13" s="62">
        <f>IF(A13&lt;3,0,IF(A13=3,Controls!$B$34/2,Controls!$B$34))</f>
        <v>10</v>
      </c>
      <c r="F13" s="62">
        <f>IF(A13&lt;4,0,Controls!$B$35)</f>
        <v>10</v>
      </c>
      <c r="G13" s="62">
        <f t="shared" si="7"/>
        <v>10</v>
      </c>
      <c r="H13" s="62">
        <f t="shared" si="8"/>
        <v>10</v>
      </c>
      <c r="I13" s="62">
        <f t="shared" si="9"/>
        <v>10</v>
      </c>
      <c r="J13" s="62">
        <f t="shared" si="1"/>
        <v>20</v>
      </c>
      <c r="K13" s="62">
        <f t="shared" si="2"/>
        <v>10</v>
      </c>
      <c r="L13" s="62">
        <f t="shared" si="3"/>
        <v>10</v>
      </c>
      <c r="M13" s="62">
        <f t="shared" si="4"/>
        <v>10</v>
      </c>
      <c r="N13" s="62">
        <f t="shared" si="5"/>
        <v>20</v>
      </c>
      <c r="O13" s="62">
        <f t="shared" si="10"/>
        <v>0</v>
      </c>
      <c r="P13" s="62">
        <f t="shared" si="11"/>
        <v>0</v>
      </c>
      <c r="Q13" s="63">
        <f t="shared" si="6"/>
        <v>2</v>
      </c>
      <c r="R13" s="63">
        <f>CEILING(O13/Controls!$B$49,1)</f>
        <v>0</v>
      </c>
      <c r="S13" s="63">
        <f>IF(Controls!$B$45=0,0,N13/(1+Controls!$B$47)*1000000/Controls!$B$45)</f>
        <v>2176.87074829932</v>
      </c>
      <c r="T13" s="63">
        <f>S13*Controls!$B$43*(Controls!$B$36/24)*Controls!$B$10</f>
        <v>1158095.2380952381</v>
      </c>
      <c r="U13" s="62">
        <f>K13*Controls!$B$36*DAY(EOMONTH(B13,0))*Controls!$B$10</f>
        <v>5472</v>
      </c>
      <c r="V13" s="62">
        <f>MAX(L13*Controls!$B$36-MIN(L13,M13)*Controls!$B$37,0)*DAY(EOMONTH(B13,0))*Controls!$B$10</f>
        <v>2880</v>
      </c>
      <c r="W13" s="62">
        <f>MIN(L13,M13)*Controls!$B$37*DAY(EOMONTH(B13,0))*Controls!$B$10</f>
        <v>2592</v>
      </c>
      <c r="X13" s="64"/>
      <c r="Y13" s="64"/>
      <c r="Z13" s="64"/>
    </row>
    <row r="14" spans="1:26" ht="15" customHeight="1" x14ac:dyDescent="0.3">
      <c r="A14" s="60">
        <v>13</v>
      </c>
      <c r="B14" s="61">
        <f>EDATE(Controls!$B$7,A14-1)</f>
        <v>46569</v>
      </c>
      <c r="C14" s="60" t="str">
        <f t="shared" si="0"/>
        <v>Jul-27</v>
      </c>
      <c r="D14" s="62">
        <f>IF(A14&lt;2,0,IF(A14=2,Controls!$B$33/2,Controls!$B$33))</f>
        <v>10</v>
      </c>
      <c r="E14" s="62">
        <f>IF(A14&lt;3,0,IF(A14=3,Controls!$B$34/2,Controls!$B$34))</f>
        <v>10</v>
      </c>
      <c r="F14" s="62">
        <f>IF(A14&lt;4,0,Controls!$B$35)</f>
        <v>10</v>
      </c>
      <c r="G14" s="62">
        <f t="shared" si="7"/>
        <v>10</v>
      </c>
      <c r="H14" s="62">
        <f t="shared" si="8"/>
        <v>10</v>
      </c>
      <c r="I14" s="62">
        <f t="shared" si="9"/>
        <v>10</v>
      </c>
      <c r="J14" s="62">
        <f t="shared" si="1"/>
        <v>20</v>
      </c>
      <c r="K14" s="62">
        <f t="shared" si="2"/>
        <v>10</v>
      </c>
      <c r="L14" s="62">
        <f t="shared" si="3"/>
        <v>10</v>
      </c>
      <c r="M14" s="62">
        <f t="shared" si="4"/>
        <v>10</v>
      </c>
      <c r="N14" s="62">
        <f t="shared" si="5"/>
        <v>20</v>
      </c>
      <c r="O14" s="62">
        <f t="shared" si="10"/>
        <v>0</v>
      </c>
      <c r="P14" s="62">
        <f t="shared" si="11"/>
        <v>0</v>
      </c>
      <c r="Q14" s="63">
        <f t="shared" si="6"/>
        <v>2</v>
      </c>
      <c r="R14" s="63">
        <f>CEILING(O14/Controls!$B$49,1)</f>
        <v>0</v>
      </c>
      <c r="S14" s="63">
        <f>IF(Controls!$B$45=0,0,N14/(1+Controls!$B$47)*1000000/Controls!$B$45)</f>
        <v>2176.87074829932</v>
      </c>
      <c r="T14" s="63">
        <f>S14*Controls!$B$43*(Controls!$B$36/24)*Controls!$B$10</f>
        <v>1158095.2380952381</v>
      </c>
      <c r="U14" s="62">
        <f>K14*Controls!$B$36*DAY(EOMONTH(B14,0))*Controls!$B$10</f>
        <v>5654.4</v>
      </c>
      <c r="V14" s="62">
        <f>MAX(L14*Controls!$B$36-MIN(L14,M14)*Controls!$B$37,0)*DAY(EOMONTH(B14,0))*Controls!$B$10</f>
        <v>2976</v>
      </c>
      <c r="W14" s="62">
        <f>MIN(L14,M14)*Controls!$B$37*DAY(EOMONTH(B14,0))*Controls!$B$10</f>
        <v>2678.4</v>
      </c>
      <c r="X14" s="64"/>
      <c r="Y14" s="64"/>
      <c r="Z14" s="64"/>
    </row>
    <row r="15" spans="1:26" ht="15" customHeight="1" x14ac:dyDescent="0.3">
      <c r="A15" s="60">
        <v>14</v>
      </c>
      <c r="B15" s="61">
        <f>EDATE(Controls!$B$7,A15-1)</f>
        <v>46600</v>
      </c>
      <c r="C15" s="60" t="str">
        <f t="shared" si="0"/>
        <v>Aug-27</v>
      </c>
      <c r="D15" s="62">
        <f>IF(A15&lt;2,0,IF(A15=2,Controls!$B$33/2,Controls!$B$33))</f>
        <v>10</v>
      </c>
      <c r="E15" s="62">
        <f>IF(A15&lt;3,0,IF(A15=3,Controls!$B$34/2,Controls!$B$34))</f>
        <v>10</v>
      </c>
      <c r="F15" s="62">
        <f>IF(A15&lt;4,0,Controls!$B$35)</f>
        <v>10</v>
      </c>
      <c r="G15" s="62">
        <f t="shared" si="7"/>
        <v>10</v>
      </c>
      <c r="H15" s="62">
        <f t="shared" si="8"/>
        <v>10</v>
      </c>
      <c r="I15" s="62">
        <f t="shared" si="9"/>
        <v>10</v>
      </c>
      <c r="J15" s="62">
        <f t="shared" si="1"/>
        <v>20</v>
      </c>
      <c r="K15" s="62">
        <f t="shared" si="2"/>
        <v>10</v>
      </c>
      <c r="L15" s="62">
        <f t="shared" si="3"/>
        <v>10</v>
      </c>
      <c r="M15" s="62">
        <f t="shared" si="4"/>
        <v>10</v>
      </c>
      <c r="N15" s="62">
        <f t="shared" si="5"/>
        <v>20</v>
      </c>
      <c r="O15" s="62">
        <f t="shared" si="10"/>
        <v>0</v>
      </c>
      <c r="P15" s="62">
        <f t="shared" si="11"/>
        <v>0</v>
      </c>
      <c r="Q15" s="63">
        <f t="shared" si="6"/>
        <v>2</v>
      </c>
      <c r="R15" s="63">
        <f>CEILING(O15/Controls!$B$49,1)</f>
        <v>0</v>
      </c>
      <c r="S15" s="63">
        <f>IF(Controls!$B$45=0,0,N15/(1+Controls!$B$47)*1000000/Controls!$B$45)</f>
        <v>2176.87074829932</v>
      </c>
      <c r="T15" s="63">
        <f>S15*Controls!$B$43*(Controls!$B$36/24)*Controls!$B$10</f>
        <v>1158095.2380952381</v>
      </c>
      <c r="U15" s="62">
        <f>K15*Controls!$B$36*DAY(EOMONTH(B15,0))*Controls!$B$10</f>
        <v>5654.4</v>
      </c>
      <c r="V15" s="62">
        <f>MAX(L15*Controls!$B$36-MIN(L15,M15)*Controls!$B$37,0)*DAY(EOMONTH(B15,0))*Controls!$B$10</f>
        <v>2976</v>
      </c>
      <c r="W15" s="62">
        <f>MIN(L15,M15)*Controls!$B$37*DAY(EOMONTH(B15,0))*Controls!$B$10</f>
        <v>2678.4</v>
      </c>
      <c r="X15" s="64"/>
      <c r="Y15" s="64"/>
      <c r="Z15" s="64"/>
    </row>
    <row r="16" spans="1:26" ht="15" customHeight="1" x14ac:dyDescent="0.3">
      <c r="A16" s="60">
        <v>15</v>
      </c>
      <c r="B16" s="61">
        <f>EDATE(Controls!$B$7,A16-1)</f>
        <v>46631</v>
      </c>
      <c r="C16" s="60" t="str">
        <f t="shared" si="0"/>
        <v>Sept-27</v>
      </c>
      <c r="D16" s="62">
        <f>IF(A16&lt;2,0,IF(A16=2,Controls!$B$33/2,Controls!$B$33))</f>
        <v>10</v>
      </c>
      <c r="E16" s="62">
        <f>IF(A16&lt;3,0,IF(A16=3,Controls!$B$34/2,Controls!$B$34))</f>
        <v>10</v>
      </c>
      <c r="F16" s="62">
        <f>IF(A16&lt;4,0,Controls!$B$35)</f>
        <v>10</v>
      </c>
      <c r="G16" s="62">
        <f t="shared" si="7"/>
        <v>10</v>
      </c>
      <c r="H16" s="62">
        <f t="shared" si="8"/>
        <v>10</v>
      </c>
      <c r="I16" s="62">
        <f t="shared" si="9"/>
        <v>10</v>
      </c>
      <c r="J16" s="62">
        <f t="shared" si="1"/>
        <v>20</v>
      </c>
      <c r="K16" s="62">
        <f t="shared" si="2"/>
        <v>10</v>
      </c>
      <c r="L16" s="62">
        <f t="shared" si="3"/>
        <v>10</v>
      </c>
      <c r="M16" s="62">
        <f t="shared" si="4"/>
        <v>10</v>
      </c>
      <c r="N16" s="62">
        <f t="shared" si="5"/>
        <v>20</v>
      </c>
      <c r="O16" s="62">
        <f t="shared" si="10"/>
        <v>0</v>
      </c>
      <c r="P16" s="62">
        <f t="shared" si="11"/>
        <v>0</v>
      </c>
      <c r="Q16" s="63">
        <f t="shared" si="6"/>
        <v>2</v>
      </c>
      <c r="R16" s="63">
        <f>CEILING(O16/Controls!$B$49,1)</f>
        <v>0</v>
      </c>
      <c r="S16" s="63">
        <f>IF(Controls!$B$45=0,0,N16/(1+Controls!$B$47)*1000000/Controls!$B$45)</f>
        <v>2176.87074829932</v>
      </c>
      <c r="T16" s="63">
        <f>S16*Controls!$B$43*(Controls!$B$36/24)*Controls!$B$10</f>
        <v>1158095.2380952381</v>
      </c>
      <c r="U16" s="62">
        <f>K16*Controls!$B$36*DAY(EOMONTH(B16,0))*Controls!$B$10</f>
        <v>5472</v>
      </c>
      <c r="V16" s="62">
        <f>MAX(L16*Controls!$B$36-MIN(L16,M16)*Controls!$B$37,0)*DAY(EOMONTH(B16,0))*Controls!$B$10</f>
        <v>2880</v>
      </c>
      <c r="W16" s="62">
        <f>MIN(L16,M16)*Controls!$B$37*DAY(EOMONTH(B16,0))*Controls!$B$10</f>
        <v>2592</v>
      </c>
      <c r="X16" s="64"/>
      <c r="Y16" s="64"/>
      <c r="Z16" s="64"/>
    </row>
    <row r="17" spans="1:26" ht="15" customHeight="1" x14ac:dyDescent="0.3">
      <c r="A17" s="60">
        <v>16</v>
      </c>
      <c r="B17" s="61">
        <f>EDATE(Controls!$B$7,A17-1)</f>
        <v>46661</v>
      </c>
      <c r="C17" s="60" t="str">
        <f t="shared" si="0"/>
        <v>Oct-27</v>
      </c>
      <c r="D17" s="62">
        <f>IF(A17&lt;2,0,IF(A17=2,Controls!$B$33/2,Controls!$B$33))</f>
        <v>10</v>
      </c>
      <c r="E17" s="62">
        <f>IF(A17&lt;3,0,IF(A17=3,Controls!$B$34/2,Controls!$B$34))</f>
        <v>10</v>
      </c>
      <c r="F17" s="62">
        <f>IF(A17&lt;4,0,Controls!$B$35)</f>
        <v>10</v>
      </c>
      <c r="G17" s="62">
        <f t="shared" si="7"/>
        <v>10</v>
      </c>
      <c r="H17" s="62">
        <f t="shared" si="8"/>
        <v>10</v>
      </c>
      <c r="I17" s="62">
        <f t="shared" si="9"/>
        <v>10</v>
      </c>
      <c r="J17" s="62">
        <f t="shared" si="1"/>
        <v>20</v>
      </c>
      <c r="K17" s="62">
        <f t="shared" si="2"/>
        <v>10</v>
      </c>
      <c r="L17" s="62">
        <f t="shared" si="3"/>
        <v>10</v>
      </c>
      <c r="M17" s="62">
        <f t="shared" si="4"/>
        <v>10</v>
      </c>
      <c r="N17" s="62">
        <f t="shared" si="5"/>
        <v>20</v>
      </c>
      <c r="O17" s="62">
        <f t="shared" si="10"/>
        <v>0</v>
      </c>
      <c r="P17" s="62">
        <f t="shared" si="11"/>
        <v>0</v>
      </c>
      <c r="Q17" s="63">
        <f t="shared" si="6"/>
        <v>2</v>
      </c>
      <c r="R17" s="63">
        <f>CEILING(O17/Controls!$B$49,1)</f>
        <v>0</v>
      </c>
      <c r="S17" s="63">
        <f>IF(Controls!$B$45=0,0,N17/(1+Controls!$B$47)*1000000/Controls!$B$45)</f>
        <v>2176.87074829932</v>
      </c>
      <c r="T17" s="63">
        <f>S17*Controls!$B$43*(Controls!$B$36/24)*Controls!$B$10</f>
        <v>1158095.2380952381</v>
      </c>
      <c r="U17" s="62">
        <f>K17*Controls!$B$36*DAY(EOMONTH(B17,0))*Controls!$B$10</f>
        <v>5654.4</v>
      </c>
      <c r="V17" s="62">
        <f>MAX(L17*Controls!$B$36-MIN(L17,M17)*Controls!$B$37,0)*DAY(EOMONTH(B17,0))*Controls!$B$10</f>
        <v>2976</v>
      </c>
      <c r="W17" s="62">
        <f>MIN(L17,M17)*Controls!$B$37*DAY(EOMONTH(B17,0))*Controls!$B$10</f>
        <v>2678.4</v>
      </c>
      <c r="X17" s="64"/>
      <c r="Y17" s="64"/>
      <c r="Z17" s="64"/>
    </row>
    <row r="18" spans="1:26" ht="15" customHeight="1" x14ac:dyDescent="0.3">
      <c r="A18" s="60">
        <v>17</v>
      </c>
      <c r="B18" s="61">
        <f>EDATE(Controls!$B$7,A18-1)</f>
        <v>46692</v>
      </c>
      <c r="C18" s="60" t="str">
        <f t="shared" si="0"/>
        <v>Nov-27</v>
      </c>
      <c r="D18" s="62">
        <f>IF(A18&lt;2,0,IF(A18=2,Controls!$B$33/2,Controls!$B$33))</f>
        <v>10</v>
      </c>
      <c r="E18" s="62">
        <f>IF(A18&lt;3,0,IF(A18=3,Controls!$B$34/2,Controls!$B$34))</f>
        <v>10</v>
      </c>
      <c r="F18" s="62">
        <f>IF(A18&lt;4,0,Controls!$B$35)</f>
        <v>10</v>
      </c>
      <c r="G18" s="62">
        <f t="shared" si="7"/>
        <v>10</v>
      </c>
      <c r="H18" s="62">
        <f t="shared" si="8"/>
        <v>10</v>
      </c>
      <c r="I18" s="62">
        <f t="shared" si="9"/>
        <v>10</v>
      </c>
      <c r="J18" s="62">
        <f t="shared" si="1"/>
        <v>20</v>
      </c>
      <c r="K18" s="62">
        <f t="shared" si="2"/>
        <v>10</v>
      </c>
      <c r="L18" s="62">
        <f t="shared" si="3"/>
        <v>10</v>
      </c>
      <c r="M18" s="62">
        <f t="shared" si="4"/>
        <v>10</v>
      </c>
      <c r="N18" s="62">
        <f t="shared" si="5"/>
        <v>20</v>
      </c>
      <c r="O18" s="62">
        <f t="shared" si="10"/>
        <v>0</v>
      </c>
      <c r="P18" s="62">
        <f t="shared" si="11"/>
        <v>0</v>
      </c>
      <c r="Q18" s="63">
        <f t="shared" si="6"/>
        <v>2</v>
      </c>
      <c r="R18" s="63">
        <f>CEILING(O18/Controls!$B$49,1)</f>
        <v>0</v>
      </c>
      <c r="S18" s="63">
        <f>IF(Controls!$B$45=0,0,N18/(1+Controls!$B$47)*1000000/Controls!$B$45)</f>
        <v>2176.87074829932</v>
      </c>
      <c r="T18" s="63">
        <f>S18*Controls!$B$43*(Controls!$B$36/24)*Controls!$B$10</f>
        <v>1158095.2380952381</v>
      </c>
      <c r="U18" s="62">
        <f>K18*Controls!$B$36*DAY(EOMONTH(B18,0))*Controls!$B$10</f>
        <v>5472</v>
      </c>
      <c r="V18" s="62">
        <f>MAX(L18*Controls!$B$36-MIN(L18,M18)*Controls!$B$37,0)*DAY(EOMONTH(B18,0))*Controls!$B$10</f>
        <v>2880</v>
      </c>
      <c r="W18" s="62">
        <f>MIN(L18,M18)*Controls!$B$37*DAY(EOMONTH(B18,0))*Controls!$B$10</f>
        <v>2592</v>
      </c>
      <c r="X18" s="64"/>
      <c r="Y18" s="64"/>
      <c r="Z18" s="64"/>
    </row>
    <row r="19" spans="1:26" ht="15" customHeight="1" x14ac:dyDescent="0.3">
      <c r="A19" s="60">
        <v>18</v>
      </c>
      <c r="B19" s="61">
        <f>EDATE(Controls!$B$7,A19-1)</f>
        <v>46722</v>
      </c>
      <c r="C19" s="60" t="str">
        <f t="shared" si="0"/>
        <v>Dec-27</v>
      </c>
      <c r="D19" s="62">
        <f>IF(A19&lt;2,0,IF(A19=2,Controls!$B$33/2,Controls!$B$33))</f>
        <v>10</v>
      </c>
      <c r="E19" s="62">
        <f>IF(A19&lt;3,0,IF(A19=3,Controls!$B$34/2,Controls!$B$34))</f>
        <v>10</v>
      </c>
      <c r="F19" s="62">
        <f>IF(A19&lt;4,0,Controls!$B$35)</f>
        <v>10</v>
      </c>
      <c r="G19" s="62">
        <f t="shared" si="7"/>
        <v>10</v>
      </c>
      <c r="H19" s="62">
        <f t="shared" si="8"/>
        <v>10</v>
      </c>
      <c r="I19" s="62">
        <f t="shared" si="9"/>
        <v>10</v>
      </c>
      <c r="J19" s="62">
        <f t="shared" si="1"/>
        <v>20</v>
      </c>
      <c r="K19" s="62">
        <f t="shared" si="2"/>
        <v>10</v>
      </c>
      <c r="L19" s="62">
        <f t="shared" si="3"/>
        <v>10</v>
      </c>
      <c r="M19" s="62">
        <f t="shared" si="4"/>
        <v>10</v>
      </c>
      <c r="N19" s="62">
        <f t="shared" si="5"/>
        <v>20</v>
      </c>
      <c r="O19" s="62">
        <f t="shared" si="10"/>
        <v>0</v>
      </c>
      <c r="P19" s="62">
        <f t="shared" si="11"/>
        <v>0</v>
      </c>
      <c r="Q19" s="63">
        <f t="shared" si="6"/>
        <v>2</v>
      </c>
      <c r="R19" s="63">
        <f>CEILING(O19/Controls!$B$49,1)</f>
        <v>0</v>
      </c>
      <c r="S19" s="63">
        <f>IF(Controls!$B$45=0,0,N19/(1+Controls!$B$47)*1000000/Controls!$B$45)</f>
        <v>2176.87074829932</v>
      </c>
      <c r="T19" s="63">
        <f>S19*Controls!$B$43*(Controls!$B$36/24)*Controls!$B$10</f>
        <v>1158095.2380952381</v>
      </c>
      <c r="U19" s="62">
        <f>K19*Controls!$B$36*DAY(EOMONTH(B19,0))*Controls!$B$10</f>
        <v>5654.4</v>
      </c>
      <c r="V19" s="62">
        <f>MAX(L19*Controls!$B$36-MIN(L19,M19)*Controls!$B$37,0)*DAY(EOMONTH(B19,0))*Controls!$B$10</f>
        <v>2976</v>
      </c>
      <c r="W19" s="62">
        <f>MIN(L19,M19)*Controls!$B$37*DAY(EOMONTH(B19,0))*Controls!$B$10</f>
        <v>2678.4</v>
      </c>
      <c r="X19" s="64"/>
      <c r="Y19" s="64"/>
      <c r="Z19" s="64"/>
    </row>
    <row r="20" spans="1:26" ht="15" customHeight="1" x14ac:dyDescent="0.3">
      <c r="A20" s="60">
        <v>19</v>
      </c>
      <c r="B20" s="61">
        <f>EDATE(Controls!$B$7,A20-1)</f>
        <v>46753</v>
      </c>
      <c r="C20" s="60" t="str">
        <f t="shared" si="0"/>
        <v>Jan-28</v>
      </c>
      <c r="D20" s="62">
        <f>IF(A20&lt;2,0,IF(A20=2,Controls!$B$33/2,Controls!$B$33))</f>
        <v>10</v>
      </c>
      <c r="E20" s="62">
        <f>IF(A20&lt;3,0,IF(A20=3,Controls!$B$34/2,Controls!$B$34))</f>
        <v>10</v>
      </c>
      <c r="F20" s="62">
        <f>IF(A20&lt;4,0,Controls!$B$35)</f>
        <v>10</v>
      </c>
      <c r="G20" s="62">
        <f t="shared" si="7"/>
        <v>10</v>
      </c>
      <c r="H20" s="62">
        <f t="shared" si="8"/>
        <v>10</v>
      </c>
      <c r="I20" s="62">
        <f t="shared" si="9"/>
        <v>10</v>
      </c>
      <c r="J20" s="62">
        <f t="shared" si="1"/>
        <v>20</v>
      </c>
      <c r="K20" s="62">
        <f t="shared" si="2"/>
        <v>10</v>
      </c>
      <c r="L20" s="62">
        <f t="shared" si="3"/>
        <v>10</v>
      </c>
      <c r="M20" s="62">
        <f t="shared" si="4"/>
        <v>10</v>
      </c>
      <c r="N20" s="62">
        <f t="shared" si="5"/>
        <v>20</v>
      </c>
      <c r="O20" s="62">
        <f t="shared" si="10"/>
        <v>0</v>
      </c>
      <c r="P20" s="62">
        <f t="shared" si="11"/>
        <v>0</v>
      </c>
      <c r="Q20" s="63">
        <f t="shared" si="6"/>
        <v>2</v>
      </c>
      <c r="R20" s="63">
        <f>CEILING(O20/Controls!$B$49,1)</f>
        <v>0</v>
      </c>
      <c r="S20" s="63">
        <f>IF(Controls!$B$45=0,0,N20/(1+Controls!$B$47)*1000000/Controls!$B$45)</f>
        <v>2176.87074829932</v>
      </c>
      <c r="T20" s="63">
        <f>S20*Controls!$B$43*(Controls!$B$36/24)*Controls!$B$10</f>
        <v>1158095.2380952381</v>
      </c>
      <c r="U20" s="62">
        <f>K20*Controls!$B$36*DAY(EOMONTH(B20,0))*Controls!$B$10</f>
        <v>5654.4</v>
      </c>
      <c r="V20" s="62">
        <f>MAX(L20*Controls!$B$36-MIN(L20,M20)*Controls!$B$37,0)*DAY(EOMONTH(B20,0))*Controls!$B$10</f>
        <v>2976</v>
      </c>
      <c r="W20" s="62">
        <f>MIN(L20,M20)*Controls!$B$37*DAY(EOMONTH(B20,0))*Controls!$B$10</f>
        <v>2678.4</v>
      </c>
      <c r="X20" s="64"/>
      <c r="Y20" s="64"/>
      <c r="Z20" s="64"/>
    </row>
    <row r="21" spans="1:26" ht="15" customHeight="1" x14ac:dyDescent="0.3">
      <c r="A21" s="60">
        <v>20</v>
      </c>
      <c r="B21" s="61">
        <f>EDATE(Controls!$B$7,A21-1)</f>
        <v>46784</v>
      </c>
      <c r="C21" s="60" t="str">
        <f t="shared" si="0"/>
        <v>Feb-28</v>
      </c>
      <c r="D21" s="62">
        <f>IF(A21&lt;2,0,IF(A21=2,Controls!$B$33/2,Controls!$B$33))</f>
        <v>10</v>
      </c>
      <c r="E21" s="62">
        <f>IF(A21&lt;3,0,IF(A21=3,Controls!$B$34/2,Controls!$B$34))</f>
        <v>10</v>
      </c>
      <c r="F21" s="62">
        <f>IF(A21&lt;4,0,Controls!$B$35)</f>
        <v>10</v>
      </c>
      <c r="G21" s="62">
        <f t="shared" si="7"/>
        <v>10</v>
      </c>
      <c r="H21" s="62">
        <f t="shared" si="8"/>
        <v>10</v>
      </c>
      <c r="I21" s="62">
        <f t="shared" si="9"/>
        <v>10</v>
      </c>
      <c r="J21" s="62">
        <f t="shared" si="1"/>
        <v>20</v>
      </c>
      <c r="K21" s="62">
        <f t="shared" si="2"/>
        <v>10</v>
      </c>
      <c r="L21" s="62">
        <f t="shared" si="3"/>
        <v>10</v>
      </c>
      <c r="M21" s="62">
        <f t="shared" si="4"/>
        <v>10</v>
      </c>
      <c r="N21" s="62">
        <f t="shared" si="5"/>
        <v>20</v>
      </c>
      <c r="O21" s="62">
        <f t="shared" si="10"/>
        <v>0</v>
      </c>
      <c r="P21" s="62">
        <f t="shared" si="11"/>
        <v>0</v>
      </c>
      <c r="Q21" s="63">
        <f t="shared" si="6"/>
        <v>2</v>
      </c>
      <c r="R21" s="63">
        <f>CEILING(O21/Controls!$B$49,1)</f>
        <v>0</v>
      </c>
      <c r="S21" s="63">
        <f>IF(Controls!$B$45=0,0,N21/(1+Controls!$B$47)*1000000/Controls!$B$45)</f>
        <v>2176.87074829932</v>
      </c>
      <c r="T21" s="63">
        <f>S21*Controls!$B$43*(Controls!$B$36/24)*Controls!$B$10</f>
        <v>1158095.2380952381</v>
      </c>
      <c r="U21" s="62">
        <f>K21*Controls!$B$36*DAY(EOMONTH(B21,0))*Controls!$B$10</f>
        <v>5289.5999999999995</v>
      </c>
      <c r="V21" s="62">
        <f>MAX(L21*Controls!$B$36-MIN(L21,M21)*Controls!$B$37,0)*DAY(EOMONTH(B21,0))*Controls!$B$10</f>
        <v>2784</v>
      </c>
      <c r="W21" s="62">
        <f>MIN(L21,M21)*Controls!$B$37*DAY(EOMONTH(B21,0))*Controls!$B$10</f>
        <v>2505.6</v>
      </c>
      <c r="X21" s="64"/>
      <c r="Y21" s="64"/>
      <c r="Z21" s="64"/>
    </row>
    <row r="22" spans="1:26" ht="15" customHeight="1" x14ac:dyDescent="0.3">
      <c r="A22" s="60">
        <v>21</v>
      </c>
      <c r="B22" s="61">
        <f>EDATE(Controls!$B$7,A22-1)</f>
        <v>46813</v>
      </c>
      <c r="C22" s="60" t="str">
        <f t="shared" si="0"/>
        <v>Mar-28</v>
      </c>
      <c r="D22" s="62">
        <f>IF(A22&lt;2,0,IF(A22=2,Controls!$B$33/2,Controls!$B$33))</f>
        <v>10</v>
      </c>
      <c r="E22" s="62">
        <f>IF(A22&lt;3,0,IF(A22=3,Controls!$B$34/2,Controls!$B$34))</f>
        <v>10</v>
      </c>
      <c r="F22" s="62">
        <f>IF(A22&lt;4,0,Controls!$B$35)</f>
        <v>10</v>
      </c>
      <c r="G22" s="62">
        <f t="shared" si="7"/>
        <v>10</v>
      </c>
      <c r="H22" s="62">
        <f t="shared" si="8"/>
        <v>10</v>
      </c>
      <c r="I22" s="62">
        <f t="shared" si="9"/>
        <v>10</v>
      </c>
      <c r="J22" s="62">
        <f t="shared" si="1"/>
        <v>20</v>
      </c>
      <c r="K22" s="62">
        <f t="shared" si="2"/>
        <v>10</v>
      </c>
      <c r="L22" s="62">
        <f t="shared" si="3"/>
        <v>10</v>
      </c>
      <c r="M22" s="62">
        <f t="shared" si="4"/>
        <v>10</v>
      </c>
      <c r="N22" s="62">
        <f t="shared" si="5"/>
        <v>20</v>
      </c>
      <c r="O22" s="62">
        <f t="shared" si="10"/>
        <v>0</v>
      </c>
      <c r="P22" s="62">
        <f t="shared" si="11"/>
        <v>0</v>
      </c>
      <c r="Q22" s="63">
        <f t="shared" si="6"/>
        <v>2</v>
      </c>
      <c r="R22" s="63">
        <f>CEILING(O22/Controls!$B$49,1)</f>
        <v>0</v>
      </c>
      <c r="S22" s="63">
        <f>IF(Controls!$B$45=0,0,N22/(1+Controls!$B$47)*1000000/Controls!$B$45)</f>
        <v>2176.87074829932</v>
      </c>
      <c r="T22" s="63">
        <f>S22*Controls!$B$43*(Controls!$B$36/24)*Controls!$B$10</f>
        <v>1158095.2380952381</v>
      </c>
      <c r="U22" s="62">
        <f>K22*Controls!$B$36*DAY(EOMONTH(B22,0))*Controls!$B$10</f>
        <v>5654.4</v>
      </c>
      <c r="V22" s="62">
        <f>MAX(L22*Controls!$B$36-MIN(L22,M22)*Controls!$B$37,0)*DAY(EOMONTH(B22,0))*Controls!$B$10</f>
        <v>2976</v>
      </c>
      <c r="W22" s="62">
        <f>MIN(L22,M22)*Controls!$B$37*DAY(EOMONTH(B22,0))*Controls!$B$10</f>
        <v>2678.4</v>
      </c>
      <c r="X22" s="64"/>
      <c r="Y22" s="64"/>
      <c r="Z22" s="64"/>
    </row>
    <row r="23" spans="1:26" ht="15" customHeight="1" x14ac:dyDescent="0.3">
      <c r="A23" s="60">
        <v>22</v>
      </c>
      <c r="B23" s="61">
        <f>EDATE(Controls!$B$7,A23-1)</f>
        <v>46844</v>
      </c>
      <c r="C23" s="60" t="str">
        <f t="shared" si="0"/>
        <v>Apr-28</v>
      </c>
      <c r="D23" s="62">
        <f>IF(A23&lt;2,0,IF(A23=2,Controls!$B$33/2,Controls!$B$33))</f>
        <v>10</v>
      </c>
      <c r="E23" s="62">
        <f>IF(A23&lt;3,0,IF(A23=3,Controls!$B$34/2,Controls!$B$34))</f>
        <v>10</v>
      </c>
      <c r="F23" s="62">
        <f>IF(A23&lt;4,0,Controls!$B$35)</f>
        <v>10</v>
      </c>
      <c r="G23" s="62">
        <f t="shared" si="7"/>
        <v>10</v>
      </c>
      <c r="H23" s="62">
        <f t="shared" si="8"/>
        <v>10</v>
      </c>
      <c r="I23" s="62">
        <f t="shared" si="9"/>
        <v>10</v>
      </c>
      <c r="J23" s="62">
        <f t="shared" si="1"/>
        <v>20</v>
      </c>
      <c r="K23" s="62">
        <f t="shared" si="2"/>
        <v>10</v>
      </c>
      <c r="L23" s="62">
        <f t="shared" si="3"/>
        <v>10</v>
      </c>
      <c r="M23" s="62">
        <f t="shared" si="4"/>
        <v>10</v>
      </c>
      <c r="N23" s="62">
        <f t="shared" si="5"/>
        <v>20</v>
      </c>
      <c r="O23" s="62">
        <f t="shared" si="10"/>
        <v>0</v>
      </c>
      <c r="P23" s="62">
        <f t="shared" si="11"/>
        <v>0</v>
      </c>
      <c r="Q23" s="63">
        <f t="shared" si="6"/>
        <v>2</v>
      </c>
      <c r="R23" s="63">
        <f>CEILING(O23/Controls!$B$49,1)</f>
        <v>0</v>
      </c>
      <c r="S23" s="63">
        <f>IF(Controls!$B$45=0,0,N23/(1+Controls!$B$47)*1000000/Controls!$B$45)</f>
        <v>2176.87074829932</v>
      </c>
      <c r="T23" s="63">
        <f>S23*Controls!$B$43*(Controls!$B$36/24)*Controls!$B$10</f>
        <v>1158095.2380952381</v>
      </c>
      <c r="U23" s="62">
        <f>K23*Controls!$B$36*DAY(EOMONTH(B23,0))*Controls!$B$10</f>
        <v>5472</v>
      </c>
      <c r="V23" s="62">
        <f>MAX(L23*Controls!$B$36-MIN(L23,M23)*Controls!$B$37,0)*DAY(EOMONTH(B23,0))*Controls!$B$10</f>
        <v>2880</v>
      </c>
      <c r="W23" s="62">
        <f>MIN(L23,M23)*Controls!$B$37*DAY(EOMONTH(B23,0))*Controls!$B$10</f>
        <v>2592</v>
      </c>
      <c r="X23" s="64"/>
      <c r="Y23" s="64"/>
      <c r="Z23" s="64"/>
    </row>
    <row r="24" spans="1:26" ht="15" customHeight="1" x14ac:dyDescent="0.3">
      <c r="A24" s="60">
        <v>23</v>
      </c>
      <c r="B24" s="61">
        <f>EDATE(Controls!$B$7,A24-1)</f>
        <v>46874</v>
      </c>
      <c r="C24" s="60" t="str">
        <f t="shared" si="0"/>
        <v>May-28</v>
      </c>
      <c r="D24" s="62">
        <f>IF(A24&lt;2,0,IF(A24=2,Controls!$B$33/2,Controls!$B$33))</f>
        <v>10</v>
      </c>
      <c r="E24" s="62">
        <f>IF(A24&lt;3,0,IF(A24=3,Controls!$B$34/2,Controls!$B$34))</f>
        <v>10</v>
      </c>
      <c r="F24" s="62">
        <f>IF(A24&lt;4,0,Controls!$B$35)</f>
        <v>10</v>
      </c>
      <c r="G24" s="62">
        <f t="shared" si="7"/>
        <v>10</v>
      </c>
      <c r="H24" s="62">
        <f t="shared" si="8"/>
        <v>10</v>
      </c>
      <c r="I24" s="62">
        <f t="shared" si="9"/>
        <v>10</v>
      </c>
      <c r="J24" s="62">
        <f t="shared" si="1"/>
        <v>20</v>
      </c>
      <c r="K24" s="62">
        <f t="shared" si="2"/>
        <v>10</v>
      </c>
      <c r="L24" s="62">
        <f t="shared" si="3"/>
        <v>10</v>
      </c>
      <c r="M24" s="62">
        <f t="shared" si="4"/>
        <v>10</v>
      </c>
      <c r="N24" s="62">
        <f t="shared" si="5"/>
        <v>20</v>
      </c>
      <c r="O24" s="62">
        <f t="shared" si="10"/>
        <v>0</v>
      </c>
      <c r="P24" s="62">
        <f t="shared" si="11"/>
        <v>0</v>
      </c>
      <c r="Q24" s="63">
        <f t="shared" si="6"/>
        <v>2</v>
      </c>
      <c r="R24" s="63">
        <f>CEILING(O24/Controls!$B$49,1)</f>
        <v>0</v>
      </c>
      <c r="S24" s="63">
        <f>IF(Controls!$B$45=0,0,N24/(1+Controls!$B$47)*1000000/Controls!$B$45)</f>
        <v>2176.87074829932</v>
      </c>
      <c r="T24" s="63">
        <f>S24*Controls!$B$43*(Controls!$B$36/24)*Controls!$B$10</f>
        <v>1158095.2380952381</v>
      </c>
      <c r="U24" s="62">
        <f>K24*Controls!$B$36*DAY(EOMONTH(B24,0))*Controls!$B$10</f>
        <v>5654.4</v>
      </c>
      <c r="V24" s="62">
        <f>MAX(L24*Controls!$B$36-MIN(L24,M24)*Controls!$B$37,0)*DAY(EOMONTH(B24,0))*Controls!$B$10</f>
        <v>2976</v>
      </c>
      <c r="W24" s="62">
        <f>MIN(L24,M24)*Controls!$B$37*DAY(EOMONTH(B24,0))*Controls!$B$10</f>
        <v>2678.4</v>
      </c>
      <c r="X24" s="64"/>
      <c r="Y24" s="64"/>
      <c r="Z24" s="64"/>
    </row>
    <row r="25" spans="1:26" ht="15" customHeight="1" x14ac:dyDescent="0.3">
      <c r="A25" s="60">
        <v>24</v>
      </c>
      <c r="B25" s="61">
        <f>EDATE(Controls!$B$7,A25-1)</f>
        <v>46905</v>
      </c>
      <c r="C25" s="60" t="str">
        <f t="shared" si="0"/>
        <v>Jun-28</v>
      </c>
      <c r="D25" s="62">
        <f>IF(A25&lt;2,0,IF(A25=2,Controls!$B$33/2,Controls!$B$33))</f>
        <v>10</v>
      </c>
      <c r="E25" s="62">
        <f>IF(A25&lt;3,0,IF(A25=3,Controls!$B$34/2,Controls!$B$34))</f>
        <v>10</v>
      </c>
      <c r="F25" s="62">
        <f>IF(A25&lt;4,0,Controls!$B$35)</f>
        <v>10</v>
      </c>
      <c r="G25" s="62">
        <f t="shared" si="7"/>
        <v>10</v>
      </c>
      <c r="H25" s="62">
        <f t="shared" si="8"/>
        <v>10</v>
      </c>
      <c r="I25" s="62">
        <f t="shared" si="9"/>
        <v>10</v>
      </c>
      <c r="J25" s="62">
        <f t="shared" si="1"/>
        <v>20</v>
      </c>
      <c r="K25" s="62">
        <f t="shared" si="2"/>
        <v>10</v>
      </c>
      <c r="L25" s="62">
        <f t="shared" si="3"/>
        <v>10</v>
      </c>
      <c r="M25" s="62">
        <f t="shared" si="4"/>
        <v>10</v>
      </c>
      <c r="N25" s="62">
        <f t="shared" si="5"/>
        <v>20</v>
      </c>
      <c r="O25" s="62">
        <f t="shared" si="10"/>
        <v>0</v>
      </c>
      <c r="P25" s="62">
        <f t="shared" si="11"/>
        <v>0</v>
      </c>
      <c r="Q25" s="63">
        <f t="shared" si="6"/>
        <v>2</v>
      </c>
      <c r="R25" s="63">
        <f>CEILING(O25/Controls!$B$49,1)</f>
        <v>0</v>
      </c>
      <c r="S25" s="63">
        <f>IF(Controls!$B$45=0,0,N25/(1+Controls!$B$47)*1000000/Controls!$B$45)</f>
        <v>2176.87074829932</v>
      </c>
      <c r="T25" s="63">
        <f>S25*Controls!$B$43*(Controls!$B$36/24)*Controls!$B$10</f>
        <v>1158095.2380952381</v>
      </c>
      <c r="U25" s="62">
        <f>K25*Controls!$B$36*DAY(EOMONTH(B25,0))*Controls!$B$10</f>
        <v>5472</v>
      </c>
      <c r="V25" s="62">
        <f>MAX(L25*Controls!$B$36-MIN(L25,M25)*Controls!$B$37,0)*DAY(EOMONTH(B25,0))*Controls!$B$10</f>
        <v>2880</v>
      </c>
      <c r="W25" s="62">
        <f>MIN(L25,M25)*Controls!$B$37*DAY(EOMONTH(B25,0))*Controls!$B$10</f>
        <v>2592</v>
      </c>
      <c r="X25" s="64"/>
      <c r="Y25" s="64"/>
      <c r="Z25" s="64"/>
    </row>
    <row r="26" spans="1:26" ht="15" customHeight="1" x14ac:dyDescent="0.3">
      <c r="A26" s="60">
        <v>25</v>
      </c>
      <c r="B26" s="61">
        <f>EDATE(Controls!$B$7,A26-1)</f>
        <v>46935</v>
      </c>
      <c r="C26" s="60" t="str">
        <f t="shared" si="0"/>
        <v>Jul-28</v>
      </c>
      <c r="D26" s="62">
        <f>IF(A26&lt;2,0,IF(A26=2,Controls!$B$33/2,Controls!$B$33))</f>
        <v>10</v>
      </c>
      <c r="E26" s="62">
        <f>IF(A26&lt;3,0,IF(A26=3,Controls!$B$34/2,Controls!$B$34))</f>
        <v>10</v>
      </c>
      <c r="F26" s="62">
        <f>IF(A26&lt;4,0,Controls!$B$35)</f>
        <v>10</v>
      </c>
      <c r="G26" s="62">
        <f t="shared" si="7"/>
        <v>10</v>
      </c>
      <c r="H26" s="62">
        <f t="shared" si="8"/>
        <v>10</v>
      </c>
      <c r="I26" s="62">
        <f t="shared" si="9"/>
        <v>10</v>
      </c>
      <c r="J26" s="62">
        <f t="shared" si="1"/>
        <v>20</v>
      </c>
      <c r="K26" s="62">
        <f t="shared" si="2"/>
        <v>10</v>
      </c>
      <c r="L26" s="62">
        <f t="shared" si="3"/>
        <v>10</v>
      </c>
      <c r="M26" s="62">
        <f t="shared" si="4"/>
        <v>10</v>
      </c>
      <c r="N26" s="62">
        <f t="shared" si="5"/>
        <v>20</v>
      </c>
      <c r="O26" s="62">
        <f t="shared" si="10"/>
        <v>0</v>
      </c>
      <c r="P26" s="62">
        <f t="shared" si="11"/>
        <v>0</v>
      </c>
      <c r="Q26" s="63">
        <f t="shared" si="6"/>
        <v>2</v>
      </c>
      <c r="R26" s="63">
        <f>CEILING(O26/Controls!$B$49,1)</f>
        <v>0</v>
      </c>
      <c r="S26" s="63">
        <f>IF(Controls!$B$45=0,0,N26/(1+Controls!$B$47)*1000000/Controls!$B$45)</f>
        <v>2176.87074829932</v>
      </c>
      <c r="T26" s="63">
        <f>S26*Controls!$B$43*(Controls!$B$36/24)*Controls!$B$10</f>
        <v>1158095.2380952381</v>
      </c>
      <c r="U26" s="62">
        <f>K26*Controls!$B$36*DAY(EOMONTH(B26,0))*Controls!$B$10</f>
        <v>5654.4</v>
      </c>
      <c r="V26" s="62">
        <f>MAX(L26*Controls!$B$36-MIN(L26,M26)*Controls!$B$37,0)*DAY(EOMONTH(B26,0))*Controls!$B$10</f>
        <v>2976</v>
      </c>
      <c r="W26" s="62">
        <f>MIN(L26,M26)*Controls!$B$37*DAY(EOMONTH(B26,0))*Controls!$B$10</f>
        <v>2678.4</v>
      </c>
      <c r="X26" s="64"/>
      <c r="Y26" s="64"/>
      <c r="Z26" s="64"/>
    </row>
    <row r="27" spans="1:26" ht="15" customHeight="1" x14ac:dyDescent="0.3">
      <c r="A27" s="60">
        <v>26</v>
      </c>
      <c r="B27" s="61">
        <f>EDATE(Controls!$B$7,A27-1)</f>
        <v>46966</v>
      </c>
      <c r="C27" s="60" t="str">
        <f t="shared" si="0"/>
        <v>Aug-28</v>
      </c>
      <c r="D27" s="62">
        <f>IF(A27&lt;2,0,IF(A27=2,Controls!$B$33/2,Controls!$B$33))</f>
        <v>10</v>
      </c>
      <c r="E27" s="62">
        <f>IF(A27&lt;3,0,IF(A27=3,Controls!$B$34/2,Controls!$B$34))</f>
        <v>10</v>
      </c>
      <c r="F27" s="62">
        <f>IF(A27&lt;4,0,Controls!$B$35)</f>
        <v>10</v>
      </c>
      <c r="G27" s="62">
        <f t="shared" si="7"/>
        <v>10</v>
      </c>
      <c r="H27" s="62">
        <f t="shared" si="8"/>
        <v>10</v>
      </c>
      <c r="I27" s="62">
        <f t="shared" si="9"/>
        <v>10</v>
      </c>
      <c r="J27" s="62">
        <f t="shared" si="1"/>
        <v>20</v>
      </c>
      <c r="K27" s="62">
        <f t="shared" si="2"/>
        <v>10</v>
      </c>
      <c r="L27" s="62">
        <f t="shared" si="3"/>
        <v>10</v>
      </c>
      <c r="M27" s="62">
        <f t="shared" si="4"/>
        <v>10</v>
      </c>
      <c r="N27" s="62">
        <f t="shared" si="5"/>
        <v>20</v>
      </c>
      <c r="O27" s="62">
        <f t="shared" si="10"/>
        <v>0</v>
      </c>
      <c r="P27" s="62">
        <f t="shared" si="11"/>
        <v>0</v>
      </c>
      <c r="Q27" s="63">
        <f t="shared" si="6"/>
        <v>2</v>
      </c>
      <c r="R27" s="63">
        <f>CEILING(O27/Controls!$B$49,1)</f>
        <v>0</v>
      </c>
      <c r="S27" s="63">
        <f>IF(Controls!$B$45=0,0,N27/(1+Controls!$B$47)*1000000/Controls!$B$45)</f>
        <v>2176.87074829932</v>
      </c>
      <c r="T27" s="63">
        <f>S27*Controls!$B$43*(Controls!$B$36/24)*Controls!$B$10</f>
        <v>1158095.2380952381</v>
      </c>
      <c r="U27" s="62">
        <f>K27*Controls!$B$36*DAY(EOMONTH(B27,0))*Controls!$B$10</f>
        <v>5654.4</v>
      </c>
      <c r="V27" s="62">
        <f>MAX(L27*Controls!$B$36-MIN(L27,M27)*Controls!$B$37,0)*DAY(EOMONTH(B27,0))*Controls!$B$10</f>
        <v>2976</v>
      </c>
      <c r="W27" s="62">
        <f>MIN(L27,M27)*Controls!$B$37*DAY(EOMONTH(B27,0))*Controls!$B$10</f>
        <v>2678.4</v>
      </c>
      <c r="X27" s="64"/>
      <c r="Y27" s="64"/>
      <c r="Z27" s="64"/>
    </row>
    <row r="28" spans="1:26" ht="15" customHeight="1" x14ac:dyDescent="0.3">
      <c r="A28" s="60">
        <v>27</v>
      </c>
      <c r="B28" s="61">
        <f>EDATE(Controls!$B$7,A28-1)</f>
        <v>46997</v>
      </c>
      <c r="C28" s="60" t="str">
        <f t="shared" si="0"/>
        <v>Sept-28</v>
      </c>
      <c r="D28" s="62">
        <f>IF(A28&lt;2,0,IF(A28=2,Controls!$B$33/2,Controls!$B$33))</f>
        <v>10</v>
      </c>
      <c r="E28" s="62">
        <f>IF(A28&lt;3,0,IF(A28=3,Controls!$B$34/2,Controls!$B$34))</f>
        <v>10</v>
      </c>
      <c r="F28" s="62">
        <f>IF(A28&lt;4,0,Controls!$B$35)</f>
        <v>10</v>
      </c>
      <c r="G28" s="62">
        <f t="shared" si="7"/>
        <v>10</v>
      </c>
      <c r="H28" s="62">
        <f t="shared" si="8"/>
        <v>10</v>
      </c>
      <c r="I28" s="62">
        <f t="shared" si="9"/>
        <v>10</v>
      </c>
      <c r="J28" s="62">
        <f t="shared" si="1"/>
        <v>20</v>
      </c>
      <c r="K28" s="62">
        <f t="shared" si="2"/>
        <v>10</v>
      </c>
      <c r="L28" s="62">
        <f t="shared" si="3"/>
        <v>10</v>
      </c>
      <c r="M28" s="62">
        <f t="shared" si="4"/>
        <v>10</v>
      </c>
      <c r="N28" s="62">
        <f t="shared" si="5"/>
        <v>20</v>
      </c>
      <c r="O28" s="62">
        <f t="shared" si="10"/>
        <v>0</v>
      </c>
      <c r="P28" s="62">
        <f t="shared" si="11"/>
        <v>0</v>
      </c>
      <c r="Q28" s="63">
        <f t="shared" si="6"/>
        <v>2</v>
      </c>
      <c r="R28" s="63">
        <f>CEILING(O28/Controls!$B$49,1)</f>
        <v>0</v>
      </c>
      <c r="S28" s="63">
        <f>IF(Controls!$B$45=0,0,N28/(1+Controls!$B$47)*1000000/Controls!$B$45)</f>
        <v>2176.87074829932</v>
      </c>
      <c r="T28" s="63">
        <f>S28*Controls!$B$43*(Controls!$B$36/24)*Controls!$B$10</f>
        <v>1158095.2380952381</v>
      </c>
      <c r="U28" s="62">
        <f>K28*Controls!$B$36*DAY(EOMONTH(B28,0))*Controls!$B$10</f>
        <v>5472</v>
      </c>
      <c r="V28" s="62">
        <f>MAX(L28*Controls!$B$36-MIN(L28,M28)*Controls!$B$37,0)*DAY(EOMONTH(B28,0))*Controls!$B$10</f>
        <v>2880</v>
      </c>
      <c r="W28" s="62">
        <f>MIN(L28,M28)*Controls!$B$37*DAY(EOMONTH(B28,0))*Controls!$B$10</f>
        <v>2592</v>
      </c>
      <c r="X28" s="64"/>
      <c r="Y28" s="64"/>
      <c r="Z28" s="64"/>
    </row>
    <row r="29" spans="1:26" ht="15" customHeight="1" x14ac:dyDescent="0.3">
      <c r="A29" s="60">
        <v>28</v>
      </c>
      <c r="B29" s="61">
        <f>EDATE(Controls!$B$7,A29-1)</f>
        <v>47027</v>
      </c>
      <c r="C29" s="60" t="str">
        <f t="shared" si="0"/>
        <v>Oct-28</v>
      </c>
      <c r="D29" s="62">
        <f>IF(A29&lt;2,0,IF(A29=2,Controls!$B$33/2,Controls!$B$33))</f>
        <v>10</v>
      </c>
      <c r="E29" s="62">
        <f>IF(A29&lt;3,0,IF(A29=3,Controls!$B$34/2,Controls!$B$34))</f>
        <v>10</v>
      </c>
      <c r="F29" s="62">
        <f>IF(A29&lt;4,0,Controls!$B$35)</f>
        <v>10</v>
      </c>
      <c r="G29" s="62">
        <f t="shared" si="7"/>
        <v>10</v>
      </c>
      <c r="H29" s="62">
        <f t="shared" si="8"/>
        <v>10</v>
      </c>
      <c r="I29" s="62">
        <f t="shared" si="9"/>
        <v>10</v>
      </c>
      <c r="J29" s="62">
        <f t="shared" si="1"/>
        <v>20</v>
      </c>
      <c r="K29" s="62">
        <f t="shared" si="2"/>
        <v>10</v>
      </c>
      <c r="L29" s="62">
        <f t="shared" si="3"/>
        <v>10</v>
      </c>
      <c r="M29" s="62">
        <f t="shared" si="4"/>
        <v>10</v>
      </c>
      <c r="N29" s="62">
        <f t="shared" si="5"/>
        <v>20</v>
      </c>
      <c r="O29" s="62">
        <f t="shared" si="10"/>
        <v>0</v>
      </c>
      <c r="P29" s="62">
        <f t="shared" si="11"/>
        <v>0</v>
      </c>
      <c r="Q29" s="63">
        <f t="shared" si="6"/>
        <v>2</v>
      </c>
      <c r="R29" s="63">
        <f>CEILING(O29/Controls!$B$49,1)</f>
        <v>0</v>
      </c>
      <c r="S29" s="63">
        <f>IF(Controls!$B$45=0,0,N29/(1+Controls!$B$47)*1000000/Controls!$B$45)</f>
        <v>2176.87074829932</v>
      </c>
      <c r="T29" s="63">
        <f>S29*Controls!$B$43*(Controls!$B$36/24)*Controls!$B$10</f>
        <v>1158095.2380952381</v>
      </c>
      <c r="U29" s="62">
        <f>K29*Controls!$B$36*DAY(EOMONTH(B29,0))*Controls!$B$10</f>
        <v>5654.4</v>
      </c>
      <c r="V29" s="62">
        <f>MAX(L29*Controls!$B$36-MIN(L29,M29)*Controls!$B$37,0)*DAY(EOMONTH(B29,0))*Controls!$B$10</f>
        <v>2976</v>
      </c>
      <c r="W29" s="62">
        <f>MIN(L29,M29)*Controls!$B$37*DAY(EOMONTH(B29,0))*Controls!$B$10</f>
        <v>2678.4</v>
      </c>
      <c r="X29" s="64"/>
      <c r="Y29" s="64"/>
      <c r="Z29" s="64"/>
    </row>
    <row r="30" spans="1:26" ht="15" customHeight="1" x14ac:dyDescent="0.3">
      <c r="A30" s="60">
        <v>29</v>
      </c>
      <c r="B30" s="61">
        <f>EDATE(Controls!$B$7,A30-1)</f>
        <v>47058</v>
      </c>
      <c r="C30" s="60" t="str">
        <f t="shared" si="0"/>
        <v>Nov-28</v>
      </c>
      <c r="D30" s="62">
        <f>IF(A30&lt;2,0,IF(A30=2,Controls!$B$33/2,Controls!$B$33))</f>
        <v>10</v>
      </c>
      <c r="E30" s="62">
        <f>IF(A30&lt;3,0,IF(A30=3,Controls!$B$34/2,Controls!$B$34))</f>
        <v>10</v>
      </c>
      <c r="F30" s="62">
        <f>IF(A30&lt;4,0,Controls!$B$35)</f>
        <v>10</v>
      </c>
      <c r="G30" s="62">
        <f t="shared" si="7"/>
        <v>10</v>
      </c>
      <c r="H30" s="62">
        <f t="shared" si="8"/>
        <v>10</v>
      </c>
      <c r="I30" s="62">
        <f t="shared" si="9"/>
        <v>10</v>
      </c>
      <c r="J30" s="62">
        <f t="shared" si="1"/>
        <v>20</v>
      </c>
      <c r="K30" s="62">
        <f t="shared" si="2"/>
        <v>10</v>
      </c>
      <c r="L30" s="62">
        <f t="shared" si="3"/>
        <v>10</v>
      </c>
      <c r="M30" s="62">
        <f t="shared" si="4"/>
        <v>10</v>
      </c>
      <c r="N30" s="62">
        <f t="shared" si="5"/>
        <v>20</v>
      </c>
      <c r="O30" s="62">
        <f t="shared" si="10"/>
        <v>0</v>
      </c>
      <c r="P30" s="62">
        <f t="shared" si="11"/>
        <v>0</v>
      </c>
      <c r="Q30" s="63">
        <f t="shared" si="6"/>
        <v>2</v>
      </c>
      <c r="R30" s="63">
        <f>CEILING(O30/Controls!$B$49,1)</f>
        <v>0</v>
      </c>
      <c r="S30" s="63">
        <f>IF(Controls!$B$45=0,0,N30/(1+Controls!$B$47)*1000000/Controls!$B$45)</f>
        <v>2176.87074829932</v>
      </c>
      <c r="T30" s="63">
        <f>S30*Controls!$B$43*(Controls!$B$36/24)*Controls!$B$10</f>
        <v>1158095.2380952381</v>
      </c>
      <c r="U30" s="62">
        <f>K30*Controls!$B$36*DAY(EOMONTH(B30,0))*Controls!$B$10</f>
        <v>5472</v>
      </c>
      <c r="V30" s="62">
        <f>MAX(L30*Controls!$B$36-MIN(L30,M30)*Controls!$B$37,0)*DAY(EOMONTH(B30,0))*Controls!$B$10</f>
        <v>2880</v>
      </c>
      <c r="W30" s="62">
        <f>MIN(L30,M30)*Controls!$B$37*DAY(EOMONTH(B30,0))*Controls!$B$10</f>
        <v>2592</v>
      </c>
      <c r="X30" s="64"/>
      <c r="Y30" s="64"/>
      <c r="Z30" s="64"/>
    </row>
    <row r="31" spans="1:26" ht="15" customHeight="1" x14ac:dyDescent="0.3">
      <c r="A31" s="60">
        <v>30</v>
      </c>
      <c r="B31" s="61">
        <f>EDATE(Controls!$B$7,A31-1)</f>
        <v>47088</v>
      </c>
      <c r="C31" s="60" t="str">
        <f t="shared" si="0"/>
        <v>Dec-28</v>
      </c>
      <c r="D31" s="62">
        <f>IF(A31&lt;2,0,IF(A31=2,Controls!$B$33/2,Controls!$B$33))</f>
        <v>10</v>
      </c>
      <c r="E31" s="62">
        <f>IF(A31&lt;3,0,IF(A31=3,Controls!$B$34/2,Controls!$B$34))</f>
        <v>10</v>
      </c>
      <c r="F31" s="62">
        <f>IF(A31&lt;4,0,Controls!$B$35)</f>
        <v>10</v>
      </c>
      <c r="G31" s="62">
        <f t="shared" si="7"/>
        <v>10</v>
      </c>
      <c r="H31" s="62">
        <f t="shared" si="8"/>
        <v>10</v>
      </c>
      <c r="I31" s="62">
        <f t="shared" si="9"/>
        <v>10</v>
      </c>
      <c r="J31" s="62">
        <f t="shared" si="1"/>
        <v>20</v>
      </c>
      <c r="K31" s="62">
        <f t="shared" si="2"/>
        <v>10</v>
      </c>
      <c r="L31" s="62">
        <f t="shared" si="3"/>
        <v>10</v>
      </c>
      <c r="M31" s="62">
        <f t="shared" si="4"/>
        <v>10</v>
      </c>
      <c r="N31" s="62">
        <f t="shared" si="5"/>
        <v>20</v>
      </c>
      <c r="O31" s="62">
        <f t="shared" si="10"/>
        <v>0</v>
      </c>
      <c r="P31" s="62">
        <f t="shared" si="11"/>
        <v>0</v>
      </c>
      <c r="Q31" s="63">
        <f t="shared" si="6"/>
        <v>2</v>
      </c>
      <c r="R31" s="63">
        <f>CEILING(O31/Controls!$B$49,1)</f>
        <v>0</v>
      </c>
      <c r="S31" s="63">
        <f>IF(Controls!$B$45=0,0,N31/(1+Controls!$B$47)*1000000/Controls!$B$45)</f>
        <v>2176.87074829932</v>
      </c>
      <c r="T31" s="63">
        <f>S31*Controls!$B$43*(Controls!$B$36/24)*Controls!$B$10</f>
        <v>1158095.2380952381</v>
      </c>
      <c r="U31" s="62">
        <f>K31*Controls!$B$36*DAY(EOMONTH(B31,0))*Controls!$B$10</f>
        <v>5654.4</v>
      </c>
      <c r="V31" s="62">
        <f>MAX(L31*Controls!$B$36-MIN(L31,M31)*Controls!$B$37,0)*DAY(EOMONTH(B31,0))*Controls!$B$10</f>
        <v>2976</v>
      </c>
      <c r="W31" s="62">
        <f>MIN(L31,M31)*Controls!$B$37*DAY(EOMONTH(B31,0))*Controls!$B$10</f>
        <v>2678.4</v>
      </c>
      <c r="X31" s="64"/>
      <c r="Y31" s="64"/>
      <c r="Z31" s="64"/>
    </row>
    <row r="32" spans="1:26" ht="15" customHeight="1" x14ac:dyDescent="0.3">
      <c r="A32" s="60">
        <v>31</v>
      </c>
      <c r="B32" s="61">
        <f>EDATE(Controls!$B$7,A32-1)</f>
        <v>47119</v>
      </c>
      <c r="C32" s="60" t="str">
        <f t="shared" si="0"/>
        <v>Jan-29</v>
      </c>
      <c r="D32" s="62">
        <f>IF(A32&lt;2,0,IF(A32=2,Controls!$B$33/2,Controls!$B$33))</f>
        <v>10</v>
      </c>
      <c r="E32" s="62">
        <f>IF(A32&lt;3,0,IF(A32=3,Controls!$B$34/2,Controls!$B$34))</f>
        <v>10</v>
      </c>
      <c r="F32" s="62">
        <f>IF(A32&lt;4,0,Controls!$B$35)</f>
        <v>10</v>
      </c>
      <c r="G32" s="62">
        <f t="shared" si="7"/>
        <v>10</v>
      </c>
      <c r="H32" s="62">
        <f t="shared" si="8"/>
        <v>10</v>
      </c>
      <c r="I32" s="62">
        <f t="shared" si="9"/>
        <v>10</v>
      </c>
      <c r="J32" s="62">
        <f t="shared" si="1"/>
        <v>20</v>
      </c>
      <c r="K32" s="62">
        <f t="shared" si="2"/>
        <v>10</v>
      </c>
      <c r="L32" s="62">
        <f t="shared" si="3"/>
        <v>10</v>
      </c>
      <c r="M32" s="62">
        <f t="shared" si="4"/>
        <v>10</v>
      </c>
      <c r="N32" s="62">
        <f t="shared" si="5"/>
        <v>20</v>
      </c>
      <c r="O32" s="62">
        <f t="shared" si="10"/>
        <v>0</v>
      </c>
      <c r="P32" s="62">
        <f t="shared" si="11"/>
        <v>0</v>
      </c>
      <c r="Q32" s="63">
        <f t="shared" si="6"/>
        <v>2</v>
      </c>
      <c r="R32" s="63">
        <f>CEILING(O32/Controls!$B$49,1)</f>
        <v>0</v>
      </c>
      <c r="S32" s="63">
        <f>IF(Controls!$B$45=0,0,N32/(1+Controls!$B$47)*1000000/Controls!$B$45)</f>
        <v>2176.87074829932</v>
      </c>
      <c r="T32" s="63">
        <f>S32*Controls!$B$43*(Controls!$B$36/24)*Controls!$B$10</f>
        <v>1158095.2380952381</v>
      </c>
      <c r="U32" s="62">
        <f>K32*Controls!$B$36*DAY(EOMONTH(B32,0))*Controls!$B$10</f>
        <v>5654.4</v>
      </c>
      <c r="V32" s="62">
        <f>MAX(L32*Controls!$B$36-MIN(L32,M32)*Controls!$B$37,0)*DAY(EOMONTH(B32,0))*Controls!$B$10</f>
        <v>2976</v>
      </c>
      <c r="W32" s="62">
        <f>MIN(L32,M32)*Controls!$B$37*DAY(EOMONTH(B32,0))*Controls!$B$10</f>
        <v>2678.4</v>
      </c>
      <c r="X32" s="64"/>
      <c r="Y32" s="64"/>
      <c r="Z32" s="64"/>
    </row>
    <row r="33" spans="1:26" ht="15" customHeight="1" x14ac:dyDescent="0.3">
      <c r="A33" s="60">
        <v>32</v>
      </c>
      <c r="B33" s="61">
        <f>EDATE(Controls!$B$7,A33-1)</f>
        <v>47150</v>
      </c>
      <c r="C33" s="60" t="str">
        <f t="shared" si="0"/>
        <v>Feb-29</v>
      </c>
      <c r="D33" s="62">
        <f>IF(A33&lt;2,0,IF(A33=2,Controls!$B$33/2,Controls!$B$33))</f>
        <v>10</v>
      </c>
      <c r="E33" s="62">
        <f>IF(A33&lt;3,0,IF(A33=3,Controls!$B$34/2,Controls!$B$34))</f>
        <v>10</v>
      </c>
      <c r="F33" s="62">
        <f>IF(A33&lt;4,0,Controls!$B$35)</f>
        <v>10</v>
      </c>
      <c r="G33" s="62">
        <f t="shared" si="7"/>
        <v>10</v>
      </c>
      <c r="H33" s="62">
        <f t="shared" si="8"/>
        <v>10</v>
      </c>
      <c r="I33" s="62">
        <f t="shared" si="9"/>
        <v>10</v>
      </c>
      <c r="J33" s="62">
        <f t="shared" si="1"/>
        <v>20</v>
      </c>
      <c r="K33" s="62">
        <f t="shared" si="2"/>
        <v>10</v>
      </c>
      <c r="L33" s="62">
        <f t="shared" si="3"/>
        <v>10</v>
      </c>
      <c r="M33" s="62">
        <f t="shared" si="4"/>
        <v>10</v>
      </c>
      <c r="N33" s="62">
        <f t="shared" si="5"/>
        <v>20</v>
      </c>
      <c r="O33" s="62">
        <f t="shared" si="10"/>
        <v>0</v>
      </c>
      <c r="P33" s="62">
        <f t="shared" si="11"/>
        <v>0</v>
      </c>
      <c r="Q33" s="63">
        <f t="shared" si="6"/>
        <v>2</v>
      </c>
      <c r="R33" s="63">
        <f>CEILING(O33/Controls!$B$49,1)</f>
        <v>0</v>
      </c>
      <c r="S33" s="63">
        <f>IF(Controls!$B$45=0,0,N33/(1+Controls!$B$47)*1000000/Controls!$B$45)</f>
        <v>2176.87074829932</v>
      </c>
      <c r="T33" s="63">
        <f>S33*Controls!$B$43*(Controls!$B$36/24)*Controls!$B$10</f>
        <v>1158095.2380952381</v>
      </c>
      <c r="U33" s="62">
        <f>K33*Controls!$B$36*DAY(EOMONTH(B33,0))*Controls!$B$10</f>
        <v>5107.2</v>
      </c>
      <c r="V33" s="62">
        <f>MAX(L33*Controls!$B$36-MIN(L33,M33)*Controls!$B$37,0)*DAY(EOMONTH(B33,0))*Controls!$B$10</f>
        <v>2688</v>
      </c>
      <c r="W33" s="62">
        <f>MIN(L33,M33)*Controls!$B$37*DAY(EOMONTH(B33,0))*Controls!$B$10</f>
        <v>2419.1999999999998</v>
      </c>
      <c r="X33" s="64"/>
      <c r="Y33" s="64"/>
      <c r="Z33" s="64"/>
    </row>
    <row r="34" spans="1:26" ht="15" customHeight="1" x14ac:dyDescent="0.3">
      <c r="A34" s="60">
        <v>33</v>
      </c>
      <c r="B34" s="61">
        <f>EDATE(Controls!$B$7,A34-1)</f>
        <v>47178</v>
      </c>
      <c r="C34" s="60" t="str">
        <f t="shared" si="0"/>
        <v>Mar-29</v>
      </c>
      <c r="D34" s="62">
        <f>IF(A34&lt;2,0,IF(A34=2,Controls!$B$33/2,Controls!$B$33))</f>
        <v>10</v>
      </c>
      <c r="E34" s="62">
        <f>IF(A34&lt;3,0,IF(A34=3,Controls!$B$34/2,Controls!$B$34))</f>
        <v>10</v>
      </c>
      <c r="F34" s="62">
        <f>IF(A34&lt;4,0,Controls!$B$35)</f>
        <v>10</v>
      </c>
      <c r="G34" s="62">
        <f t="shared" si="7"/>
        <v>10</v>
      </c>
      <c r="H34" s="62">
        <f t="shared" si="8"/>
        <v>10</v>
      </c>
      <c r="I34" s="62">
        <f t="shared" si="9"/>
        <v>10</v>
      </c>
      <c r="J34" s="62">
        <f t="shared" si="1"/>
        <v>20</v>
      </c>
      <c r="K34" s="62">
        <f t="shared" si="2"/>
        <v>10</v>
      </c>
      <c r="L34" s="62">
        <f t="shared" si="3"/>
        <v>10</v>
      </c>
      <c r="M34" s="62">
        <f t="shared" si="4"/>
        <v>10</v>
      </c>
      <c r="N34" s="62">
        <f t="shared" si="5"/>
        <v>20</v>
      </c>
      <c r="O34" s="62">
        <f t="shared" si="10"/>
        <v>0</v>
      </c>
      <c r="P34" s="62">
        <f t="shared" si="11"/>
        <v>0</v>
      </c>
      <c r="Q34" s="63">
        <f t="shared" si="6"/>
        <v>2</v>
      </c>
      <c r="R34" s="63">
        <f>CEILING(O34/Controls!$B$49,1)</f>
        <v>0</v>
      </c>
      <c r="S34" s="63">
        <f>IF(Controls!$B$45=0,0,N34/(1+Controls!$B$47)*1000000/Controls!$B$45)</f>
        <v>2176.87074829932</v>
      </c>
      <c r="T34" s="63">
        <f>S34*Controls!$B$43*(Controls!$B$36/24)*Controls!$B$10</f>
        <v>1158095.2380952381</v>
      </c>
      <c r="U34" s="62">
        <f>K34*Controls!$B$36*DAY(EOMONTH(B34,0))*Controls!$B$10</f>
        <v>5654.4</v>
      </c>
      <c r="V34" s="62">
        <f>MAX(L34*Controls!$B$36-MIN(L34,M34)*Controls!$B$37,0)*DAY(EOMONTH(B34,0))*Controls!$B$10</f>
        <v>2976</v>
      </c>
      <c r="W34" s="62">
        <f>MIN(L34,M34)*Controls!$B$37*DAY(EOMONTH(B34,0))*Controls!$B$10</f>
        <v>2678.4</v>
      </c>
      <c r="X34" s="64"/>
      <c r="Y34" s="64"/>
      <c r="Z34" s="64"/>
    </row>
    <row r="35" spans="1:26" ht="15" customHeight="1" x14ac:dyDescent="0.3">
      <c r="A35" s="60">
        <v>34</v>
      </c>
      <c r="B35" s="61">
        <f>EDATE(Controls!$B$7,A35-1)</f>
        <v>47209</v>
      </c>
      <c r="C35" s="60" t="str">
        <f t="shared" si="0"/>
        <v>Apr-29</v>
      </c>
      <c r="D35" s="62">
        <f>IF(A35&lt;2,0,IF(A35=2,Controls!$B$33/2,Controls!$B$33))</f>
        <v>10</v>
      </c>
      <c r="E35" s="62">
        <f>IF(A35&lt;3,0,IF(A35=3,Controls!$B$34/2,Controls!$B$34))</f>
        <v>10</v>
      </c>
      <c r="F35" s="62">
        <f>IF(A35&lt;4,0,Controls!$B$35)</f>
        <v>10</v>
      </c>
      <c r="G35" s="62">
        <f t="shared" si="7"/>
        <v>10</v>
      </c>
      <c r="H35" s="62">
        <f t="shared" si="8"/>
        <v>10</v>
      </c>
      <c r="I35" s="62">
        <f t="shared" si="9"/>
        <v>10</v>
      </c>
      <c r="J35" s="62">
        <f t="shared" si="1"/>
        <v>20</v>
      </c>
      <c r="K35" s="62">
        <f t="shared" si="2"/>
        <v>10</v>
      </c>
      <c r="L35" s="62">
        <f t="shared" si="3"/>
        <v>10</v>
      </c>
      <c r="M35" s="62">
        <f t="shared" si="4"/>
        <v>10</v>
      </c>
      <c r="N35" s="62">
        <f t="shared" si="5"/>
        <v>20</v>
      </c>
      <c r="O35" s="62">
        <f t="shared" si="10"/>
        <v>0</v>
      </c>
      <c r="P35" s="62">
        <f t="shared" si="11"/>
        <v>0</v>
      </c>
      <c r="Q35" s="63">
        <f t="shared" si="6"/>
        <v>2</v>
      </c>
      <c r="R35" s="63">
        <f>CEILING(O35/Controls!$B$49,1)</f>
        <v>0</v>
      </c>
      <c r="S35" s="63">
        <f>IF(Controls!$B$45=0,0,N35/(1+Controls!$B$47)*1000000/Controls!$B$45)</f>
        <v>2176.87074829932</v>
      </c>
      <c r="T35" s="63">
        <f>S35*Controls!$B$43*(Controls!$B$36/24)*Controls!$B$10</f>
        <v>1158095.2380952381</v>
      </c>
      <c r="U35" s="62">
        <f>K35*Controls!$B$36*DAY(EOMONTH(B35,0))*Controls!$B$10</f>
        <v>5472</v>
      </c>
      <c r="V35" s="62">
        <f>MAX(L35*Controls!$B$36-MIN(L35,M35)*Controls!$B$37,0)*DAY(EOMONTH(B35,0))*Controls!$B$10</f>
        <v>2880</v>
      </c>
      <c r="W35" s="62">
        <f>MIN(L35,M35)*Controls!$B$37*DAY(EOMONTH(B35,0))*Controls!$B$10</f>
        <v>2592</v>
      </c>
      <c r="X35" s="64"/>
      <c r="Y35" s="64"/>
      <c r="Z35" s="64"/>
    </row>
    <row r="36" spans="1:26" ht="15" customHeight="1" x14ac:dyDescent="0.3">
      <c r="A36" s="60">
        <v>35</v>
      </c>
      <c r="B36" s="61">
        <f>EDATE(Controls!$B$7,A36-1)</f>
        <v>47239</v>
      </c>
      <c r="C36" s="60" t="str">
        <f t="shared" si="0"/>
        <v>May-29</v>
      </c>
      <c r="D36" s="62">
        <f>IF(A36&lt;2,0,IF(A36=2,Controls!$B$33/2,Controls!$B$33))</f>
        <v>10</v>
      </c>
      <c r="E36" s="62">
        <f>IF(A36&lt;3,0,IF(A36=3,Controls!$B$34/2,Controls!$B$34))</f>
        <v>10</v>
      </c>
      <c r="F36" s="62">
        <f>IF(A36&lt;4,0,Controls!$B$35)</f>
        <v>10</v>
      </c>
      <c r="G36" s="62">
        <f t="shared" si="7"/>
        <v>10</v>
      </c>
      <c r="H36" s="62">
        <f t="shared" si="8"/>
        <v>10</v>
      </c>
      <c r="I36" s="62">
        <f t="shared" si="9"/>
        <v>10</v>
      </c>
      <c r="J36" s="62">
        <f t="shared" si="1"/>
        <v>20</v>
      </c>
      <c r="K36" s="62">
        <f t="shared" si="2"/>
        <v>10</v>
      </c>
      <c r="L36" s="62">
        <f t="shared" si="3"/>
        <v>10</v>
      </c>
      <c r="M36" s="62">
        <f t="shared" si="4"/>
        <v>10</v>
      </c>
      <c r="N36" s="62">
        <f t="shared" si="5"/>
        <v>20</v>
      </c>
      <c r="O36" s="62">
        <f t="shared" si="10"/>
        <v>0</v>
      </c>
      <c r="P36" s="62">
        <f t="shared" si="11"/>
        <v>0</v>
      </c>
      <c r="Q36" s="63">
        <f t="shared" si="6"/>
        <v>2</v>
      </c>
      <c r="R36" s="63">
        <f>CEILING(O36/Controls!$B$49,1)</f>
        <v>0</v>
      </c>
      <c r="S36" s="63">
        <f>IF(Controls!$B$45=0,0,N36/(1+Controls!$B$47)*1000000/Controls!$B$45)</f>
        <v>2176.87074829932</v>
      </c>
      <c r="T36" s="63">
        <f>S36*Controls!$B$43*(Controls!$B$36/24)*Controls!$B$10</f>
        <v>1158095.2380952381</v>
      </c>
      <c r="U36" s="62">
        <f>K36*Controls!$B$36*DAY(EOMONTH(B36,0))*Controls!$B$10</f>
        <v>5654.4</v>
      </c>
      <c r="V36" s="62">
        <f>MAX(L36*Controls!$B$36-MIN(L36,M36)*Controls!$B$37,0)*DAY(EOMONTH(B36,0))*Controls!$B$10</f>
        <v>2976</v>
      </c>
      <c r="W36" s="62">
        <f>MIN(L36,M36)*Controls!$B$37*DAY(EOMONTH(B36,0))*Controls!$B$10</f>
        <v>2678.4</v>
      </c>
      <c r="X36" s="64"/>
      <c r="Y36" s="64"/>
      <c r="Z36" s="64"/>
    </row>
    <row r="37" spans="1:26" ht="15" customHeight="1" x14ac:dyDescent="0.3">
      <c r="A37" s="60">
        <v>36</v>
      </c>
      <c r="B37" s="61">
        <f>EDATE(Controls!$B$7,A37-1)</f>
        <v>47270</v>
      </c>
      <c r="C37" s="60" t="str">
        <f t="shared" si="0"/>
        <v>Jun-29</v>
      </c>
      <c r="D37" s="62">
        <f>IF(A37&lt;2,0,IF(A37=2,Controls!$B$33/2,Controls!$B$33))</f>
        <v>10</v>
      </c>
      <c r="E37" s="62">
        <f>IF(A37&lt;3,0,IF(A37=3,Controls!$B$34/2,Controls!$B$34))</f>
        <v>10</v>
      </c>
      <c r="F37" s="62">
        <f>IF(A37&lt;4,0,Controls!$B$35)</f>
        <v>10</v>
      </c>
      <c r="G37" s="62">
        <f t="shared" si="7"/>
        <v>10</v>
      </c>
      <c r="H37" s="62">
        <f t="shared" si="8"/>
        <v>10</v>
      </c>
      <c r="I37" s="62">
        <f t="shared" si="9"/>
        <v>10</v>
      </c>
      <c r="J37" s="62">
        <f t="shared" si="1"/>
        <v>20</v>
      </c>
      <c r="K37" s="62">
        <f t="shared" si="2"/>
        <v>10</v>
      </c>
      <c r="L37" s="62">
        <f t="shared" si="3"/>
        <v>10</v>
      </c>
      <c r="M37" s="62">
        <f t="shared" si="4"/>
        <v>10</v>
      </c>
      <c r="N37" s="62">
        <f t="shared" si="5"/>
        <v>20</v>
      </c>
      <c r="O37" s="62">
        <f t="shared" si="10"/>
        <v>0</v>
      </c>
      <c r="P37" s="62">
        <f t="shared" si="11"/>
        <v>0</v>
      </c>
      <c r="Q37" s="63">
        <f t="shared" si="6"/>
        <v>2</v>
      </c>
      <c r="R37" s="63">
        <f>CEILING(O37/Controls!$B$49,1)</f>
        <v>0</v>
      </c>
      <c r="S37" s="63">
        <f>IF(Controls!$B$45=0,0,N37/(1+Controls!$B$47)*1000000/Controls!$B$45)</f>
        <v>2176.87074829932</v>
      </c>
      <c r="T37" s="63">
        <f>S37*Controls!$B$43*(Controls!$B$36/24)*Controls!$B$10</f>
        <v>1158095.2380952381</v>
      </c>
      <c r="U37" s="62">
        <f>K37*Controls!$B$36*DAY(EOMONTH(B37,0))*Controls!$B$10</f>
        <v>5472</v>
      </c>
      <c r="V37" s="62">
        <f>MAX(L37*Controls!$B$36-MIN(L37,M37)*Controls!$B$37,0)*DAY(EOMONTH(B37,0))*Controls!$B$10</f>
        <v>2880</v>
      </c>
      <c r="W37" s="62">
        <f>MIN(L37,M37)*Controls!$B$37*DAY(EOMONTH(B37,0))*Controls!$B$10</f>
        <v>2592</v>
      </c>
      <c r="X37" s="64"/>
      <c r="Y37" s="64"/>
      <c r="Z37" s="64"/>
    </row>
  </sheetData>
  <pageMargins left="0.3" right="0.3" top="0.4" bottom="0.4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75569"/>
    <pageSetUpPr fitToPage="1"/>
  </sheetPr>
  <dimension ref="A1:Z100"/>
  <sheetViews>
    <sheetView zoomScaleNormal="100" workbookViewId="0">
      <pane ySplit="1" topLeftCell="A10" activePane="bottomLeft" state="frozen"/>
      <selection pane="bottomLeft"/>
    </sheetView>
  </sheetViews>
  <sheetFormatPr defaultColWidth="8.6640625" defaultRowHeight="13.2" x14ac:dyDescent="0.25"/>
  <cols>
    <col min="1" max="16" width="15" customWidth="1"/>
  </cols>
  <sheetData>
    <row r="1" spans="1:26" ht="25.5" customHeight="1" x14ac:dyDescent="0.25">
      <c r="A1" s="58" t="s">
        <v>113</v>
      </c>
      <c r="B1" s="58" t="s">
        <v>338</v>
      </c>
      <c r="C1" s="58" t="s">
        <v>359</v>
      </c>
      <c r="D1" s="58" t="s">
        <v>360</v>
      </c>
      <c r="E1" s="58" t="s">
        <v>361</v>
      </c>
      <c r="F1" s="58" t="s">
        <v>362</v>
      </c>
      <c r="G1" s="58" t="s">
        <v>363</v>
      </c>
      <c r="H1" s="58" t="s">
        <v>364</v>
      </c>
      <c r="I1" s="58" t="s">
        <v>365</v>
      </c>
      <c r="J1" s="58" t="s">
        <v>366</v>
      </c>
      <c r="K1" s="58" t="s">
        <v>367</v>
      </c>
      <c r="L1" s="59" t="s">
        <v>368</v>
      </c>
      <c r="M1" s="59" t="s">
        <v>369</v>
      </c>
      <c r="N1" s="59" t="s">
        <v>370</v>
      </c>
      <c r="O1" s="59" t="s">
        <v>371</v>
      </c>
      <c r="P1" s="59" t="s">
        <v>372</v>
      </c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5" customHeight="1" x14ac:dyDescent="0.3">
      <c r="A2" s="41">
        <v>1</v>
      </c>
      <c r="B2" s="41" t="str">
        <f>Monthly_Deployment!C2</f>
        <v>Jul-26</v>
      </c>
      <c r="C2" s="65">
        <f>Controls!$B$24*(1+Controls!$B$8)^((A2-1)/12)</f>
        <v>75000</v>
      </c>
      <c r="D2" s="65">
        <f>Controls!$B$26*(1+Controls!$B$9)^((A2-1)/12)</f>
        <v>900000000</v>
      </c>
      <c r="E2" s="66">
        <f>IF(A2&lt;Controls!$B$28,Controls!$B$27,Controls!$B$27/2)</f>
        <v>3.125</v>
      </c>
      <c r="F2" s="67">
        <f>Controls!$B$29+Controls!$B$30*(A2-1)</f>
        <v>0.12</v>
      </c>
      <c r="G2" s="66">
        <f>DAY(EOMONTH(Monthly_Deployment!B2,0))*144*E2*(1+F2)</f>
        <v>15624.000000000002</v>
      </c>
      <c r="H2" s="66">
        <f>IF(D2=0,0,Monthly_Deployment!T2/D2*G2)</f>
        <v>0</v>
      </c>
      <c r="I2" s="66">
        <f>H2*C2*Controls!$B$25/1000</f>
        <v>0</v>
      </c>
      <c r="J2" s="68">
        <f>IF(AND(Controls!$B$11=1,A2&gt;=Controls!$B$12),Monthly_Deployment!N2,0)</f>
        <v>0</v>
      </c>
      <c r="K2" s="65">
        <f>J2*Controls!$B$88*Controls!$B$13</f>
        <v>0</v>
      </c>
      <c r="L2" s="65">
        <f>J2*Controls!$B$89/Controls!$B$90*Controls!$B$13</f>
        <v>0</v>
      </c>
      <c r="M2" s="65">
        <f>J2*Controls!$B$91*Controls!$B$92*Controls!$B$13</f>
        <v>0</v>
      </c>
      <c r="N2" s="65">
        <f t="shared" ref="N2:N37" si="0">K2+L2+M2</f>
        <v>0</v>
      </c>
      <c r="O2" s="65">
        <f>IF(AND(Controls!$B$14=1,A2&gt;=Controls!$B$15),Controls!$B$94*24*DAY(EOMONTH(Monthly_Deployment!B2,0))*Controls!$B$95+Controls!$B$94*Controls!$B$97,0)</f>
        <v>0</v>
      </c>
      <c r="P2" s="65">
        <f t="shared" ref="P2:P37" si="1">I2+N2+O2</f>
        <v>0</v>
      </c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" customHeight="1" x14ac:dyDescent="0.3">
      <c r="A3" s="41">
        <v>2</v>
      </c>
      <c r="B3" s="41" t="str">
        <f>Monthly_Deployment!C3</f>
        <v>Aug-26</v>
      </c>
      <c r="C3" s="65">
        <f>Controls!$B$24*(1+Controls!$B$8)^((A3-1)/12)</f>
        <v>75305.559283773633</v>
      </c>
      <c r="D3" s="65">
        <f>Controls!$B$26*(1+Controls!$B$9)^((A3-1)/12)</f>
        <v>913778523.44975805</v>
      </c>
      <c r="E3" s="66">
        <f>IF(A3&lt;Controls!$B$28,Controls!$B$27,Controls!$B$27/2)</f>
        <v>3.125</v>
      </c>
      <c r="F3" s="67">
        <f>Controls!$B$29+Controls!$B$30*(A3-1)</f>
        <v>0.1225</v>
      </c>
      <c r="G3" s="66">
        <f>DAY(EOMONTH(Monthly_Deployment!B3,0))*144*E3*(1+F3)</f>
        <v>15658.875</v>
      </c>
      <c r="H3" s="66">
        <f>IF(D3=0,0,Monthly_Deployment!T3/D3*G3)</f>
        <v>2.4806980173606656</v>
      </c>
      <c r="I3" s="66">
        <f>H3*C3*Controls!$B$25/1000</f>
        <v>3175.7759773953862</v>
      </c>
      <c r="J3" s="68">
        <f>IF(AND(Controls!$B$11=1,A3&gt;=Controls!$B$12),Monthly_Deployment!N3,0)</f>
        <v>0</v>
      </c>
      <c r="K3" s="65">
        <f>J3*Controls!$B$88*Controls!$B$13</f>
        <v>0</v>
      </c>
      <c r="L3" s="65">
        <f>J3*Controls!$B$89/Controls!$B$90*Controls!$B$13</f>
        <v>0</v>
      </c>
      <c r="M3" s="65">
        <f>J3*Controls!$B$91*Controls!$B$92*Controls!$B$13</f>
        <v>0</v>
      </c>
      <c r="N3" s="65">
        <f t="shared" si="0"/>
        <v>0</v>
      </c>
      <c r="O3" s="65">
        <f>IF(AND(Controls!$B$14=1,A3&gt;=Controls!$B$15),Controls!$B$94*24*DAY(EOMONTH(Monthly_Deployment!B3,0))*Controls!$B$95+Controls!$B$94*Controls!$B$97,0)</f>
        <v>0</v>
      </c>
      <c r="P3" s="65">
        <f t="shared" si="1"/>
        <v>3175.7759773953862</v>
      </c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 x14ac:dyDescent="0.3">
      <c r="A4" s="41">
        <v>3</v>
      </c>
      <c r="B4" s="41" t="str">
        <f>Monthly_Deployment!C4</f>
        <v>Sept-26</v>
      </c>
      <c r="C4" s="65">
        <f>Controls!$B$24*(1+Controls!$B$8)^((A4-1)/12)</f>
        <v>75612.363453892583</v>
      </c>
      <c r="D4" s="65">
        <f>Controls!$B$26*(1+Controls!$B$9)^((A4-1)/12)</f>
        <v>927767988.79780006</v>
      </c>
      <c r="E4" s="66">
        <f>IF(A4&lt;Controls!$B$28,Controls!$B$27,Controls!$B$27/2)</f>
        <v>3.125</v>
      </c>
      <c r="F4" s="67">
        <f>Controls!$B$29+Controls!$B$30*(A4-1)</f>
        <v>0.125</v>
      </c>
      <c r="G4" s="66">
        <f>DAY(EOMONTH(Monthly_Deployment!B4,0))*144*E4*(1+F4)</f>
        <v>15187.5</v>
      </c>
      <c r="H4" s="66">
        <f>IF(D4=0,0,Monthly_Deployment!T4/D4*G4)</f>
        <v>9.478970842356107</v>
      </c>
      <c r="I4" s="66">
        <f>H4*C4*Controls!$B$25/1000</f>
        <v>12184.365604518365</v>
      </c>
      <c r="J4" s="68">
        <f>IF(AND(Controls!$B$11=1,A4&gt;=Controls!$B$12),Monthly_Deployment!N4,0)</f>
        <v>0</v>
      </c>
      <c r="K4" s="65">
        <f>J4*Controls!$B$88*Controls!$B$13</f>
        <v>0</v>
      </c>
      <c r="L4" s="65">
        <f>J4*Controls!$B$89/Controls!$B$90*Controls!$B$13</f>
        <v>0</v>
      </c>
      <c r="M4" s="65">
        <f>J4*Controls!$B$91*Controls!$B$92*Controls!$B$13</f>
        <v>0</v>
      </c>
      <c r="N4" s="65">
        <f t="shared" si="0"/>
        <v>0</v>
      </c>
      <c r="O4" s="65">
        <f>IF(AND(Controls!$B$14=1,A4&gt;=Controls!$B$15),Controls!$B$94*24*DAY(EOMONTH(Monthly_Deployment!B4,0))*Controls!$B$95+Controls!$B$94*Controls!$B$97,0)</f>
        <v>0</v>
      </c>
      <c r="P4" s="65">
        <f t="shared" si="1"/>
        <v>12184.365604518365</v>
      </c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" customHeight="1" x14ac:dyDescent="0.3">
      <c r="A5" s="41">
        <v>4</v>
      </c>
      <c r="B5" s="41" t="str">
        <f>Monthly_Deployment!C5</f>
        <v>Oct-26</v>
      </c>
      <c r="C5" s="65">
        <f>Controls!$B$24*(1+Controls!$B$8)^((A5-1)/12)</f>
        <v>75920.41758217795</v>
      </c>
      <c r="D5" s="65">
        <f>Controls!$B$26*(1+Controls!$B$9)^((A5-1)/12)</f>
        <v>941971625.45289505</v>
      </c>
      <c r="E5" s="66">
        <f>IF(A5&lt;Controls!$B$28,Controls!$B$27,Controls!$B$27/2)</f>
        <v>3.125</v>
      </c>
      <c r="F5" s="67">
        <f>Controls!$B$29+Controls!$B$30*(A5-1)</f>
        <v>0.1275</v>
      </c>
      <c r="G5" s="66">
        <f>DAY(EOMONTH(Monthly_Deployment!B5,0))*144*E5*(1+F5)</f>
        <v>15728.625</v>
      </c>
      <c r="H5" s="66">
        <f>IF(D5=0,0,Monthly_Deployment!T5/D5*G5)</f>
        <v>16.920191191891718</v>
      </c>
      <c r="I5" s="66">
        <f>H5*C5*Controls!$B$25/1000</f>
        <v>21837.995674598045</v>
      </c>
      <c r="J5" s="68">
        <f>IF(AND(Controls!$B$11=1,A5&gt;=Controls!$B$12),Monthly_Deployment!N5,0)</f>
        <v>0</v>
      </c>
      <c r="K5" s="65">
        <f>J5*Controls!$B$88*Controls!$B$13</f>
        <v>0</v>
      </c>
      <c r="L5" s="65">
        <f>J5*Controls!$B$89/Controls!$B$90*Controls!$B$13</f>
        <v>0</v>
      </c>
      <c r="M5" s="65">
        <f>J5*Controls!$B$91*Controls!$B$92*Controls!$B$13</f>
        <v>0</v>
      </c>
      <c r="N5" s="65">
        <f t="shared" si="0"/>
        <v>0</v>
      </c>
      <c r="O5" s="65">
        <f>IF(AND(Controls!$B$14=1,A5&gt;=Controls!$B$15),Controls!$B$94*24*DAY(EOMONTH(Monthly_Deployment!B5,0))*Controls!$B$95+Controls!$B$94*Controls!$B$97,0)</f>
        <v>0</v>
      </c>
      <c r="P5" s="65">
        <f t="shared" si="1"/>
        <v>21837.995674598045</v>
      </c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" customHeight="1" x14ac:dyDescent="0.3">
      <c r="A6" s="41">
        <v>5</v>
      </c>
      <c r="B6" s="41" t="str">
        <f>Monthly_Deployment!C6</f>
        <v>Nov-26</v>
      </c>
      <c r="C6" s="65">
        <f>Controls!$B$24*(1+Controls!$B$8)^((A6-1)/12)</f>
        <v>76229.726761114012</v>
      </c>
      <c r="D6" s="65">
        <f>Controls!$B$26*(1+Controls!$B$9)^((A6-1)/12)</f>
        <v>956392712.26435006</v>
      </c>
      <c r="E6" s="66">
        <f>IF(A6&lt;Controls!$B$28,Controls!$B$27,Controls!$B$27/2)</f>
        <v>3.125</v>
      </c>
      <c r="F6" s="67">
        <f>Controls!$B$29+Controls!$B$30*(A6-1)</f>
        <v>0.13</v>
      </c>
      <c r="G6" s="66">
        <f>DAY(EOMONTH(Monthly_Deployment!B6,0))*144*E6*(1+F6)</f>
        <v>15254.999999999998</v>
      </c>
      <c r="H6" s="66">
        <f>IF(D6=0,0,Monthly_Deployment!T6/D6*G6)</f>
        <v>18.472268379497763</v>
      </c>
      <c r="I6" s="66">
        <f>H6*C6*Controls!$B$25/1000</f>
        <v>23938.311510860371</v>
      </c>
      <c r="J6" s="68">
        <f>IF(AND(Controls!$B$11=1,A6&gt;=Controls!$B$12),Monthly_Deployment!N6,0)</f>
        <v>0</v>
      </c>
      <c r="K6" s="65">
        <f>J6*Controls!$B$88*Controls!$B$13</f>
        <v>0</v>
      </c>
      <c r="L6" s="65">
        <f>J6*Controls!$B$89/Controls!$B$90*Controls!$B$13</f>
        <v>0</v>
      </c>
      <c r="M6" s="65">
        <f>J6*Controls!$B$91*Controls!$B$92*Controls!$B$13</f>
        <v>0</v>
      </c>
      <c r="N6" s="65">
        <f t="shared" si="0"/>
        <v>0</v>
      </c>
      <c r="O6" s="65">
        <f>IF(AND(Controls!$B$14=1,A6&gt;=Controls!$B$15),Controls!$B$94*24*DAY(EOMONTH(Monthly_Deployment!B6,0))*Controls!$B$95+Controls!$B$94*Controls!$B$97,0)</f>
        <v>0</v>
      </c>
      <c r="P6" s="65">
        <f t="shared" si="1"/>
        <v>23938.311510860371</v>
      </c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" customHeight="1" x14ac:dyDescent="0.3">
      <c r="A7" s="41">
        <v>6</v>
      </c>
      <c r="B7" s="41" t="str">
        <f>Monthly_Deployment!C7</f>
        <v>Dec-26</v>
      </c>
      <c r="C7" s="65">
        <f>Controls!$B$24*(1+Controls!$B$8)^((A7-1)/12)</f>
        <v>76540.296103932473</v>
      </c>
      <c r="D7" s="65">
        <f>Controls!$B$26*(1+Controls!$B$9)^((A7-1)/12)</f>
        <v>971034578.27891886</v>
      </c>
      <c r="E7" s="66">
        <f>IF(A7&lt;Controls!$B$28,Controls!$B$27,Controls!$B$27/2)</f>
        <v>3.125</v>
      </c>
      <c r="F7" s="67">
        <f>Controls!$B$29+Controls!$B$30*(A7-1)</f>
        <v>0.13250000000000001</v>
      </c>
      <c r="G7" s="66">
        <f>DAY(EOMONTH(Monthly_Deployment!B7,0))*144*E7*(1+F7)</f>
        <v>15798.375</v>
      </c>
      <c r="H7" s="66">
        <f>IF(D7=0,0,Monthly_Deployment!T7/D7*G7)</f>
        <v>18.841783049138265</v>
      </c>
      <c r="I7" s="66">
        <f>H7*C7*Controls!$B$25/1000</f>
        <v>24516.646113020674</v>
      </c>
      <c r="J7" s="68">
        <f>IF(AND(Controls!$B$11=1,A7&gt;=Controls!$B$12),Monthly_Deployment!N7,0)</f>
        <v>0</v>
      </c>
      <c r="K7" s="65">
        <f>J7*Controls!$B$88*Controls!$B$13</f>
        <v>0</v>
      </c>
      <c r="L7" s="65">
        <f>J7*Controls!$B$89/Controls!$B$90*Controls!$B$13</f>
        <v>0</v>
      </c>
      <c r="M7" s="65">
        <f>J7*Controls!$B$91*Controls!$B$92*Controls!$B$13</f>
        <v>0</v>
      </c>
      <c r="N7" s="65">
        <f t="shared" si="0"/>
        <v>0</v>
      </c>
      <c r="O7" s="65">
        <f>IF(AND(Controls!$B$14=1,A7&gt;=Controls!$B$15),Controls!$B$94*24*DAY(EOMONTH(Monthly_Deployment!B7,0))*Controls!$B$95+Controls!$B$94*Controls!$B$97,0)</f>
        <v>0</v>
      </c>
      <c r="P7" s="65">
        <f t="shared" si="1"/>
        <v>24516.646113020674</v>
      </c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" customHeight="1" x14ac:dyDescent="0.3">
      <c r="A8" s="41">
        <v>7</v>
      </c>
      <c r="B8" s="41" t="str">
        <f>Monthly_Deployment!C8</f>
        <v>Jan-27</v>
      </c>
      <c r="C8" s="65">
        <f>Controls!$B$24*(1+Controls!$B$8)^((A8-1)/12)</f>
        <v>76852.130744696988</v>
      </c>
      <c r="D8" s="65">
        <f>Controls!$B$26*(1+Controls!$B$9)^((A8-1)/12)</f>
        <v>985900603.50929892</v>
      </c>
      <c r="E8" s="66">
        <f>IF(A8&lt;Controls!$B$28,Controls!$B$27,Controls!$B$27/2)</f>
        <v>3.125</v>
      </c>
      <c r="F8" s="67">
        <f>Controls!$B$29+Controls!$B$30*(A8-1)</f>
        <v>0.13500000000000001</v>
      </c>
      <c r="G8" s="66">
        <f>DAY(EOMONTH(Monthly_Deployment!B8,0))*144*E8*(1+F8)</f>
        <v>15833.25</v>
      </c>
      <c r="H8" s="66">
        <f>IF(D8=0,0,Monthly_Deployment!T8/D8*G8)</f>
        <v>18.598641042822408</v>
      </c>
      <c r="I8" s="66">
        <f>H8*C8*Controls!$B$25/1000</f>
        <v>24298.868282643478</v>
      </c>
      <c r="J8" s="68">
        <f>IF(AND(Controls!$B$11=1,A8&gt;=Controls!$B$12),Monthly_Deployment!N8,0)</f>
        <v>0</v>
      </c>
      <c r="K8" s="65">
        <f>J8*Controls!$B$88*Controls!$B$13</f>
        <v>0</v>
      </c>
      <c r="L8" s="65">
        <f>J8*Controls!$B$89/Controls!$B$90*Controls!$B$13</f>
        <v>0</v>
      </c>
      <c r="M8" s="65">
        <f>J8*Controls!$B$91*Controls!$B$92*Controls!$B$13</f>
        <v>0</v>
      </c>
      <c r="N8" s="65">
        <f t="shared" si="0"/>
        <v>0</v>
      </c>
      <c r="O8" s="65">
        <f>IF(AND(Controls!$B$14=1,A8&gt;=Controls!$B$15),Controls!$B$94*24*DAY(EOMONTH(Monthly_Deployment!B8,0))*Controls!$B$95+Controls!$B$94*Controls!$B$97,0)</f>
        <v>0</v>
      </c>
      <c r="P8" s="65">
        <f t="shared" si="1"/>
        <v>24298.868282643478</v>
      </c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" customHeight="1" x14ac:dyDescent="0.3">
      <c r="A9" s="41">
        <v>8</v>
      </c>
      <c r="B9" s="41" t="str">
        <f>Monthly_Deployment!C9</f>
        <v>Feb-27</v>
      </c>
      <c r="C9" s="65">
        <f>Controls!$B$24*(1+Controls!$B$8)^((A9-1)/12)</f>
        <v>77165.23583838802</v>
      </c>
      <c r="D9" s="65">
        <f>Controls!$B$26*(1+Controls!$B$9)^((A9-1)/12)</f>
        <v>1000994219.7143918</v>
      </c>
      <c r="E9" s="66">
        <f>IF(A9&lt;Controls!$B$28,Controls!$B$27,Controls!$B$27/2)</f>
        <v>3.125</v>
      </c>
      <c r="F9" s="67">
        <f>Controls!$B$29+Controls!$B$30*(A9-1)</f>
        <v>0.13750000000000001</v>
      </c>
      <c r="G9" s="66">
        <f>DAY(EOMONTH(Monthly_Deployment!B9,0))*144*E9*(1+F9)</f>
        <v>14332.5</v>
      </c>
      <c r="H9" s="66">
        <f>IF(D9=0,0,Monthly_Deployment!T9/D9*G9)</f>
        <v>16.581913934264207</v>
      </c>
      <c r="I9" s="66">
        <f>H9*C9*Controls!$B$25/1000</f>
        <v>21752.304089618956</v>
      </c>
      <c r="J9" s="68">
        <f>IF(AND(Controls!$B$11=1,A9&gt;=Controls!$B$12),Monthly_Deployment!N9,0)</f>
        <v>0</v>
      </c>
      <c r="K9" s="65">
        <f>J9*Controls!$B$88*Controls!$B$13</f>
        <v>0</v>
      </c>
      <c r="L9" s="65">
        <f>J9*Controls!$B$89/Controls!$B$90*Controls!$B$13</f>
        <v>0</v>
      </c>
      <c r="M9" s="65">
        <f>J9*Controls!$B$91*Controls!$B$92*Controls!$B$13</f>
        <v>0</v>
      </c>
      <c r="N9" s="65">
        <f t="shared" si="0"/>
        <v>0</v>
      </c>
      <c r="O9" s="65">
        <f>IF(AND(Controls!$B$14=1,A9&gt;=Controls!$B$15),Controls!$B$94*24*DAY(EOMONTH(Monthly_Deployment!B9,0))*Controls!$B$95+Controls!$B$94*Controls!$B$97,0)</f>
        <v>0</v>
      </c>
      <c r="P9" s="65">
        <f t="shared" si="1"/>
        <v>21752.304089618956</v>
      </c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" customHeight="1" x14ac:dyDescent="0.3">
      <c r="A10" s="41">
        <v>9</v>
      </c>
      <c r="B10" s="41" t="str">
        <f>Monthly_Deployment!C10</f>
        <v>Mar-27</v>
      </c>
      <c r="C10" s="65">
        <f>Controls!$B$24*(1+Controls!$B$8)^((A10-1)/12)</f>
        <v>77479.616560988012</v>
      </c>
      <c r="D10" s="65">
        <f>Controls!$B$26*(1+Controls!$B$9)^((A10-1)/12)</f>
        <v>1016318911.1915107</v>
      </c>
      <c r="E10" s="66">
        <f>IF(A10&lt;Controls!$B$28,Controls!$B$27,Controls!$B$27/2)</f>
        <v>3.125</v>
      </c>
      <c r="F10" s="67">
        <f>Controls!$B$29+Controls!$B$30*(A10-1)</f>
        <v>0.13999999999999999</v>
      </c>
      <c r="G10" s="66">
        <f>DAY(EOMONTH(Monthly_Deployment!B10,0))*144*E10*(1+F10)</f>
        <v>15902.999999999998</v>
      </c>
      <c r="H10" s="66">
        <f>IF(D10=0,0,Monthly_Deployment!T10/D10*G10)</f>
        <v>18.121465977482057</v>
      </c>
      <c r="I10" s="66">
        <f>H10*C10*Controls!$B$25/1000</f>
        <v>23868.75200279109</v>
      </c>
      <c r="J10" s="68">
        <f>IF(AND(Controls!$B$11=1,A10&gt;=Controls!$B$12),Monthly_Deployment!N10,0)</f>
        <v>0</v>
      </c>
      <c r="K10" s="65">
        <f>J10*Controls!$B$88*Controls!$B$13</f>
        <v>0</v>
      </c>
      <c r="L10" s="65">
        <f>J10*Controls!$B$89/Controls!$B$90*Controls!$B$13</f>
        <v>0</v>
      </c>
      <c r="M10" s="65">
        <f>J10*Controls!$B$91*Controls!$B$92*Controls!$B$13</f>
        <v>0</v>
      </c>
      <c r="N10" s="65">
        <f t="shared" si="0"/>
        <v>0</v>
      </c>
      <c r="O10" s="65">
        <f>IF(AND(Controls!$B$14=1,A10&gt;=Controls!$B$15),Controls!$B$94*24*DAY(EOMONTH(Monthly_Deployment!B10,0))*Controls!$B$95+Controls!$B$94*Controls!$B$97,0)</f>
        <v>0</v>
      </c>
      <c r="P10" s="65">
        <f t="shared" si="1"/>
        <v>23868.75200279109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" customHeight="1" x14ac:dyDescent="0.3">
      <c r="A11" s="41">
        <v>10</v>
      </c>
      <c r="B11" s="41" t="str">
        <f>Monthly_Deployment!C11</f>
        <v>Apr-27</v>
      </c>
      <c r="C11" s="65">
        <f>Controls!$B$24*(1+Controls!$B$8)^((A11-1)/12)</f>
        <v>77795.27810956708</v>
      </c>
      <c r="D11" s="65">
        <f>Controls!$B$26*(1+Controls!$B$9)^((A11-1)/12)</f>
        <v>1031878215.5807161</v>
      </c>
      <c r="E11" s="66">
        <f>IF(A11&lt;Controls!$B$28,Controls!$B$27,Controls!$B$27/2)</f>
        <v>3.125</v>
      </c>
      <c r="F11" s="67">
        <f>Controls!$B$29+Controls!$B$30*(A11-1)</f>
        <v>0.14249999999999999</v>
      </c>
      <c r="G11" s="66">
        <f>DAY(EOMONTH(Monthly_Deployment!B11,0))*144*E11*(1+F11)</f>
        <v>15423.750000000002</v>
      </c>
      <c r="H11" s="66">
        <f>IF(D11=0,0,Monthly_Deployment!T11/D11*G11)</f>
        <v>17.31034841017458</v>
      </c>
      <c r="I11" s="66">
        <f>H11*C11*Controls!$B$25/1000</f>
        <v>22893.277268631573</v>
      </c>
      <c r="J11" s="68">
        <f>IF(AND(Controls!$B$11=1,A11&gt;=Controls!$B$12),Monthly_Deployment!N11,0)</f>
        <v>0</v>
      </c>
      <c r="K11" s="65">
        <f>J11*Controls!$B$88*Controls!$B$13</f>
        <v>0</v>
      </c>
      <c r="L11" s="65">
        <f>J11*Controls!$B$89/Controls!$B$90*Controls!$B$13</f>
        <v>0</v>
      </c>
      <c r="M11" s="65">
        <f>J11*Controls!$B$91*Controls!$B$92*Controls!$B$13</f>
        <v>0</v>
      </c>
      <c r="N11" s="65">
        <f t="shared" si="0"/>
        <v>0</v>
      </c>
      <c r="O11" s="65">
        <f>IF(AND(Controls!$B$14=1,A11&gt;=Controls!$B$15),Controls!$B$94*24*DAY(EOMONTH(Monthly_Deployment!B11,0))*Controls!$B$95+Controls!$B$94*Controls!$B$97,0)</f>
        <v>0</v>
      </c>
      <c r="P11" s="65">
        <f t="shared" si="1"/>
        <v>22893.277268631573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" customHeight="1" x14ac:dyDescent="0.3">
      <c r="A12" s="41">
        <v>11</v>
      </c>
      <c r="B12" s="41" t="str">
        <f>Monthly_Deployment!C12</f>
        <v>May-27</v>
      </c>
      <c r="C12" s="65">
        <f>Controls!$B$24*(1+Controls!$B$8)^((A12-1)/12)</f>
        <v>78112.225702368814</v>
      </c>
      <c r="D12" s="65">
        <f>Controls!$B$26*(1+Controls!$B$9)^((A12-1)/12)</f>
        <v>1047675724.6814644</v>
      </c>
      <c r="E12" s="66">
        <f>IF(A12&lt;Controls!$B$28,Controls!$B$27,Controls!$B$27/2)</f>
        <v>3.125</v>
      </c>
      <c r="F12" s="67">
        <f>Controls!$B$29+Controls!$B$30*(A12-1)</f>
        <v>0.14499999999999999</v>
      </c>
      <c r="G12" s="66">
        <f>DAY(EOMONTH(Monthly_Deployment!B12,0))*144*E12*(1+F12)</f>
        <v>15972.75</v>
      </c>
      <c r="H12" s="66">
        <f>IF(D12=0,0,Monthly_Deployment!T12/D12*G12)</f>
        <v>17.65619387612502</v>
      </c>
      <c r="I12" s="66">
        <f>H12*C12*Controls!$B$25/1000</f>
        <v>23445.798218643213</v>
      </c>
      <c r="J12" s="68">
        <f>IF(AND(Controls!$B$11=1,A12&gt;=Controls!$B$12),Monthly_Deployment!N12,0)</f>
        <v>0</v>
      </c>
      <c r="K12" s="65">
        <f>J12*Controls!$B$88*Controls!$B$13</f>
        <v>0</v>
      </c>
      <c r="L12" s="65">
        <f>J12*Controls!$B$89/Controls!$B$90*Controls!$B$13</f>
        <v>0</v>
      </c>
      <c r="M12" s="65">
        <f>J12*Controls!$B$91*Controls!$B$92*Controls!$B$13</f>
        <v>0</v>
      </c>
      <c r="N12" s="65">
        <f t="shared" si="0"/>
        <v>0</v>
      </c>
      <c r="O12" s="65">
        <f>IF(AND(Controls!$B$14=1,A12&gt;=Controls!$B$15),Controls!$B$94*24*DAY(EOMONTH(Monthly_Deployment!B12,0))*Controls!$B$95+Controls!$B$94*Controls!$B$97,0)</f>
        <v>0</v>
      </c>
      <c r="P12" s="65">
        <f t="shared" si="1"/>
        <v>23445.798218643213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" customHeight="1" x14ac:dyDescent="0.3">
      <c r="A13" s="41">
        <v>12</v>
      </c>
      <c r="B13" s="41" t="str">
        <f>Monthly_Deployment!C13</f>
        <v>Jun-27</v>
      </c>
      <c r="C13" s="65">
        <f>Controls!$B$24*(1+Controls!$B$8)^((A13-1)/12)</f>
        <v>78430.464578896543</v>
      </c>
      <c r="D13" s="65">
        <f>Controls!$B$26*(1+Controls!$B$9)^((A13-1)/12)</f>
        <v>1063715085.2817599</v>
      </c>
      <c r="E13" s="66">
        <f>IF(A13&lt;Controls!$B$28,Controls!$B$27,Controls!$B$27/2)</f>
        <v>3.125</v>
      </c>
      <c r="F13" s="67">
        <f>Controls!$B$29+Controls!$B$30*(A13-1)</f>
        <v>0.14749999999999999</v>
      </c>
      <c r="G13" s="66">
        <f>DAY(EOMONTH(Monthly_Deployment!B13,0))*144*E13*(1+F13)</f>
        <v>15491.25</v>
      </c>
      <c r="H13" s="66">
        <f>IF(D13=0,0,Monthly_Deployment!T13/D13*G13)</f>
        <v>16.865740747101249</v>
      </c>
      <c r="I13" s="66">
        <f>H13*C13*Controls!$B$25/1000</f>
        <v>22487.3939984604</v>
      </c>
      <c r="J13" s="68">
        <f>IF(AND(Controls!$B$11=1,A13&gt;=Controls!$B$12),Monthly_Deployment!N13,0)</f>
        <v>0</v>
      </c>
      <c r="K13" s="65">
        <f>J13*Controls!$B$88*Controls!$B$13</f>
        <v>0</v>
      </c>
      <c r="L13" s="65">
        <f>J13*Controls!$B$89/Controls!$B$90*Controls!$B$13</f>
        <v>0</v>
      </c>
      <c r="M13" s="65">
        <f>J13*Controls!$B$91*Controls!$B$92*Controls!$B$13</f>
        <v>0</v>
      </c>
      <c r="N13" s="65">
        <f t="shared" si="0"/>
        <v>0</v>
      </c>
      <c r="O13" s="65">
        <f>IF(AND(Controls!$B$14=1,A13&gt;=Controls!$B$15),Controls!$B$94*24*DAY(EOMONTH(Monthly_Deployment!B13,0))*Controls!$B$95+Controls!$B$94*Controls!$B$97,0)</f>
        <v>0</v>
      </c>
      <c r="P13" s="65">
        <f t="shared" si="1"/>
        <v>22487.3939984604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" customHeight="1" x14ac:dyDescent="0.3">
      <c r="A14" s="41">
        <v>13</v>
      </c>
      <c r="B14" s="41" t="str">
        <f>Monthly_Deployment!C14</f>
        <v>Jul-27</v>
      </c>
      <c r="C14" s="65">
        <f>Controls!$B$24*(1+Controls!$B$8)^((A14-1)/12)</f>
        <v>78750</v>
      </c>
      <c r="D14" s="65">
        <f>Controls!$B$26*(1+Controls!$B$9)^((A14-1)/12)</f>
        <v>1080000000</v>
      </c>
      <c r="E14" s="66">
        <f>IF(A14&lt;Controls!$B$28,Controls!$B$27,Controls!$B$27/2)</f>
        <v>3.125</v>
      </c>
      <c r="F14" s="67">
        <f>Controls!$B$29+Controls!$B$30*(A14-1)</f>
        <v>0.15</v>
      </c>
      <c r="G14" s="66">
        <f>DAY(EOMONTH(Monthly_Deployment!B14,0))*144*E14*(1+F14)</f>
        <v>16042.499999999998</v>
      </c>
      <c r="H14" s="66">
        <f>IF(D14=0,0,Monthly_Deployment!T14/D14*G14)</f>
        <v>17.20253968253968</v>
      </c>
      <c r="I14" s="66">
        <f>H14*C14*Controls!$B$25/1000</f>
        <v>23029.899999999998</v>
      </c>
      <c r="J14" s="68">
        <f>IF(AND(Controls!$B$11=1,A14&gt;=Controls!$B$12),Monthly_Deployment!N14,0)</f>
        <v>0</v>
      </c>
      <c r="K14" s="65">
        <f>J14*Controls!$B$88*Controls!$B$13</f>
        <v>0</v>
      </c>
      <c r="L14" s="65">
        <f>J14*Controls!$B$89/Controls!$B$90*Controls!$B$13</f>
        <v>0</v>
      </c>
      <c r="M14" s="65">
        <f>J14*Controls!$B$91*Controls!$B$92*Controls!$B$13</f>
        <v>0</v>
      </c>
      <c r="N14" s="65">
        <f t="shared" si="0"/>
        <v>0</v>
      </c>
      <c r="O14" s="65">
        <f>IF(AND(Controls!$B$14=1,A14&gt;=Controls!$B$15),Controls!$B$94*24*DAY(EOMONTH(Monthly_Deployment!B14,0))*Controls!$B$95+Controls!$B$94*Controls!$B$97,0)</f>
        <v>0</v>
      </c>
      <c r="P14" s="65">
        <f t="shared" si="1"/>
        <v>23029.899999999998</v>
      </c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" customHeight="1" x14ac:dyDescent="0.3">
      <c r="A15" s="41">
        <v>14</v>
      </c>
      <c r="B15" s="41" t="str">
        <f>Monthly_Deployment!C15</f>
        <v>Aug-27</v>
      </c>
      <c r="C15" s="65">
        <f>Controls!$B$24*(1+Controls!$B$8)^((A15-1)/12)</f>
        <v>79070.837247962307</v>
      </c>
      <c r="D15" s="65">
        <f>Controls!$B$26*(1+Controls!$B$9)^((A15-1)/12)</f>
        <v>1096534228.1397097</v>
      </c>
      <c r="E15" s="66">
        <f>IF(A15&lt;Controls!$B$28,Controls!$B$27,Controls!$B$27/2)</f>
        <v>3.125</v>
      </c>
      <c r="F15" s="67">
        <f>Controls!$B$29+Controls!$B$30*(A15-1)</f>
        <v>0.1525</v>
      </c>
      <c r="G15" s="66">
        <f>DAY(EOMONTH(Monthly_Deployment!B15,0))*144*E15*(1+F15)</f>
        <v>16077.375000000002</v>
      </c>
      <c r="H15" s="66">
        <f>IF(D15=0,0,Monthly_Deployment!T15/D15*G15)</f>
        <v>16.979981974807231</v>
      </c>
      <c r="I15" s="66">
        <f>H15*C15*Controls!$B$25/1000</f>
        <v>22824.563650456377</v>
      </c>
      <c r="J15" s="68">
        <f>IF(AND(Controls!$B$11=1,A15&gt;=Controls!$B$12),Monthly_Deployment!N15,0)</f>
        <v>0</v>
      </c>
      <c r="K15" s="65">
        <f>J15*Controls!$B$88*Controls!$B$13</f>
        <v>0</v>
      </c>
      <c r="L15" s="65">
        <f>J15*Controls!$B$89/Controls!$B$90*Controls!$B$13</f>
        <v>0</v>
      </c>
      <c r="M15" s="65">
        <f>J15*Controls!$B$91*Controls!$B$92*Controls!$B$13</f>
        <v>0</v>
      </c>
      <c r="N15" s="65">
        <f t="shared" si="0"/>
        <v>0</v>
      </c>
      <c r="O15" s="65">
        <f>IF(AND(Controls!$B$14=1,A15&gt;=Controls!$B$15),Controls!$B$94*24*DAY(EOMONTH(Monthly_Deployment!B15,0))*Controls!$B$95+Controls!$B$94*Controls!$B$97,0)</f>
        <v>0</v>
      </c>
      <c r="P15" s="65">
        <f t="shared" si="1"/>
        <v>22824.563650456377</v>
      </c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" customHeight="1" x14ac:dyDescent="0.3">
      <c r="A16" s="41">
        <v>15</v>
      </c>
      <c r="B16" s="41" t="str">
        <f>Monthly_Deployment!C16</f>
        <v>Sept-27</v>
      </c>
      <c r="C16" s="65">
        <f>Controls!$B$24*(1+Controls!$B$8)^((A16-1)/12)</f>
        <v>79392.981626587207</v>
      </c>
      <c r="D16" s="65">
        <f>Controls!$B$26*(1+Controls!$B$9)^((A16-1)/12)</f>
        <v>1113321586.5573602</v>
      </c>
      <c r="E16" s="66">
        <f>IF(A16&lt;Controls!$B$28,Controls!$B$27,Controls!$B$27/2)</f>
        <v>3.125</v>
      </c>
      <c r="F16" s="67">
        <f>Controls!$B$29+Controls!$B$30*(A16-1)</f>
        <v>0.155</v>
      </c>
      <c r="G16" s="66">
        <f>DAY(EOMONTH(Monthly_Deployment!B16,0))*144*E16*(1+F16)</f>
        <v>15592.5</v>
      </c>
      <c r="H16" s="66">
        <f>IF(D16=0,0,Monthly_Deployment!T16/D16*G16)</f>
        <v>16.219572330253783</v>
      </c>
      <c r="I16" s="66">
        <f>H16*C16*Controls!$B$25/1000</f>
        <v>21891.243536117992</v>
      </c>
      <c r="J16" s="68">
        <f>IF(AND(Controls!$B$11=1,A16&gt;=Controls!$B$12),Monthly_Deployment!N16,0)</f>
        <v>0</v>
      </c>
      <c r="K16" s="65">
        <f>J16*Controls!$B$88*Controls!$B$13</f>
        <v>0</v>
      </c>
      <c r="L16" s="65">
        <f>J16*Controls!$B$89/Controls!$B$90*Controls!$B$13</f>
        <v>0</v>
      </c>
      <c r="M16" s="65">
        <f>J16*Controls!$B$91*Controls!$B$92*Controls!$B$13</f>
        <v>0</v>
      </c>
      <c r="N16" s="65">
        <f t="shared" si="0"/>
        <v>0</v>
      </c>
      <c r="O16" s="65">
        <f>IF(AND(Controls!$B$14=1,A16&gt;=Controls!$B$15),Controls!$B$94*24*DAY(EOMONTH(Monthly_Deployment!B16,0))*Controls!$B$95+Controls!$B$94*Controls!$B$97,0)</f>
        <v>0</v>
      </c>
      <c r="P16" s="65">
        <f t="shared" si="1"/>
        <v>21891.243536117992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" customHeight="1" x14ac:dyDescent="0.3">
      <c r="A17" s="41">
        <v>16</v>
      </c>
      <c r="B17" s="41" t="str">
        <f>Monthly_Deployment!C17</f>
        <v>Oct-27</v>
      </c>
      <c r="C17" s="65">
        <f>Controls!$B$24*(1+Controls!$B$8)^((A17-1)/12)</f>
        <v>79716.438461286845</v>
      </c>
      <c r="D17" s="65">
        <f>Controls!$B$26*(1+Controls!$B$9)^((A17-1)/12)</f>
        <v>1130365950.543474</v>
      </c>
      <c r="E17" s="66">
        <f>IF(A17&lt;Controls!$B$28,Controls!$B$27,Controls!$B$27/2)</f>
        <v>3.125</v>
      </c>
      <c r="F17" s="67">
        <f>Controls!$B$29+Controls!$B$30*(A17-1)</f>
        <v>0.1575</v>
      </c>
      <c r="G17" s="66">
        <f>DAY(EOMONTH(Monthly_Deployment!B17,0))*144*E17*(1+F17)</f>
        <v>16147.125</v>
      </c>
      <c r="H17" s="66">
        <f>IF(D17=0,0,Monthly_Deployment!T17/D17*G17)</f>
        <v>16.5432341291223</v>
      </c>
      <c r="I17" s="66">
        <f>H17*C17*Controls!$B$25/1000</f>
        <v>22419.050991882246</v>
      </c>
      <c r="J17" s="68">
        <f>IF(AND(Controls!$B$11=1,A17&gt;=Controls!$B$12),Monthly_Deployment!N17,0)</f>
        <v>0</v>
      </c>
      <c r="K17" s="65">
        <f>J17*Controls!$B$88*Controls!$B$13</f>
        <v>0</v>
      </c>
      <c r="L17" s="65">
        <f>J17*Controls!$B$89/Controls!$B$90*Controls!$B$13</f>
        <v>0</v>
      </c>
      <c r="M17" s="65">
        <f>J17*Controls!$B$91*Controls!$B$92*Controls!$B$13</f>
        <v>0</v>
      </c>
      <c r="N17" s="65">
        <f t="shared" si="0"/>
        <v>0</v>
      </c>
      <c r="O17" s="65">
        <f>IF(AND(Controls!$B$14=1,A17&gt;=Controls!$B$15),Controls!$B$94*24*DAY(EOMONTH(Monthly_Deployment!B17,0))*Controls!$B$95+Controls!$B$94*Controls!$B$97,0)</f>
        <v>0</v>
      </c>
      <c r="P17" s="65">
        <f t="shared" si="1"/>
        <v>22419.050991882246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" customHeight="1" x14ac:dyDescent="0.3">
      <c r="A18" s="41">
        <v>17</v>
      </c>
      <c r="B18" s="41" t="str">
        <f>Monthly_Deployment!C18</f>
        <v>Nov-27</v>
      </c>
      <c r="C18" s="65">
        <f>Controls!$B$24*(1+Controls!$B$8)^((A18-1)/12)</f>
        <v>80041.213099169705</v>
      </c>
      <c r="D18" s="65">
        <f>Controls!$B$26*(1+Controls!$B$9)^((A18-1)/12)</f>
        <v>1147671254.7172201</v>
      </c>
      <c r="E18" s="66">
        <f>IF(A18&lt;Controls!$B$28,Controls!$B$27,Controls!$B$27/2)</f>
        <v>3.125</v>
      </c>
      <c r="F18" s="67">
        <f>Controls!$B$29+Controls!$B$30*(A18-1)</f>
        <v>0.16</v>
      </c>
      <c r="G18" s="66">
        <f>DAY(EOMONTH(Monthly_Deployment!B18,0))*144*E18*(1+F18)</f>
        <v>15659.999999999998</v>
      </c>
      <c r="H18" s="66">
        <f>IF(D18=0,0,Monthly_Deployment!T18/D18*G18)</f>
        <v>15.802235486885992</v>
      </c>
      <c r="I18" s="66">
        <f>H18*C18*Controls!$B$25/1000</f>
        <v>21502.11166683476</v>
      </c>
      <c r="J18" s="68">
        <f>IF(AND(Controls!$B$11=1,A18&gt;=Controls!$B$12),Monthly_Deployment!N18,0)</f>
        <v>0</v>
      </c>
      <c r="K18" s="65">
        <f>J18*Controls!$B$88*Controls!$B$13</f>
        <v>0</v>
      </c>
      <c r="L18" s="65">
        <f>J18*Controls!$B$89/Controls!$B$90*Controls!$B$13</f>
        <v>0</v>
      </c>
      <c r="M18" s="65">
        <f>J18*Controls!$B$91*Controls!$B$92*Controls!$B$13</f>
        <v>0</v>
      </c>
      <c r="N18" s="65">
        <f t="shared" si="0"/>
        <v>0</v>
      </c>
      <c r="O18" s="65">
        <f>IF(AND(Controls!$B$14=1,A18&gt;=Controls!$B$15),Controls!$B$94*24*DAY(EOMONTH(Monthly_Deployment!B18,0))*Controls!$B$95+Controls!$B$94*Controls!$B$97,0)</f>
        <v>0</v>
      </c>
      <c r="P18" s="65">
        <f t="shared" si="1"/>
        <v>21502.11166683476</v>
      </c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" customHeight="1" x14ac:dyDescent="0.3">
      <c r="A19" s="41">
        <v>18</v>
      </c>
      <c r="B19" s="41" t="str">
        <f>Monthly_Deployment!C19</f>
        <v>Dec-27</v>
      </c>
      <c r="C19" s="65">
        <f>Controls!$B$24*(1+Controls!$B$8)^((A19-1)/12)</f>
        <v>80367.310909129097</v>
      </c>
      <c r="D19" s="65">
        <f>Controls!$B$26*(1+Controls!$B$9)^((A19-1)/12)</f>
        <v>1165241493.9347029</v>
      </c>
      <c r="E19" s="66">
        <f>IF(A19&lt;Controls!$B$28,Controls!$B$27,Controls!$B$27/2)</f>
        <v>3.125</v>
      </c>
      <c r="F19" s="67">
        <f>Controls!$B$29+Controls!$B$30*(A19-1)</f>
        <v>0.16250000000000001</v>
      </c>
      <c r="G19" s="66">
        <f>DAY(EOMONTH(Monthly_Deployment!B19,0))*144*E19*(1+F19)</f>
        <v>16216.875000000002</v>
      </c>
      <c r="H19" s="66">
        <f>IF(D19=0,0,Monthly_Deployment!T19/D19*G19)</f>
        <v>16.117419274925112</v>
      </c>
      <c r="I19" s="66">
        <f>H19*C19*Controls!$B$25/1000</f>
        <v>22020.331980651841</v>
      </c>
      <c r="J19" s="68">
        <f>IF(AND(Controls!$B$11=1,A19&gt;=Controls!$B$12),Monthly_Deployment!N19,0)</f>
        <v>0</v>
      </c>
      <c r="K19" s="65">
        <f>J19*Controls!$B$88*Controls!$B$13</f>
        <v>0</v>
      </c>
      <c r="L19" s="65">
        <f>J19*Controls!$B$89/Controls!$B$90*Controls!$B$13</f>
        <v>0</v>
      </c>
      <c r="M19" s="65">
        <f>J19*Controls!$B$91*Controls!$B$92*Controls!$B$13</f>
        <v>0</v>
      </c>
      <c r="N19" s="65">
        <f t="shared" si="0"/>
        <v>0</v>
      </c>
      <c r="O19" s="65">
        <f>IF(AND(Controls!$B$14=1,A19&gt;=Controls!$B$15),Controls!$B$94*24*DAY(EOMONTH(Monthly_Deployment!B19,0))*Controls!$B$95+Controls!$B$94*Controls!$B$97,0)</f>
        <v>0</v>
      </c>
      <c r="P19" s="65">
        <f t="shared" si="1"/>
        <v>22020.331980651841</v>
      </c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" customHeight="1" x14ac:dyDescent="0.3">
      <c r="A20" s="41">
        <v>19</v>
      </c>
      <c r="B20" s="41" t="str">
        <f>Monthly_Deployment!C20</f>
        <v>Jan-28</v>
      </c>
      <c r="C20" s="65">
        <f>Controls!$B$24*(1+Controls!$B$8)^((A20-1)/12)</f>
        <v>80694.737281931841</v>
      </c>
      <c r="D20" s="65">
        <f>Controls!$B$26*(1+Controls!$B$9)^((A20-1)/12)</f>
        <v>1183080724.2111588</v>
      </c>
      <c r="E20" s="66">
        <f>IF(A20&lt;Controls!$B$28,Controls!$B$27,Controls!$B$27/2)</f>
        <v>3.125</v>
      </c>
      <c r="F20" s="67">
        <f>Controls!$B$29+Controls!$B$30*(A20-1)</f>
        <v>0.16499999999999998</v>
      </c>
      <c r="G20" s="66">
        <f>DAY(EOMONTH(Monthly_Deployment!B20,0))*144*E20*(1+F20)</f>
        <v>16251.75</v>
      </c>
      <c r="H20" s="66">
        <f>IF(D20=0,0,Monthly_Deployment!T20/D20*G20)</f>
        <v>15.908529232663804</v>
      </c>
      <c r="I20" s="66">
        <f>H20*C20*Controls!$B$25/1000</f>
        <v>21823.487978519552</v>
      </c>
      <c r="J20" s="68">
        <f>IF(AND(Controls!$B$11=1,A20&gt;=Controls!$B$12),Monthly_Deployment!N20,0)</f>
        <v>0</v>
      </c>
      <c r="K20" s="65">
        <f>J20*Controls!$B$88*Controls!$B$13</f>
        <v>0</v>
      </c>
      <c r="L20" s="65">
        <f>J20*Controls!$B$89/Controls!$B$90*Controls!$B$13</f>
        <v>0</v>
      </c>
      <c r="M20" s="65">
        <f>J20*Controls!$B$91*Controls!$B$92*Controls!$B$13</f>
        <v>0</v>
      </c>
      <c r="N20" s="65">
        <f t="shared" si="0"/>
        <v>0</v>
      </c>
      <c r="O20" s="65">
        <f>IF(AND(Controls!$B$14=1,A20&gt;=Controls!$B$15),Controls!$B$94*24*DAY(EOMONTH(Monthly_Deployment!B20,0))*Controls!$B$95+Controls!$B$94*Controls!$B$97,0)</f>
        <v>0</v>
      </c>
      <c r="P20" s="65">
        <f t="shared" si="1"/>
        <v>21823.487978519552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" customHeight="1" x14ac:dyDescent="0.3">
      <c r="A21" s="41">
        <v>20</v>
      </c>
      <c r="B21" s="41" t="str">
        <f>Monthly_Deployment!C21</f>
        <v>Feb-28</v>
      </c>
      <c r="C21" s="65">
        <f>Controls!$B$24*(1+Controls!$B$8)^((A21-1)/12)</f>
        <v>81023.497630307422</v>
      </c>
      <c r="D21" s="65">
        <f>Controls!$B$26*(1+Controls!$B$9)^((A21-1)/12)</f>
        <v>1201193063.6572702</v>
      </c>
      <c r="E21" s="66">
        <f>IF(A21&lt;Controls!$B$28,Controls!$B$27,Controls!$B$27/2)</f>
        <v>3.125</v>
      </c>
      <c r="F21" s="67">
        <f>Controls!$B$29+Controls!$B$30*(A21-1)</f>
        <v>0.16749999999999998</v>
      </c>
      <c r="G21" s="66">
        <f>DAY(EOMONTH(Monthly_Deployment!B21,0))*144*E21*(1+F21)</f>
        <v>15235.875</v>
      </c>
      <c r="H21" s="66">
        <f>IF(D21=0,0,Monthly_Deployment!T21/D21*G21)</f>
        <v>14.689224255085044</v>
      </c>
      <c r="I21" s="66">
        <f>H21*C21*Controls!$B$25/1000</f>
        <v>20232.929552589936</v>
      </c>
      <c r="J21" s="68">
        <f>IF(AND(Controls!$B$11=1,A21&gt;=Controls!$B$12),Monthly_Deployment!N21,0)</f>
        <v>0</v>
      </c>
      <c r="K21" s="65">
        <f>J21*Controls!$B$88*Controls!$B$13</f>
        <v>0</v>
      </c>
      <c r="L21" s="65">
        <f>J21*Controls!$B$89/Controls!$B$90*Controls!$B$13</f>
        <v>0</v>
      </c>
      <c r="M21" s="65">
        <f>J21*Controls!$B$91*Controls!$B$92*Controls!$B$13</f>
        <v>0</v>
      </c>
      <c r="N21" s="65">
        <f t="shared" si="0"/>
        <v>0</v>
      </c>
      <c r="O21" s="65">
        <f>IF(AND(Controls!$B$14=1,A21&gt;=Controls!$B$15),Controls!$B$94*24*DAY(EOMONTH(Monthly_Deployment!B21,0))*Controls!$B$95+Controls!$B$94*Controls!$B$97,0)</f>
        <v>0</v>
      </c>
      <c r="P21" s="65">
        <f t="shared" si="1"/>
        <v>20232.929552589936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" customHeight="1" x14ac:dyDescent="0.3">
      <c r="A22" s="41">
        <v>21</v>
      </c>
      <c r="B22" s="41" t="str">
        <f>Monthly_Deployment!C22</f>
        <v>Mar-28</v>
      </c>
      <c r="C22" s="65">
        <f>Controls!$B$24*(1+Controls!$B$8)^((A22-1)/12)</f>
        <v>81353.59738903743</v>
      </c>
      <c r="D22" s="65">
        <f>Controls!$B$26*(1+Controls!$B$9)^((A22-1)/12)</f>
        <v>1219582693.4298129</v>
      </c>
      <c r="E22" s="66">
        <f>IF(A22&lt;Controls!$B$28,Controls!$B$27,Controls!$B$27/2)</f>
        <v>3.125</v>
      </c>
      <c r="F22" s="67">
        <f>Controls!$B$29+Controls!$B$30*(A22-1)</f>
        <v>0.16999999999999998</v>
      </c>
      <c r="G22" s="66">
        <f>DAY(EOMONTH(Monthly_Deployment!B22,0))*144*E22*(1+F22)</f>
        <v>16321.499999999998</v>
      </c>
      <c r="H22" s="66">
        <f>IF(D22=0,0,Monthly_Deployment!T22/D22*G22)</f>
        <v>15.498622217583337</v>
      </c>
      <c r="I22" s="66">
        <f>H22*C22*Controls!$B$25/1000</f>
        <v>21434.767423559111</v>
      </c>
      <c r="J22" s="68">
        <f>IF(AND(Controls!$B$11=1,A22&gt;=Controls!$B$12),Monthly_Deployment!N22,0)</f>
        <v>0</v>
      </c>
      <c r="K22" s="65">
        <f>J22*Controls!$B$88*Controls!$B$13</f>
        <v>0</v>
      </c>
      <c r="L22" s="65">
        <f>J22*Controls!$B$89/Controls!$B$90*Controls!$B$13</f>
        <v>0</v>
      </c>
      <c r="M22" s="65">
        <f>J22*Controls!$B$91*Controls!$B$92*Controls!$B$13</f>
        <v>0</v>
      </c>
      <c r="N22" s="65">
        <f t="shared" si="0"/>
        <v>0</v>
      </c>
      <c r="O22" s="65">
        <f>IF(AND(Controls!$B$14=1,A22&gt;=Controls!$B$15),Controls!$B$94*24*DAY(EOMONTH(Monthly_Deployment!B22,0))*Controls!$B$95+Controls!$B$94*Controls!$B$97,0)</f>
        <v>0</v>
      </c>
      <c r="P22" s="65">
        <f t="shared" si="1"/>
        <v>21434.767423559111</v>
      </c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" customHeight="1" x14ac:dyDescent="0.3">
      <c r="A23" s="41">
        <v>22</v>
      </c>
      <c r="B23" s="41" t="str">
        <f>Monthly_Deployment!C23</f>
        <v>Apr-28</v>
      </c>
      <c r="C23" s="65">
        <f>Controls!$B$24*(1+Controls!$B$8)^((A23-1)/12)</f>
        <v>81685.042015045445</v>
      </c>
      <c r="D23" s="65">
        <f>Controls!$B$26*(1+Controls!$B$9)^((A23-1)/12)</f>
        <v>1238253858.6968594</v>
      </c>
      <c r="E23" s="66">
        <f>IF(A23&lt;Controls!$B$28,Controls!$B$27,Controls!$B$27/2)</f>
        <v>3.125</v>
      </c>
      <c r="F23" s="67">
        <f>Controls!$B$29+Controls!$B$30*(A23-1)</f>
        <v>0.17249999999999999</v>
      </c>
      <c r="G23" s="66">
        <f>DAY(EOMONTH(Monthly_Deployment!B23,0))*144*E23*(1+F23)</f>
        <v>15828.749999999998</v>
      </c>
      <c r="H23" s="66">
        <f>IF(D23=0,0,Monthly_Deployment!T23/D23*G23)</f>
        <v>14.804072582735003</v>
      </c>
      <c r="I23" s="66">
        <f>H23*C23*Controls!$B$25/1000</f>
        <v>20557.611945546349</v>
      </c>
      <c r="J23" s="68">
        <f>IF(AND(Controls!$B$11=1,A23&gt;=Controls!$B$12),Monthly_Deployment!N23,0)</f>
        <v>0</v>
      </c>
      <c r="K23" s="65">
        <f>J23*Controls!$B$88*Controls!$B$13</f>
        <v>0</v>
      </c>
      <c r="L23" s="65">
        <f>J23*Controls!$B$89/Controls!$B$90*Controls!$B$13</f>
        <v>0</v>
      </c>
      <c r="M23" s="65">
        <f>J23*Controls!$B$91*Controls!$B$92*Controls!$B$13</f>
        <v>0</v>
      </c>
      <c r="N23" s="65">
        <f t="shared" si="0"/>
        <v>0</v>
      </c>
      <c r="O23" s="65">
        <f>IF(AND(Controls!$B$14=1,A23&gt;=Controls!$B$15),Controls!$B$94*24*DAY(EOMONTH(Monthly_Deployment!B23,0))*Controls!$B$95+Controls!$B$94*Controls!$B$97,0)</f>
        <v>0</v>
      </c>
      <c r="P23" s="65">
        <f t="shared" si="1"/>
        <v>20557.611945546349</v>
      </c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" customHeight="1" x14ac:dyDescent="0.3">
      <c r="A24" s="41">
        <v>23</v>
      </c>
      <c r="B24" s="41" t="str">
        <f>Monthly_Deployment!C24</f>
        <v>May-28</v>
      </c>
      <c r="C24" s="65">
        <f>Controls!$B$24*(1+Controls!$B$8)^((A24-1)/12)</f>
        <v>82017.836987487259</v>
      </c>
      <c r="D24" s="65">
        <f>Controls!$B$26*(1+Controls!$B$9)^((A24-1)/12)</f>
        <v>1257210869.6177573</v>
      </c>
      <c r="E24" s="66">
        <f>IF(A24&lt;Controls!$B$28,Controls!$B$27,Controls!$B$27/2)</f>
        <v>1.5625</v>
      </c>
      <c r="F24" s="67">
        <f>Controls!$B$29+Controls!$B$30*(A24-1)</f>
        <v>0.17499999999999999</v>
      </c>
      <c r="G24" s="66">
        <f>DAY(EOMONTH(Monthly_Deployment!B24,0))*144*E24*(1+F24)</f>
        <v>8195.625</v>
      </c>
      <c r="H24" s="66">
        <f>IF(D24=0,0,Monthly_Deployment!T24/D24*G24)</f>
        <v>7.5495006566400642</v>
      </c>
      <c r="I24" s="66">
        <f>H24*C24*Controls!$B$25/1000</f>
        <v>10526.293141284958</v>
      </c>
      <c r="J24" s="68">
        <f>IF(AND(Controls!$B$11=1,A24&gt;=Controls!$B$12),Monthly_Deployment!N24,0)</f>
        <v>0</v>
      </c>
      <c r="K24" s="65">
        <f>J24*Controls!$B$88*Controls!$B$13</f>
        <v>0</v>
      </c>
      <c r="L24" s="65">
        <f>J24*Controls!$B$89/Controls!$B$90*Controls!$B$13</f>
        <v>0</v>
      </c>
      <c r="M24" s="65">
        <f>J24*Controls!$B$91*Controls!$B$92*Controls!$B$13</f>
        <v>0</v>
      </c>
      <c r="N24" s="65">
        <f t="shared" si="0"/>
        <v>0</v>
      </c>
      <c r="O24" s="65">
        <f>IF(AND(Controls!$B$14=1,A24&gt;=Controls!$B$15),Controls!$B$94*24*DAY(EOMONTH(Monthly_Deployment!B24,0))*Controls!$B$95+Controls!$B$94*Controls!$B$97,0)</f>
        <v>0</v>
      </c>
      <c r="P24" s="65">
        <f t="shared" si="1"/>
        <v>10526.293141284958</v>
      </c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" customHeight="1" x14ac:dyDescent="0.3">
      <c r="A25" s="41">
        <v>24</v>
      </c>
      <c r="B25" s="41" t="str">
        <f>Monthly_Deployment!C25</f>
        <v>Jun-28</v>
      </c>
      <c r="C25" s="65">
        <f>Controls!$B$24*(1+Controls!$B$8)^((A25-1)/12)</f>
        <v>82351.987807841375</v>
      </c>
      <c r="D25" s="65">
        <f>Controls!$B$26*(1+Controls!$B$9)^((A25-1)/12)</f>
        <v>1276458102.3381119</v>
      </c>
      <c r="E25" s="66">
        <f>IF(A25&lt;Controls!$B$28,Controls!$B$27,Controls!$B$27/2)</f>
        <v>1.5625</v>
      </c>
      <c r="F25" s="67">
        <f>Controls!$B$29+Controls!$B$30*(A25-1)</f>
        <v>0.17749999999999999</v>
      </c>
      <c r="G25" s="66">
        <f>DAY(EOMONTH(Monthly_Deployment!B25,0))*144*E25*(1+F25)</f>
        <v>7948.125</v>
      </c>
      <c r="H25" s="66">
        <f>IF(D25=0,0,Monthly_Deployment!T25/D25*G25)</f>
        <v>7.2111146440492808</v>
      </c>
      <c r="I25" s="66">
        <f>H25*C25*Controls!$B$25/1000</f>
        <v>10095.443629210778</v>
      </c>
      <c r="J25" s="68">
        <f>IF(AND(Controls!$B$11=1,A25&gt;=Controls!$B$12),Monthly_Deployment!N25,0)</f>
        <v>0</v>
      </c>
      <c r="K25" s="65">
        <f>J25*Controls!$B$88*Controls!$B$13</f>
        <v>0</v>
      </c>
      <c r="L25" s="65">
        <f>J25*Controls!$B$89/Controls!$B$90*Controls!$B$13</f>
        <v>0</v>
      </c>
      <c r="M25" s="65">
        <f>J25*Controls!$B$91*Controls!$B$92*Controls!$B$13</f>
        <v>0</v>
      </c>
      <c r="N25" s="65">
        <f t="shared" si="0"/>
        <v>0</v>
      </c>
      <c r="O25" s="65">
        <f>IF(AND(Controls!$B$14=1,A25&gt;=Controls!$B$15),Controls!$B$94*24*DAY(EOMONTH(Monthly_Deployment!B25,0))*Controls!$B$95+Controls!$B$94*Controls!$B$97,0)</f>
        <v>0</v>
      </c>
      <c r="P25" s="65">
        <f t="shared" si="1"/>
        <v>10095.443629210778</v>
      </c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" customHeight="1" x14ac:dyDescent="0.3">
      <c r="A26" s="41">
        <v>25</v>
      </c>
      <c r="B26" s="41" t="str">
        <f>Monthly_Deployment!C26</f>
        <v>Jul-28</v>
      </c>
      <c r="C26" s="65">
        <f>Controls!$B$24*(1+Controls!$B$8)^((A26-1)/12)</f>
        <v>82687.5</v>
      </c>
      <c r="D26" s="65">
        <f>Controls!$B$26*(1+Controls!$B$9)^((A26-1)/12)</f>
        <v>1296000000</v>
      </c>
      <c r="E26" s="66">
        <f>IF(A26&lt;Controls!$B$28,Controls!$B$27,Controls!$B$27/2)</f>
        <v>1.5625</v>
      </c>
      <c r="F26" s="67">
        <f>Controls!$B$29+Controls!$B$30*(A26-1)</f>
        <v>0.18</v>
      </c>
      <c r="G26" s="66">
        <f>DAY(EOMONTH(Monthly_Deployment!B26,0))*144*E26*(1+F26)</f>
        <v>8230.5</v>
      </c>
      <c r="H26" s="66">
        <f>IF(D26=0,0,Monthly_Deployment!T26/D26*G26)</f>
        <v>7.3547089947089948</v>
      </c>
      <c r="I26" s="66">
        <f>H26*C26*Controls!$B$25/1000</f>
        <v>10338.422500000001</v>
      </c>
      <c r="J26" s="68">
        <f>IF(AND(Controls!$B$11=1,A26&gt;=Controls!$B$12),Monthly_Deployment!N26,0)</f>
        <v>0</v>
      </c>
      <c r="K26" s="65">
        <f>J26*Controls!$B$88*Controls!$B$13</f>
        <v>0</v>
      </c>
      <c r="L26" s="65">
        <f>J26*Controls!$B$89/Controls!$B$90*Controls!$B$13</f>
        <v>0</v>
      </c>
      <c r="M26" s="65">
        <f>J26*Controls!$B$91*Controls!$B$92*Controls!$B$13</f>
        <v>0</v>
      </c>
      <c r="N26" s="65">
        <f t="shared" si="0"/>
        <v>0</v>
      </c>
      <c r="O26" s="65">
        <f>IF(AND(Controls!$B$14=1,A26&gt;=Controls!$B$15),Controls!$B$94*24*DAY(EOMONTH(Monthly_Deployment!B26,0))*Controls!$B$95+Controls!$B$94*Controls!$B$97,0)</f>
        <v>0</v>
      </c>
      <c r="P26" s="65">
        <f t="shared" si="1"/>
        <v>10338.422500000001</v>
      </c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" customHeight="1" x14ac:dyDescent="0.3">
      <c r="A27" s="41">
        <v>26</v>
      </c>
      <c r="B27" s="41" t="str">
        <f>Monthly_Deployment!C27</f>
        <v>Aug-28</v>
      </c>
      <c r="C27" s="65">
        <f>Controls!$B$24*(1+Controls!$B$8)^((A27-1)/12)</f>
        <v>83024.379110360431</v>
      </c>
      <c r="D27" s="65">
        <f>Controls!$B$26*(1+Controls!$B$9)^((A27-1)/12)</f>
        <v>1315841073.7676516</v>
      </c>
      <c r="E27" s="66">
        <f>IF(A27&lt;Controls!$B$28,Controls!$B$27,Controls!$B$27/2)</f>
        <v>1.5625</v>
      </c>
      <c r="F27" s="67">
        <f>Controls!$B$29+Controls!$B$30*(A27-1)</f>
        <v>0.1825</v>
      </c>
      <c r="G27" s="66">
        <f>DAY(EOMONTH(Monthly_Deployment!B27,0))*144*E27*(1+F27)</f>
        <v>8247.9375</v>
      </c>
      <c r="H27" s="66">
        <f>IF(D27=0,0,Monthly_Deployment!T27/D27*G27)</f>
        <v>7.2591571530041756</v>
      </c>
      <c r="I27" s="66">
        <f>H27*C27*Controls!$B$25/1000</f>
        <v>10245.679263375958</v>
      </c>
      <c r="J27" s="68">
        <f>IF(AND(Controls!$B$11=1,A27&gt;=Controls!$B$12),Monthly_Deployment!N27,0)</f>
        <v>0</v>
      </c>
      <c r="K27" s="65">
        <f>J27*Controls!$B$88*Controls!$B$13</f>
        <v>0</v>
      </c>
      <c r="L27" s="65">
        <f>J27*Controls!$B$89/Controls!$B$90*Controls!$B$13</f>
        <v>0</v>
      </c>
      <c r="M27" s="65">
        <f>J27*Controls!$B$91*Controls!$B$92*Controls!$B$13</f>
        <v>0</v>
      </c>
      <c r="N27" s="65">
        <f t="shared" si="0"/>
        <v>0</v>
      </c>
      <c r="O27" s="65">
        <f>IF(AND(Controls!$B$14=1,A27&gt;=Controls!$B$15),Controls!$B$94*24*DAY(EOMONTH(Monthly_Deployment!B27,0))*Controls!$B$95+Controls!$B$94*Controls!$B$97,0)</f>
        <v>0</v>
      </c>
      <c r="P27" s="65">
        <f t="shared" si="1"/>
        <v>10245.679263375958</v>
      </c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" customHeight="1" x14ac:dyDescent="0.3">
      <c r="A28" s="41">
        <v>27</v>
      </c>
      <c r="B28" s="41" t="str">
        <f>Monthly_Deployment!C28</f>
        <v>Sept-28</v>
      </c>
      <c r="C28" s="65">
        <f>Controls!$B$24*(1+Controls!$B$8)^((A28-1)/12)</f>
        <v>83362.630707916585</v>
      </c>
      <c r="D28" s="65">
        <f>Controls!$B$26*(1+Controls!$B$9)^((A28-1)/12)</f>
        <v>1335985903.8688321</v>
      </c>
      <c r="E28" s="66">
        <f>IF(A28&lt;Controls!$B$28,Controls!$B$27,Controls!$B$27/2)</f>
        <v>1.5625</v>
      </c>
      <c r="F28" s="67">
        <f>Controls!$B$29+Controls!$B$30*(A28-1)</f>
        <v>0.185</v>
      </c>
      <c r="G28" s="66">
        <f>DAY(EOMONTH(Monthly_Deployment!B28,0))*144*E28*(1+F28)</f>
        <v>7998.75</v>
      </c>
      <c r="H28" s="66">
        <f>IF(D28=0,0,Monthly_Deployment!T28/D28*G28)</f>
        <v>6.9336916346864115</v>
      </c>
      <c r="I28" s="66">
        <f>H28*C28*Controls!$B$25/1000</f>
        <v>9826.1831781438741</v>
      </c>
      <c r="J28" s="68">
        <f>IF(AND(Controls!$B$11=1,A28&gt;=Controls!$B$12),Monthly_Deployment!N28,0)</f>
        <v>0</v>
      </c>
      <c r="K28" s="65">
        <f>J28*Controls!$B$88*Controls!$B$13</f>
        <v>0</v>
      </c>
      <c r="L28" s="65">
        <f>J28*Controls!$B$89/Controls!$B$90*Controls!$B$13</f>
        <v>0</v>
      </c>
      <c r="M28" s="65">
        <f>J28*Controls!$B$91*Controls!$B$92*Controls!$B$13</f>
        <v>0</v>
      </c>
      <c r="N28" s="65">
        <f t="shared" si="0"/>
        <v>0</v>
      </c>
      <c r="O28" s="65">
        <f>IF(AND(Controls!$B$14=1,A28&gt;=Controls!$B$15),Controls!$B$94*24*DAY(EOMONTH(Monthly_Deployment!B28,0))*Controls!$B$95+Controls!$B$94*Controls!$B$97,0)</f>
        <v>0</v>
      </c>
      <c r="P28" s="65">
        <f t="shared" si="1"/>
        <v>9826.1831781438741</v>
      </c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" customHeight="1" x14ac:dyDescent="0.3">
      <c r="A29" s="41">
        <v>28</v>
      </c>
      <c r="B29" s="41" t="str">
        <f>Monthly_Deployment!C29</f>
        <v>Oct-28</v>
      </c>
      <c r="C29" s="65">
        <f>Controls!$B$24*(1+Controls!$B$8)^((A29-1)/12)</f>
        <v>83702.260384351204</v>
      </c>
      <c r="D29" s="65">
        <f>Controls!$B$26*(1+Controls!$B$9)^((A29-1)/12)</f>
        <v>1356439140.6521688</v>
      </c>
      <c r="E29" s="66">
        <f>IF(A29&lt;Controls!$B$28,Controls!$B$27,Controls!$B$27/2)</f>
        <v>1.5625</v>
      </c>
      <c r="F29" s="67">
        <f>Controls!$B$29+Controls!$B$30*(A29-1)</f>
        <v>0.1875</v>
      </c>
      <c r="G29" s="66">
        <f>DAY(EOMONTH(Monthly_Deployment!B29,0))*144*E29*(1+F29)</f>
        <v>8282.8125</v>
      </c>
      <c r="H29" s="66">
        <f>IF(D29=0,0,Monthly_Deployment!T29/D29*G29)</f>
        <v>7.0716668568512357</v>
      </c>
      <c r="I29" s="66">
        <f>H29*C29*Controls!$B$25/1000</f>
        <v>10062.546510260327</v>
      </c>
      <c r="J29" s="68">
        <f>IF(AND(Controls!$B$11=1,A29&gt;=Controls!$B$12),Monthly_Deployment!N29,0)</f>
        <v>0</v>
      </c>
      <c r="K29" s="65">
        <f>J29*Controls!$B$88*Controls!$B$13</f>
        <v>0</v>
      </c>
      <c r="L29" s="65">
        <f>J29*Controls!$B$89/Controls!$B$90*Controls!$B$13</f>
        <v>0</v>
      </c>
      <c r="M29" s="65">
        <f>J29*Controls!$B$91*Controls!$B$92*Controls!$B$13</f>
        <v>0</v>
      </c>
      <c r="N29" s="65">
        <f t="shared" si="0"/>
        <v>0</v>
      </c>
      <c r="O29" s="65">
        <f>IF(AND(Controls!$B$14=1,A29&gt;=Controls!$B$15),Controls!$B$94*24*DAY(EOMONTH(Monthly_Deployment!B29,0))*Controls!$B$95+Controls!$B$94*Controls!$B$97,0)</f>
        <v>0</v>
      </c>
      <c r="P29" s="65">
        <f t="shared" si="1"/>
        <v>10062.546510260327</v>
      </c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" customHeight="1" x14ac:dyDescent="0.3">
      <c r="A30" s="41">
        <v>29</v>
      </c>
      <c r="B30" s="41" t="str">
        <f>Monthly_Deployment!C30</f>
        <v>Nov-28</v>
      </c>
      <c r="C30" s="65">
        <f>Controls!$B$24*(1+Controls!$B$8)^((A30-1)/12)</f>
        <v>84043.273754128211</v>
      </c>
      <c r="D30" s="65">
        <f>Controls!$B$26*(1+Controls!$B$9)^((A30-1)/12)</f>
        <v>1377205505.6606638</v>
      </c>
      <c r="E30" s="66">
        <f>IF(A30&lt;Controls!$B$28,Controls!$B$27,Controls!$B$27/2)</f>
        <v>1.5625</v>
      </c>
      <c r="F30" s="67">
        <f>Controls!$B$29+Controls!$B$30*(A30-1)</f>
        <v>0.19</v>
      </c>
      <c r="G30" s="66">
        <f>DAY(EOMONTH(Monthly_Deployment!B30,0))*144*E30*(1+F30)</f>
        <v>8032.5</v>
      </c>
      <c r="H30" s="66">
        <f>IF(D30=0,0,Monthly_Deployment!T30/D30*G30)</f>
        <v>6.7545474961904937</v>
      </c>
      <c r="I30" s="66">
        <f>H30*C30*Controls!$B$25/1000</f>
        <v>9650.4628332291832</v>
      </c>
      <c r="J30" s="68">
        <f>IF(AND(Controls!$B$11=1,A30&gt;=Controls!$B$12),Monthly_Deployment!N30,0)</f>
        <v>0</v>
      </c>
      <c r="K30" s="65">
        <f>J30*Controls!$B$88*Controls!$B$13</f>
        <v>0</v>
      </c>
      <c r="L30" s="65">
        <f>J30*Controls!$B$89/Controls!$B$90*Controls!$B$13</f>
        <v>0</v>
      </c>
      <c r="M30" s="65">
        <f>J30*Controls!$B$91*Controls!$B$92*Controls!$B$13</f>
        <v>0</v>
      </c>
      <c r="N30" s="65">
        <f t="shared" si="0"/>
        <v>0</v>
      </c>
      <c r="O30" s="65">
        <f>IF(AND(Controls!$B$14=1,A30&gt;=Controls!$B$15),Controls!$B$94*24*DAY(EOMONTH(Monthly_Deployment!B30,0))*Controls!$B$95+Controls!$B$94*Controls!$B$97,0)</f>
        <v>0</v>
      </c>
      <c r="P30" s="65">
        <f t="shared" si="1"/>
        <v>9650.4628332291832</v>
      </c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" customHeight="1" x14ac:dyDescent="0.3">
      <c r="A31" s="41">
        <v>30</v>
      </c>
      <c r="B31" s="41" t="str">
        <f>Monthly_Deployment!C31</f>
        <v>Dec-28</v>
      </c>
      <c r="C31" s="65">
        <f>Controls!$B$24*(1+Controls!$B$8)^((A31-1)/12)</f>
        <v>84385.676454585555</v>
      </c>
      <c r="D31" s="65">
        <f>Controls!$B$26*(1+Controls!$B$9)^((A31-1)/12)</f>
        <v>1398289792.7216432</v>
      </c>
      <c r="E31" s="66">
        <f>IF(A31&lt;Controls!$B$28,Controls!$B$27,Controls!$B$27/2)</f>
        <v>1.5625</v>
      </c>
      <c r="F31" s="67">
        <f>Controls!$B$29+Controls!$B$30*(A31-1)</f>
        <v>0.1925</v>
      </c>
      <c r="G31" s="66">
        <f>DAY(EOMONTH(Monthly_Deployment!B31,0))*144*E31*(1+F31)</f>
        <v>8317.6875</v>
      </c>
      <c r="H31" s="66">
        <f>IF(D31=0,0,Monthly_Deployment!T31/D31*G31)</f>
        <v>6.8888969481534765</v>
      </c>
      <c r="I31" s="66">
        <f>H31*C31*Controls!$B$25/1000</f>
        <v>9882.5118929296405</v>
      </c>
      <c r="J31" s="68">
        <f>IF(AND(Controls!$B$11=1,A31&gt;=Controls!$B$12),Monthly_Deployment!N31,0)</f>
        <v>0</v>
      </c>
      <c r="K31" s="65">
        <f>J31*Controls!$B$88*Controls!$B$13</f>
        <v>0</v>
      </c>
      <c r="L31" s="65">
        <f>J31*Controls!$B$89/Controls!$B$90*Controls!$B$13</f>
        <v>0</v>
      </c>
      <c r="M31" s="65">
        <f>J31*Controls!$B$91*Controls!$B$92*Controls!$B$13</f>
        <v>0</v>
      </c>
      <c r="N31" s="65">
        <f t="shared" si="0"/>
        <v>0</v>
      </c>
      <c r="O31" s="65">
        <f>IF(AND(Controls!$B$14=1,A31&gt;=Controls!$B$15),Controls!$B$94*24*DAY(EOMONTH(Monthly_Deployment!B31,0))*Controls!$B$95+Controls!$B$94*Controls!$B$97,0)</f>
        <v>0</v>
      </c>
      <c r="P31" s="65">
        <f t="shared" si="1"/>
        <v>9882.5118929296405</v>
      </c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" customHeight="1" x14ac:dyDescent="0.3">
      <c r="A32" s="41">
        <v>31</v>
      </c>
      <c r="B32" s="41" t="str">
        <f>Monthly_Deployment!C32</f>
        <v>Jan-29</v>
      </c>
      <c r="C32" s="65">
        <f>Controls!$B$24*(1+Controls!$B$8)^((A32-1)/12)</f>
        <v>84729.474146028442</v>
      </c>
      <c r="D32" s="65">
        <f>Controls!$B$26*(1+Controls!$B$9)^((A32-1)/12)</f>
        <v>1419696869.0533905</v>
      </c>
      <c r="E32" s="66">
        <f>IF(A32&lt;Controls!$B$28,Controls!$B$27,Controls!$B$27/2)</f>
        <v>1.5625</v>
      </c>
      <c r="F32" s="67">
        <f>Controls!$B$29+Controls!$B$30*(A32-1)</f>
        <v>0.19500000000000001</v>
      </c>
      <c r="G32" s="66">
        <f>DAY(EOMONTH(Monthly_Deployment!B32,0))*144*E32*(1+F32)</f>
        <v>8335.125</v>
      </c>
      <c r="H32" s="66">
        <f>IF(D32=0,0,Monthly_Deployment!T32/D32*G32)</f>
        <v>6.7992462206842808</v>
      </c>
      <c r="I32" s="66">
        <f>H32*C32*Controls!$B$25/1000</f>
        <v>9793.6414667551562</v>
      </c>
      <c r="J32" s="68">
        <f>IF(AND(Controls!$B$11=1,A32&gt;=Controls!$B$12),Monthly_Deployment!N32,0)</f>
        <v>0</v>
      </c>
      <c r="K32" s="65">
        <f>J32*Controls!$B$88*Controls!$B$13</f>
        <v>0</v>
      </c>
      <c r="L32" s="65">
        <f>J32*Controls!$B$89/Controls!$B$90*Controls!$B$13</f>
        <v>0</v>
      </c>
      <c r="M32" s="65">
        <f>J32*Controls!$B$91*Controls!$B$92*Controls!$B$13</f>
        <v>0</v>
      </c>
      <c r="N32" s="65">
        <f t="shared" si="0"/>
        <v>0</v>
      </c>
      <c r="O32" s="65">
        <f>IF(AND(Controls!$B$14=1,A32&gt;=Controls!$B$15),Controls!$B$94*24*DAY(EOMONTH(Monthly_Deployment!B32,0))*Controls!$B$95+Controls!$B$94*Controls!$B$97,0)</f>
        <v>0</v>
      </c>
      <c r="P32" s="65">
        <f t="shared" si="1"/>
        <v>9793.6414667551562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" customHeight="1" x14ac:dyDescent="0.3">
      <c r="A33" s="41">
        <v>32</v>
      </c>
      <c r="B33" s="41" t="str">
        <f>Monthly_Deployment!C33</f>
        <v>Feb-29</v>
      </c>
      <c r="C33" s="65">
        <f>Controls!$B$24*(1+Controls!$B$8)^((A33-1)/12)</f>
        <v>85074.672511822791</v>
      </c>
      <c r="D33" s="65">
        <f>Controls!$B$26*(1+Controls!$B$9)^((A33-1)/12)</f>
        <v>1441431676.3887241</v>
      </c>
      <c r="E33" s="66">
        <f>IF(A33&lt;Controls!$B$28,Controls!$B$27,Controls!$B$27/2)</f>
        <v>1.5625</v>
      </c>
      <c r="F33" s="67">
        <f>Controls!$B$29+Controls!$B$30*(A33-1)</f>
        <v>0.19750000000000001</v>
      </c>
      <c r="G33" s="66">
        <f>DAY(EOMONTH(Monthly_Deployment!B33,0))*144*E33*(1+F33)</f>
        <v>7544.25</v>
      </c>
      <c r="H33" s="66">
        <f>IF(D33=0,0,Monthly_Deployment!T33/D33*G33)</f>
        <v>6.0613070623569563</v>
      </c>
      <c r="I33" s="66">
        <f>H33*C33*Controls!$B$25/1000</f>
        <v>8766.2831265014847</v>
      </c>
      <c r="J33" s="68">
        <f>IF(AND(Controls!$B$11=1,A33&gt;=Controls!$B$12),Monthly_Deployment!N33,0)</f>
        <v>0</v>
      </c>
      <c r="K33" s="65">
        <f>J33*Controls!$B$88*Controls!$B$13</f>
        <v>0</v>
      </c>
      <c r="L33" s="65">
        <f>J33*Controls!$B$89/Controls!$B$90*Controls!$B$13</f>
        <v>0</v>
      </c>
      <c r="M33" s="65">
        <f>J33*Controls!$B$91*Controls!$B$92*Controls!$B$13</f>
        <v>0</v>
      </c>
      <c r="N33" s="65">
        <f t="shared" si="0"/>
        <v>0</v>
      </c>
      <c r="O33" s="65">
        <f>IF(AND(Controls!$B$14=1,A33&gt;=Controls!$B$15),Controls!$B$94*24*DAY(EOMONTH(Monthly_Deployment!B33,0))*Controls!$B$95+Controls!$B$94*Controls!$B$97,0)</f>
        <v>0</v>
      </c>
      <c r="P33" s="65">
        <f t="shared" si="1"/>
        <v>8766.2831265014847</v>
      </c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" customHeight="1" x14ac:dyDescent="0.3">
      <c r="A34" s="41">
        <v>33</v>
      </c>
      <c r="B34" s="41" t="str">
        <f>Monthly_Deployment!C34</f>
        <v>Mar-29</v>
      </c>
      <c r="C34" s="65">
        <f>Controls!$B$24*(1+Controls!$B$8)^((A34-1)/12)</f>
        <v>85421.277258489295</v>
      </c>
      <c r="D34" s="65">
        <f>Controls!$B$26*(1+Controls!$B$9)^((A34-1)/12)</f>
        <v>1463499232.1157753</v>
      </c>
      <c r="E34" s="66">
        <f>IF(A34&lt;Controls!$B$28,Controls!$B$27,Controls!$B$27/2)</f>
        <v>1.5625</v>
      </c>
      <c r="F34" s="67">
        <f>Controls!$B$29+Controls!$B$30*(A34-1)</f>
        <v>0.2</v>
      </c>
      <c r="G34" s="66">
        <f>DAY(EOMONTH(Monthly_Deployment!B34,0))*144*E34*(1+F34)</f>
        <v>8370</v>
      </c>
      <c r="H34" s="66">
        <f>IF(D34=0,0,Monthly_Deployment!T34/D34*G34)</f>
        <v>6.6233428280270692</v>
      </c>
      <c r="I34" s="66">
        <f>H34*C34*Controls!$B$25/1000</f>
        <v>9618.1648695457552</v>
      </c>
      <c r="J34" s="68">
        <f>IF(AND(Controls!$B$11=1,A34&gt;=Controls!$B$12),Monthly_Deployment!N34,0)</f>
        <v>0</v>
      </c>
      <c r="K34" s="65">
        <f>J34*Controls!$B$88*Controls!$B$13</f>
        <v>0</v>
      </c>
      <c r="L34" s="65">
        <f>J34*Controls!$B$89/Controls!$B$90*Controls!$B$13</f>
        <v>0</v>
      </c>
      <c r="M34" s="65">
        <f>J34*Controls!$B$91*Controls!$B$92*Controls!$B$13</f>
        <v>0</v>
      </c>
      <c r="N34" s="65">
        <f t="shared" si="0"/>
        <v>0</v>
      </c>
      <c r="O34" s="65">
        <f>IF(AND(Controls!$B$14=1,A34&gt;=Controls!$B$15),Controls!$B$94*24*DAY(EOMONTH(Monthly_Deployment!B34,0))*Controls!$B$95+Controls!$B$94*Controls!$B$97,0)</f>
        <v>0</v>
      </c>
      <c r="P34" s="65">
        <f t="shared" si="1"/>
        <v>9618.1648695457552</v>
      </c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" customHeight="1" x14ac:dyDescent="0.3">
      <c r="A35" s="41">
        <v>34</v>
      </c>
      <c r="B35" s="41" t="str">
        <f>Monthly_Deployment!C35</f>
        <v>Apr-29</v>
      </c>
      <c r="C35" s="65">
        <f>Controls!$B$24*(1+Controls!$B$8)^((A35-1)/12)</f>
        <v>85769.294115797718</v>
      </c>
      <c r="D35" s="65">
        <f>Controls!$B$26*(1+Controls!$B$9)^((A35-1)/12)</f>
        <v>1485904630.4362311</v>
      </c>
      <c r="E35" s="66">
        <f>IF(A35&lt;Controls!$B$28,Controls!$B$27,Controls!$B$27/2)</f>
        <v>1.5625</v>
      </c>
      <c r="F35" s="67">
        <f>Controls!$B$29+Controls!$B$30*(A35-1)</f>
        <v>0.20250000000000001</v>
      </c>
      <c r="G35" s="66">
        <f>DAY(EOMONTH(Monthly_Deployment!B35,0))*144*E35*(1+F35)</f>
        <v>8116.8750000000009</v>
      </c>
      <c r="H35" s="66">
        <f>IF(D35=0,0,Monthly_Deployment!T35/D35*G35)</f>
        <v>6.3261895098574437</v>
      </c>
      <c r="I35" s="66">
        <f>H35*C35*Controls!$B$25/1000</f>
        <v>9224.0777479550361</v>
      </c>
      <c r="J35" s="68">
        <f>IF(AND(Controls!$B$11=1,A35&gt;=Controls!$B$12),Monthly_Deployment!N35,0)</f>
        <v>0</v>
      </c>
      <c r="K35" s="65">
        <f>J35*Controls!$B$88*Controls!$B$13</f>
        <v>0</v>
      </c>
      <c r="L35" s="65">
        <f>J35*Controls!$B$89/Controls!$B$90*Controls!$B$13</f>
        <v>0</v>
      </c>
      <c r="M35" s="65">
        <f>J35*Controls!$B$91*Controls!$B$92*Controls!$B$13</f>
        <v>0</v>
      </c>
      <c r="N35" s="65">
        <f t="shared" si="0"/>
        <v>0</v>
      </c>
      <c r="O35" s="65">
        <f>IF(AND(Controls!$B$14=1,A35&gt;=Controls!$B$15),Controls!$B$94*24*DAY(EOMONTH(Monthly_Deployment!B35,0))*Controls!$B$95+Controls!$B$94*Controls!$B$97,0)</f>
        <v>0</v>
      </c>
      <c r="P35" s="65">
        <f t="shared" si="1"/>
        <v>9224.0777479550361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" customHeight="1" x14ac:dyDescent="0.3">
      <c r="A36" s="41">
        <v>35</v>
      </c>
      <c r="B36" s="41" t="str">
        <f>Monthly_Deployment!C36</f>
        <v>May-29</v>
      </c>
      <c r="C36" s="65">
        <f>Controls!$B$24*(1+Controls!$B$8)^((A36-1)/12)</f>
        <v>86118.728836861628</v>
      </c>
      <c r="D36" s="65">
        <f>Controls!$B$26*(1+Controls!$B$9)^((A36-1)/12)</f>
        <v>1508653043.5413086</v>
      </c>
      <c r="E36" s="66">
        <f>IF(A36&lt;Controls!$B$28,Controls!$B$27,Controls!$B$27/2)</f>
        <v>1.5625</v>
      </c>
      <c r="F36" s="67">
        <f>Controls!$B$29+Controls!$B$30*(A36-1)</f>
        <v>0.20500000000000002</v>
      </c>
      <c r="G36" s="66">
        <f>DAY(EOMONTH(Monthly_Deployment!B36,0))*144*E36*(1+F36)</f>
        <v>8404.875</v>
      </c>
      <c r="H36" s="66">
        <f>IF(D36=0,0,Monthly_Deployment!T36/D36*G36)</f>
        <v>6.4518782207455878</v>
      </c>
      <c r="I36" s="66">
        <f>H36*C36*Controls!$B$25/1000</f>
        <v>9445.6683666743229</v>
      </c>
      <c r="J36" s="68">
        <f>IF(AND(Controls!$B$11=1,A36&gt;=Controls!$B$12),Monthly_Deployment!N36,0)</f>
        <v>0</v>
      </c>
      <c r="K36" s="65">
        <f>J36*Controls!$B$88*Controls!$B$13</f>
        <v>0</v>
      </c>
      <c r="L36" s="65">
        <f>J36*Controls!$B$89/Controls!$B$90*Controls!$B$13</f>
        <v>0</v>
      </c>
      <c r="M36" s="65">
        <f>J36*Controls!$B$91*Controls!$B$92*Controls!$B$13</f>
        <v>0</v>
      </c>
      <c r="N36" s="65">
        <f t="shared" si="0"/>
        <v>0</v>
      </c>
      <c r="O36" s="65">
        <f>IF(AND(Controls!$B$14=1,A36&gt;=Controls!$B$15),Controls!$B$94*24*DAY(EOMONTH(Monthly_Deployment!B36,0))*Controls!$B$95+Controls!$B$94*Controls!$B$97,0)</f>
        <v>0</v>
      </c>
      <c r="P36" s="65">
        <f t="shared" si="1"/>
        <v>9445.6683666743229</v>
      </c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" customHeight="1" x14ac:dyDescent="0.3">
      <c r="A37" s="41">
        <v>36</v>
      </c>
      <c r="B37" s="41" t="str">
        <f>Monthly_Deployment!C37</f>
        <v>Jun-29</v>
      </c>
      <c r="C37" s="65">
        <f>Controls!$B$24*(1+Controls!$B$8)^((A37-1)/12)</f>
        <v>86469.587198233436</v>
      </c>
      <c r="D37" s="65">
        <f>Controls!$B$26*(1+Controls!$B$9)^((A37-1)/12)</f>
        <v>1531749722.8057339</v>
      </c>
      <c r="E37" s="66">
        <f>IF(A37&lt;Controls!$B$28,Controls!$B$27,Controls!$B$27/2)</f>
        <v>1.5625</v>
      </c>
      <c r="F37" s="67">
        <f>Controls!$B$29+Controls!$B$30*(A37-1)</f>
        <v>0.20750000000000002</v>
      </c>
      <c r="G37" s="66">
        <f>DAY(EOMONTH(Monthly_Deployment!B37,0))*144*E37*(1+F37)</f>
        <v>8150.625</v>
      </c>
      <c r="H37" s="66">
        <f>IF(D37=0,0,Monthly_Deployment!T37/D37*G37)</f>
        <v>6.1623644251164249</v>
      </c>
      <c r="I37" s="66">
        <f>H37*C37*Controls!$B$25/1000</f>
        <v>9058.5708360832377</v>
      </c>
      <c r="J37" s="68">
        <f>IF(AND(Controls!$B$11=1,A37&gt;=Controls!$B$12),Monthly_Deployment!N37,0)</f>
        <v>0</v>
      </c>
      <c r="K37" s="65">
        <f>J37*Controls!$B$88*Controls!$B$13</f>
        <v>0</v>
      </c>
      <c r="L37" s="65">
        <f>J37*Controls!$B$89/Controls!$B$90*Controls!$B$13</f>
        <v>0</v>
      </c>
      <c r="M37" s="65">
        <f>J37*Controls!$B$91*Controls!$B$92*Controls!$B$13</f>
        <v>0</v>
      </c>
      <c r="N37" s="65">
        <f t="shared" si="0"/>
        <v>0</v>
      </c>
      <c r="O37" s="65">
        <f>IF(AND(Controls!$B$14=1,A37&gt;=Controls!$B$15),Controls!$B$94*24*DAY(EOMONTH(Monthly_Deployment!B37,0))*Controls!$B$95+Controls!$B$94*Controls!$B$97,0)</f>
        <v>0</v>
      </c>
      <c r="P37" s="65">
        <f t="shared" si="1"/>
        <v>9058.5708360832377</v>
      </c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" customHeight="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" customHeigh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" customHeight="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" customHeight="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" customHeigh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" customHeight="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" customHeight="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" customHeight="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" customHeight="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" customHeigh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" customHeight="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" customHeigh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" customHeight="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" customHeight="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" customHeigh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" customHeight="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" customHeigh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" customHeigh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" customHeight="1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" customHeigh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" customHeigh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" customHeight="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" customHeight="1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" customHeight="1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" customHeight="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" customHeigh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" customHeight="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" customHeight="1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" customHeight="1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" customHeight="1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" customHeight="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" customHeight="1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" customHeight="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" customHeight="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" customHeight="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" customHeight="1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" customHeight="1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" customHeight="1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" customHeight="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" customHeight="1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" customHeight="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" customHeight="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" customHeight="1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" customHeight="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" customHeight="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" customHeight="1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" customHeight="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" customHeight="1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</sheetData>
  <pageMargins left="0.3" right="0.3" top="0.4" bottom="0.4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75569"/>
    <pageSetUpPr fitToPage="1"/>
  </sheetPr>
  <dimension ref="A1:Z10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3.2" x14ac:dyDescent="0.25"/>
  <cols>
    <col min="1" max="16" width="15" customWidth="1"/>
  </cols>
  <sheetData>
    <row r="1" spans="1:26" ht="25.5" customHeight="1" x14ac:dyDescent="0.25">
      <c r="A1" s="58" t="s">
        <v>113</v>
      </c>
      <c r="B1" s="58" t="s">
        <v>338</v>
      </c>
      <c r="C1" s="58" t="s">
        <v>373</v>
      </c>
      <c r="D1" s="58" t="s">
        <v>374</v>
      </c>
      <c r="E1" s="58" t="s">
        <v>375</v>
      </c>
      <c r="F1" s="58" t="s">
        <v>173</v>
      </c>
      <c r="G1" s="58" t="s">
        <v>376</v>
      </c>
      <c r="H1" s="58" t="s">
        <v>377</v>
      </c>
      <c r="I1" s="58" t="s">
        <v>378</v>
      </c>
      <c r="J1" s="58" t="s">
        <v>379</v>
      </c>
      <c r="K1" s="58" t="s">
        <v>261</v>
      </c>
      <c r="L1" s="59" t="s">
        <v>380</v>
      </c>
      <c r="M1" s="59" t="s">
        <v>381</v>
      </c>
      <c r="N1" s="59" t="s">
        <v>382</v>
      </c>
      <c r="O1" s="59" t="s">
        <v>383</v>
      </c>
      <c r="P1" s="59" t="s">
        <v>384</v>
      </c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5" customHeight="1" x14ac:dyDescent="0.3">
      <c r="A2" s="41">
        <v>1</v>
      </c>
      <c r="B2" s="41" t="str">
        <f>Monthly_Deployment!C2</f>
        <v>Jul-26</v>
      </c>
      <c r="C2" s="65">
        <f>IF(A2&lt;=Controls!$B$40,Controls!$B$38,Controls!$B$39)</f>
        <v>1.2</v>
      </c>
      <c r="D2" s="65">
        <f>Monthly_Deployment!U2*C2</f>
        <v>0</v>
      </c>
      <c r="E2" s="65">
        <f>Monthly_Deployment!V2*C2</f>
        <v>0</v>
      </c>
      <c r="F2" s="65">
        <f>Monthly_Deployment!M2*Controls!$B$54*Controls!$B$41/12</f>
        <v>0</v>
      </c>
      <c r="G2" s="65">
        <f t="shared" ref="G2:G37" si="0">D2+E2+F2</f>
        <v>0</v>
      </c>
      <c r="H2" s="65">
        <f>Controls!$B$68*Controls!$B$69/12</f>
        <v>333.33333333333331</v>
      </c>
      <c r="I2" s="65">
        <f>Monthly_Deployment!Q2*Controls!$B$70*Controls!$B$71/12+Monthly_Deployment!N2*Controls!$B$72*Controls!$B$73/12+Monthly_Deployment!N2*Controls!$B$74*Controls!$B$75/12</f>
        <v>0</v>
      </c>
      <c r="J2" s="65">
        <f>(H2+I2)*Controls!$B$76</f>
        <v>66.666666666666671</v>
      </c>
      <c r="K2" s="65">
        <f>(H2+I2)*Controls!$B$77+Monthly_Deployment!Q2*Controls!$B$78</f>
        <v>19.999999999999996</v>
      </c>
      <c r="L2" s="65">
        <f>(Controls!$B$79*(Controls!$B$68+Monthly_Deployment!Q2*Controls!$B$70+Monthly_Deployment!N2*Controls!$B$72+Monthly_Deployment!N2*Controls!$B$74))+Monthly_Deployment!Q2*Controls!$B$80+Controls!$B$83</f>
        <v>18</v>
      </c>
      <c r="M2" s="65">
        <f>Controls!$B$81</f>
        <v>75</v>
      </c>
      <c r="N2" s="65">
        <f>Controls!$B$82</f>
        <v>10</v>
      </c>
      <c r="O2" s="65">
        <f>Monthly_Deployment!N2*(Controls!$B$84+Controls!$B$86)+Monthly_Deployment!Q2*Controls!$B$85</f>
        <v>0</v>
      </c>
      <c r="P2" s="65">
        <f t="shared" ref="P2:P37" si="1">G2+H2+I2+J2+K2+L2+M2+N2+O2</f>
        <v>523</v>
      </c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" customHeight="1" x14ac:dyDescent="0.3">
      <c r="A3" s="41">
        <v>2</v>
      </c>
      <c r="B3" s="41" t="str">
        <f>Monthly_Deployment!C3</f>
        <v>Aug-26</v>
      </c>
      <c r="C3" s="65">
        <f>IF(A3&lt;=Controls!$B$40,Controls!$B$38,Controls!$B$39)</f>
        <v>1.2</v>
      </c>
      <c r="D3" s="65">
        <f>Monthly_Deployment!U3*C3</f>
        <v>1696.32</v>
      </c>
      <c r="E3" s="65">
        <f>Monthly_Deployment!V3*C3</f>
        <v>0</v>
      </c>
      <c r="F3" s="65">
        <f>Monthly_Deployment!M3*Controls!$B$54*Controls!$B$41/12</f>
        <v>0</v>
      </c>
      <c r="G3" s="65">
        <f t="shared" si="0"/>
        <v>1696.32</v>
      </c>
      <c r="H3" s="65">
        <f>Controls!$B$68*Controls!$B$69/12</f>
        <v>333.33333333333331</v>
      </c>
      <c r="I3" s="65">
        <f>Monthly_Deployment!Q3*Controls!$B$70*Controls!$B$71/12+Monthly_Deployment!N3*Controls!$B$72*Controls!$B$73/12+Monthly_Deployment!N3*Controls!$B$74*Controls!$B$75/12</f>
        <v>149.6875</v>
      </c>
      <c r="J3" s="65">
        <f>(H3+I3)*Controls!$B$76</f>
        <v>96.604166666666671</v>
      </c>
      <c r="K3" s="65">
        <f>(H3+I3)*Controls!$B$77+Monthly_Deployment!Q3*Controls!$B$78</f>
        <v>278.98124999999999</v>
      </c>
      <c r="L3" s="65">
        <f>(Controls!$B$79*(Controls!$B$68+Monthly_Deployment!Q3*Controls!$B$70+Monthly_Deployment!N3*Controls!$B$72+Monthly_Deployment!N3*Controls!$B$74))+Monthly_Deployment!Q3*Controls!$B$80+Controls!$B$83</f>
        <v>68.762500000000003</v>
      </c>
      <c r="M3" s="65">
        <f>Controls!$B$81</f>
        <v>75</v>
      </c>
      <c r="N3" s="65">
        <f>Controls!$B$82</f>
        <v>10</v>
      </c>
      <c r="O3" s="65">
        <f>Monthly_Deployment!N3*(Controls!$B$84+Controls!$B$86)+Monthly_Deployment!Q3*Controls!$B$85</f>
        <v>85</v>
      </c>
      <c r="P3" s="65">
        <f t="shared" si="1"/>
        <v>2793.6887499999993</v>
      </c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 x14ac:dyDescent="0.3">
      <c r="A4" s="41">
        <v>3</v>
      </c>
      <c r="B4" s="41" t="str">
        <f>Monthly_Deployment!C4</f>
        <v>Sept-26</v>
      </c>
      <c r="C4" s="65">
        <f>IF(A4&lt;=Controls!$B$40,Controls!$B$38,Controls!$B$39)</f>
        <v>1.2</v>
      </c>
      <c r="D4" s="65">
        <f>Monthly_Deployment!U4*C4</f>
        <v>4924.8</v>
      </c>
      <c r="E4" s="65">
        <f>Monthly_Deployment!V4*C4</f>
        <v>1641.6</v>
      </c>
      <c r="F4" s="65">
        <f>Monthly_Deployment!M4*Controls!$B$54*Controls!$B$41/12</f>
        <v>0</v>
      </c>
      <c r="G4" s="65">
        <f t="shared" si="0"/>
        <v>6566.4</v>
      </c>
      <c r="H4" s="65">
        <f>Controls!$B$68*Controls!$B$69/12</f>
        <v>333.33333333333331</v>
      </c>
      <c r="I4" s="65">
        <f>Monthly_Deployment!Q4*Controls!$B$70*Controls!$B$71/12+Monthly_Deployment!N4*Controls!$B$72*Controls!$B$73/12+Monthly_Deployment!N4*Controls!$B$74*Controls!$B$75/12</f>
        <v>365.41666666666669</v>
      </c>
      <c r="J4" s="65">
        <f>(H4+I4)*Controls!$B$76</f>
        <v>139.75</v>
      </c>
      <c r="K4" s="65">
        <f>(H4+I4)*Controls!$B$77+Monthly_Deployment!Q4*Controls!$B$78</f>
        <v>541.92499999999995</v>
      </c>
      <c r="L4" s="65">
        <f>(Controls!$B$79*(Controls!$B$68+Monthly_Deployment!Q4*Controls!$B$70+Monthly_Deployment!N4*Controls!$B$72+Monthly_Deployment!N4*Controls!$B$74))+Monthly_Deployment!Q4*Controls!$B$80+Controls!$B$83</f>
        <v>127.05000000000001</v>
      </c>
      <c r="M4" s="65">
        <f>Controls!$B$81</f>
        <v>75</v>
      </c>
      <c r="N4" s="65">
        <f>Controls!$B$82</f>
        <v>10</v>
      </c>
      <c r="O4" s="65">
        <f>Monthly_Deployment!N4*(Controls!$B$84+Controls!$B$86)+Monthly_Deployment!Q4*Controls!$B$85</f>
        <v>260</v>
      </c>
      <c r="P4" s="65">
        <f t="shared" si="1"/>
        <v>8418.875</v>
      </c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" customHeight="1" x14ac:dyDescent="0.3">
      <c r="A5" s="41">
        <v>4</v>
      </c>
      <c r="B5" s="41" t="str">
        <f>Monthly_Deployment!C5</f>
        <v>Oct-26</v>
      </c>
      <c r="C5" s="65">
        <f>IF(A5&lt;=Controls!$B$40,Controls!$B$38,Controls!$B$39)</f>
        <v>1.2</v>
      </c>
      <c r="D5" s="65">
        <f>Monthly_Deployment!U5*C5</f>
        <v>6785.28</v>
      </c>
      <c r="E5" s="65">
        <f>Monthly_Deployment!V5*C5</f>
        <v>3481.9199999999996</v>
      </c>
      <c r="F5" s="65">
        <f>Monthly_Deployment!M5*Controls!$B$54*Controls!$B$41/12</f>
        <v>58.333333333333336</v>
      </c>
      <c r="G5" s="65">
        <f t="shared" si="0"/>
        <v>10325.533333333333</v>
      </c>
      <c r="H5" s="65">
        <f>Controls!$B$68*Controls!$B$69/12</f>
        <v>333.33333333333331</v>
      </c>
      <c r="I5" s="65">
        <f>Monthly_Deployment!Q5*Controls!$B$70*Controls!$B$71/12+Monthly_Deployment!N5*Controls!$B$72*Controls!$B$73/12+Monthly_Deployment!N5*Controls!$B$74*Controls!$B$75/12</f>
        <v>464.47916666666669</v>
      </c>
      <c r="J5" s="65">
        <f>(H5+I5)*Controls!$B$76</f>
        <v>159.5625</v>
      </c>
      <c r="K5" s="65">
        <f>(H5+I5)*Controls!$B$77+Monthly_Deployment!Q5*Controls!$B$78</f>
        <v>547.86874999999998</v>
      </c>
      <c r="L5" s="65">
        <f>(Controls!$B$79*(Controls!$B$68+Monthly_Deployment!Q5*Controls!$B$70+Monthly_Deployment!N5*Controls!$B$72+Monthly_Deployment!N5*Controls!$B$74))+Monthly_Deployment!Q5*Controls!$B$80+Controls!$B$83</f>
        <v>138.33750000000001</v>
      </c>
      <c r="M5" s="65">
        <f>Controls!$B$81</f>
        <v>75</v>
      </c>
      <c r="N5" s="65">
        <f>Controls!$B$82</f>
        <v>10</v>
      </c>
      <c r="O5" s="65">
        <f>Monthly_Deployment!N5*(Controls!$B$84+Controls!$B$86)+Monthly_Deployment!Q5*Controls!$B$85</f>
        <v>395</v>
      </c>
      <c r="P5" s="65">
        <f t="shared" si="1"/>
        <v>12449.114583333332</v>
      </c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" customHeight="1" x14ac:dyDescent="0.3">
      <c r="A6" s="41">
        <v>5</v>
      </c>
      <c r="B6" s="41" t="str">
        <f>Monthly_Deployment!C6</f>
        <v>Nov-26</v>
      </c>
      <c r="C6" s="65">
        <f>IF(A6&lt;=Controls!$B$40,Controls!$B$38,Controls!$B$39)</f>
        <v>1.2</v>
      </c>
      <c r="D6" s="65">
        <f>Monthly_Deployment!U6*C6</f>
        <v>6566.4</v>
      </c>
      <c r="E6" s="65">
        <f>Monthly_Deployment!V6*C6</f>
        <v>3456</v>
      </c>
      <c r="F6" s="65">
        <f>Monthly_Deployment!M6*Controls!$B$54*Controls!$B$41/12</f>
        <v>116.66666666666667</v>
      </c>
      <c r="G6" s="65">
        <f t="shared" si="0"/>
        <v>10139.066666666666</v>
      </c>
      <c r="H6" s="65">
        <f>Controls!$B$68*Controls!$B$69/12</f>
        <v>333.33333333333331</v>
      </c>
      <c r="I6" s="65">
        <f>Monthly_Deployment!Q6*Controls!$B$70*Controls!$B$71/12+Monthly_Deployment!N6*Controls!$B$72*Controls!$B$73/12+Monthly_Deployment!N6*Controls!$B$74*Controls!$B$75/12</f>
        <v>497.5</v>
      </c>
      <c r="J6" s="65">
        <f>(H6+I6)*Controls!$B$76</f>
        <v>166.16666666666666</v>
      </c>
      <c r="K6" s="65">
        <f>(H6+I6)*Controls!$B$77+Monthly_Deployment!Q6*Controls!$B$78</f>
        <v>549.85</v>
      </c>
      <c r="L6" s="65">
        <f>(Controls!$B$79*(Controls!$B$68+Monthly_Deployment!Q6*Controls!$B$70+Monthly_Deployment!N6*Controls!$B$72+Monthly_Deployment!N6*Controls!$B$74))+Monthly_Deployment!Q6*Controls!$B$80+Controls!$B$83</f>
        <v>142.10000000000002</v>
      </c>
      <c r="M6" s="65">
        <f>Controls!$B$81</f>
        <v>75</v>
      </c>
      <c r="N6" s="65">
        <f>Controls!$B$82</f>
        <v>10</v>
      </c>
      <c r="O6" s="65">
        <f>Monthly_Deployment!N6*(Controls!$B$84+Controls!$B$86)+Monthly_Deployment!Q6*Controls!$B$85</f>
        <v>440</v>
      </c>
      <c r="P6" s="65">
        <f t="shared" si="1"/>
        <v>12353.016666666666</v>
      </c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" customHeight="1" x14ac:dyDescent="0.3">
      <c r="A7" s="41">
        <v>6</v>
      </c>
      <c r="B7" s="41" t="str">
        <f>Monthly_Deployment!C7</f>
        <v>Dec-26</v>
      </c>
      <c r="C7" s="65">
        <f>IF(A7&lt;=Controls!$B$40,Controls!$B$38,Controls!$B$39)</f>
        <v>1.2</v>
      </c>
      <c r="D7" s="65">
        <f>Monthly_Deployment!U7*C7</f>
        <v>6785.28</v>
      </c>
      <c r="E7" s="65">
        <f>Monthly_Deployment!V7*C7</f>
        <v>3571.2</v>
      </c>
      <c r="F7" s="65">
        <f>Monthly_Deployment!M7*Controls!$B$54*Controls!$B$41/12</f>
        <v>116.66666666666667</v>
      </c>
      <c r="G7" s="65">
        <f t="shared" si="0"/>
        <v>10473.146666666666</v>
      </c>
      <c r="H7" s="65">
        <f>Controls!$B$68*Controls!$B$69/12</f>
        <v>333.33333333333331</v>
      </c>
      <c r="I7" s="65">
        <f>Monthly_Deployment!Q7*Controls!$B$70*Controls!$B$71/12+Monthly_Deployment!N7*Controls!$B$72*Controls!$B$73/12+Monthly_Deployment!N7*Controls!$B$74*Controls!$B$75/12</f>
        <v>497.5</v>
      </c>
      <c r="J7" s="65">
        <f>(H7+I7)*Controls!$B$76</f>
        <v>166.16666666666666</v>
      </c>
      <c r="K7" s="65">
        <f>(H7+I7)*Controls!$B$77+Monthly_Deployment!Q7*Controls!$B$78</f>
        <v>549.85</v>
      </c>
      <c r="L7" s="65">
        <f>(Controls!$B$79*(Controls!$B$68+Monthly_Deployment!Q7*Controls!$B$70+Monthly_Deployment!N7*Controls!$B$72+Monthly_Deployment!N7*Controls!$B$74))+Monthly_Deployment!Q7*Controls!$B$80+Controls!$B$83</f>
        <v>142.10000000000002</v>
      </c>
      <c r="M7" s="65">
        <f>Controls!$B$81</f>
        <v>75</v>
      </c>
      <c r="N7" s="65">
        <f>Controls!$B$82</f>
        <v>10</v>
      </c>
      <c r="O7" s="65">
        <f>Monthly_Deployment!N7*(Controls!$B$84+Controls!$B$86)+Monthly_Deployment!Q7*Controls!$B$85</f>
        <v>440</v>
      </c>
      <c r="P7" s="65">
        <f t="shared" si="1"/>
        <v>12687.096666666666</v>
      </c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" customHeight="1" x14ac:dyDescent="0.3">
      <c r="A8" s="41">
        <v>7</v>
      </c>
      <c r="B8" s="41" t="str">
        <f>Monthly_Deployment!C8</f>
        <v>Jan-27</v>
      </c>
      <c r="C8" s="65">
        <f>IF(A8&lt;=Controls!$B$40,Controls!$B$38,Controls!$B$39)</f>
        <v>1.2</v>
      </c>
      <c r="D8" s="65">
        <f>Monthly_Deployment!U8*C8</f>
        <v>6785.28</v>
      </c>
      <c r="E8" s="65">
        <f>Monthly_Deployment!V8*C8</f>
        <v>3571.2</v>
      </c>
      <c r="F8" s="65">
        <f>Monthly_Deployment!M8*Controls!$B$54*Controls!$B$41/12</f>
        <v>116.66666666666667</v>
      </c>
      <c r="G8" s="65">
        <f t="shared" si="0"/>
        <v>10473.146666666666</v>
      </c>
      <c r="H8" s="65">
        <f>Controls!$B$68*Controls!$B$69/12</f>
        <v>333.33333333333331</v>
      </c>
      <c r="I8" s="65">
        <f>Monthly_Deployment!Q8*Controls!$B$70*Controls!$B$71/12+Monthly_Deployment!N8*Controls!$B$72*Controls!$B$73/12+Monthly_Deployment!N8*Controls!$B$74*Controls!$B$75/12</f>
        <v>497.5</v>
      </c>
      <c r="J8" s="65">
        <f>(H8+I8)*Controls!$B$76</f>
        <v>166.16666666666666</v>
      </c>
      <c r="K8" s="65">
        <f>(H8+I8)*Controls!$B$77+Monthly_Deployment!Q8*Controls!$B$78</f>
        <v>549.85</v>
      </c>
      <c r="L8" s="65">
        <f>(Controls!$B$79*(Controls!$B$68+Monthly_Deployment!Q8*Controls!$B$70+Monthly_Deployment!N8*Controls!$B$72+Monthly_Deployment!N8*Controls!$B$74))+Monthly_Deployment!Q8*Controls!$B$80+Controls!$B$83</f>
        <v>142.10000000000002</v>
      </c>
      <c r="M8" s="65">
        <f>Controls!$B$81</f>
        <v>75</v>
      </c>
      <c r="N8" s="65">
        <f>Controls!$B$82</f>
        <v>10</v>
      </c>
      <c r="O8" s="65">
        <f>Monthly_Deployment!N8*(Controls!$B$84+Controls!$B$86)+Monthly_Deployment!Q8*Controls!$B$85</f>
        <v>440</v>
      </c>
      <c r="P8" s="65">
        <f t="shared" si="1"/>
        <v>12687.096666666666</v>
      </c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" customHeight="1" x14ac:dyDescent="0.3">
      <c r="A9" s="41">
        <v>8</v>
      </c>
      <c r="B9" s="41" t="str">
        <f>Monthly_Deployment!C9</f>
        <v>Feb-27</v>
      </c>
      <c r="C9" s="65">
        <f>IF(A9&lt;=Controls!$B$40,Controls!$B$38,Controls!$B$39)</f>
        <v>1.2</v>
      </c>
      <c r="D9" s="65">
        <f>Monthly_Deployment!U9*C9</f>
        <v>6128.6399999999994</v>
      </c>
      <c r="E9" s="65">
        <f>Monthly_Deployment!V9*C9</f>
        <v>3225.6</v>
      </c>
      <c r="F9" s="65">
        <f>Monthly_Deployment!M9*Controls!$B$54*Controls!$B$41/12</f>
        <v>116.66666666666667</v>
      </c>
      <c r="G9" s="65">
        <f t="shared" si="0"/>
        <v>9470.9066666666658</v>
      </c>
      <c r="H9" s="65">
        <f>Controls!$B$68*Controls!$B$69/12</f>
        <v>333.33333333333331</v>
      </c>
      <c r="I9" s="65">
        <f>Monthly_Deployment!Q9*Controls!$B$70*Controls!$B$71/12+Monthly_Deployment!N9*Controls!$B$72*Controls!$B$73/12+Monthly_Deployment!N9*Controls!$B$74*Controls!$B$75/12</f>
        <v>497.5</v>
      </c>
      <c r="J9" s="65">
        <f>(H9+I9)*Controls!$B$76</f>
        <v>166.16666666666666</v>
      </c>
      <c r="K9" s="65">
        <f>(H9+I9)*Controls!$B$77+Monthly_Deployment!Q9*Controls!$B$78</f>
        <v>549.85</v>
      </c>
      <c r="L9" s="65">
        <f>(Controls!$B$79*(Controls!$B$68+Monthly_Deployment!Q9*Controls!$B$70+Monthly_Deployment!N9*Controls!$B$72+Monthly_Deployment!N9*Controls!$B$74))+Monthly_Deployment!Q9*Controls!$B$80+Controls!$B$83</f>
        <v>142.10000000000002</v>
      </c>
      <c r="M9" s="65">
        <f>Controls!$B$81</f>
        <v>75</v>
      </c>
      <c r="N9" s="65">
        <f>Controls!$B$82</f>
        <v>10</v>
      </c>
      <c r="O9" s="65">
        <f>Monthly_Deployment!N9*(Controls!$B$84+Controls!$B$86)+Monthly_Deployment!Q9*Controls!$B$85</f>
        <v>440</v>
      </c>
      <c r="P9" s="65">
        <f t="shared" si="1"/>
        <v>11684.856666666667</v>
      </c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" customHeight="1" x14ac:dyDescent="0.3">
      <c r="A10" s="41">
        <v>9</v>
      </c>
      <c r="B10" s="41" t="str">
        <f>Monthly_Deployment!C10</f>
        <v>Mar-27</v>
      </c>
      <c r="C10" s="65">
        <f>IF(A10&lt;=Controls!$B$40,Controls!$B$38,Controls!$B$39)</f>
        <v>1.2</v>
      </c>
      <c r="D10" s="65">
        <f>Monthly_Deployment!U10*C10</f>
        <v>6785.28</v>
      </c>
      <c r="E10" s="65">
        <f>Monthly_Deployment!V10*C10</f>
        <v>3571.2</v>
      </c>
      <c r="F10" s="65">
        <f>Monthly_Deployment!M10*Controls!$B$54*Controls!$B$41/12</f>
        <v>116.66666666666667</v>
      </c>
      <c r="G10" s="65">
        <f t="shared" si="0"/>
        <v>10473.146666666666</v>
      </c>
      <c r="H10" s="65">
        <f>Controls!$B$68*Controls!$B$69/12</f>
        <v>333.33333333333331</v>
      </c>
      <c r="I10" s="65">
        <f>Monthly_Deployment!Q10*Controls!$B$70*Controls!$B$71/12+Monthly_Deployment!N10*Controls!$B$72*Controls!$B$73/12+Monthly_Deployment!N10*Controls!$B$74*Controls!$B$75/12</f>
        <v>497.5</v>
      </c>
      <c r="J10" s="65">
        <f>(H10+I10)*Controls!$B$76</f>
        <v>166.16666666666666</v>
      </c>
      <c r="K10" s="65">
        <f>(H10+I10)*Controls!$B$77+Monthly_Deployment!Q10*Controls!$B$78</f>
        <v>549.85</v>
      </c>
      <c r="L10" s="65">
        <f>(Controls!$B$79*(Controls!$B$68+Monthly_Deployment!Q10*Controls!$B$70+Monthly_Deployment!N10*Controls!$B$72+Monthly_Deployment!N10*Controls!$B$74))+Monthly_Deployment!Q10*Controls!$B$80+Controls!$B$83</f>
        <v>142.10000000000002</v>
      </c>
      <c r="M10" s="65">
        <f>Controls!$B$81</f>
        <v>75</v>
      </c>
      <c r="N10" s="65">
        <f>Controls!$B$82</f>
        <v>10</v>
      </c>
      <c r="O10" s="65">
        <f>Monthly_Deployment!N10*(Controls!$B$84+Controls!$B$86)+Monthly_Deployment!Q10*Controls!$B$85</f>
        <v>440</v>
      </c>
      <c r="P10" s="65">
        <f t="shared" si="1"/>
        <v>12687.096666666666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" customHeight="1" x14ac:dyDescent="0.3">
      <c r="A11" s="41">
        <v>10</v>
      </c>
      <c r="B11" s="41" t="str">
        <f>Monthly_Deployment!C11</f>
        <v>Apr-27</v>
      </c>
      <c r="C11" s="65">
        <f>IF(A11&lt;=Controls!$B$40,Controls!$B$38,Controls!$B$39)</f>
        <v>1.2</v>
      </c>
      <c r="D11" s="65">
        <f>Monthly_Deployment!U11*C11</f>
        <v>6566.4</v>
      </c>
      <c r="E11" s="65">
        <f>Monthly_Deployment!V11*C11</f>
        <v>3456</v>
      </c>
      <c r="F11" s="65">
        <f>Monthly_Deployment!M11*Controls!$B$54*Controls!$B$41/12</f>
        <v>116.66666666666667</v>
      </c>
      <c r="G11" s="65">
        <f t="shared" si="0"/>
        <v>10139.066666666666</v>
      </c>
      <c r="H11" s="65">
        <f>Controls!$B$68*Controls!$B$69/12</f>
        <v>333.33333333333331</v>
      </c>
      <c r="I11" s="65">
        <f>Monthly_Deployment!Q11*Controls!$B$70*Controls!$B$71/12+Monthly_Deployment!N11*Controls!$B$72*Controls!$B$73/12+Monthly_Deployment!N11*Controls!$B$74*Controls!$B$75/12</f>
        <v>497.5</v>
      </c>
      <c r="J11" s="65">
        <f>(H11+I11)*Controls!$B$76</f>
        <v>166.16666666666666</v>
      </c>
      <c r="K11" s="65">
        <f>(H11+I11)*Controls!$B$77+Monthly_Deployment!Q11*Controls!$B$78</f>
        <v>549.85</v>
      </c>
      <c r="L11" s="65">
        <f>(Controls!$B$79*(Controls!$B$68+Monthly_Deployment!Q11*Controls!$B$70+Monthly_Deployment!N11*Controls!$B$72+Monthly_Deployment!N11*Controls!$B$74))+Monthly_Deployment!Q11*Controls!$B$80+Controls!$B$83</f>
        <v>142.10000000000002</v>
      </c>
      <c r="M11" s="65">
        <f>Controls!$B$81</f>
        <v>75</v>
      </c>
      <c r="N11" s="65">
        <f>Controls!$B$82</f>
        <v>10</v>
      </c>
      <c r="O11" s="65">
        <f>Monthly_Deployment!N11*(Controls!$B$84+Controls!$B$86)+Monthly_Deployment!Q11*Controls!$B$85</f>
        <v>440</v>
      </c>
      <c r="P11" s="65">
        <f t="shared" si="1"/>
        <v>12353.016666666666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" customHeight="1" x14ac:dyDescent="0.3">
      <c r="A12" s="41">
        <v>11</v>
      </c>
      <c r="B12" s="41" t="str">
        <f>Monthly_Deployment!C12</f>
        <v>May-27</v>
      </c>
      <c r="C12" s="65">
        <f>IF(A12&lt;=Controls!$B$40,Controls!$B$38,Controls!$B$39)</f>
        <v>1.2</v>
      </c>
      <c r="D12" s="65">
        <f>Monthly_Deployment!U12*C12</f>
        <v>6785.28</v>
      </c>
      <c r="E12" s="65">
        <f>Monthly_Deployment!V12*C12</f>
        <v>3571.2</v>
      </c>
      <c r="F12" s="65">
        <f>Monthly_Deployment!M12*Controls!$B$54*Controls!$B$41/12</f>
        <v>116.66666666666667</v>
      </c>
      <c r="G12" s="65">
        <f t="shared" si="0"/>
        <v>10473.146666666666</v>
      </c>
      <c r="H12" s="65">
        <f>Controls!$B$68*Controls!$B$69/12</f>
        <v>333.33333333333331</v>
      </c>
      <c r="I12" s="65">
        <f>Monthly_Deployment!Q12*Controls!$B$70*Controls!$B$71/12+Monthly_Deployment!N12*Controls!$B$72*Controls!$B$73/12+Monthly_Deployment!N12*Controls!$B$74*Controls!$B$75/12</f>
        <v>497.5</v>
      </c>
      <c r="J12" s="65">
        <f>(H12+I12)*Controls!$B$76</f>
        <v>166.16666666666666</v>
      </c>
      <c r="K12" s="65">
        <f>(H12+I12)*Controls!$B$77+Monthly_Deployment!Q12*Controls!$B$78</f>
        <v>549.85</v>
      </c>
      <c r="L12" s="65">
        <f>(Controls!$B$79*(Controls!$B$68+Monthly_Deployment!Q12*Controls!$B$70+Monthly_Deployment!N12*Controls!$B$72+Monthly_Deployment!N12*Controls!$B$74))+Monthly_Deployment!Q12*Controls!$B$80+Controls!$B$83</f>
        <v>142.10000000000002</v>
      </c>
      <c r="M12" s="65">
        <f>Controls!$B$81</f>
        <v>75</v>
      </c>
      <c r="N12" s="65">
        <f>Controls!$B$82</f>
        <v>10</v>
      </c>
      <c r="O12" s="65">
        <f>Monthly_Deployment!N12*(Controls!$B$84+Controls!$B$86)+Monthly_Deployment!Q12*Controls!$B$85</f>
        <v>440</v>
      </c>
      <c r="P12" s="65">
        <f t="shared" si="1"/>
        <v>12687.096666666666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" customHeight="1" x14ac:dyDescent="0.3">
      <c r="A13" s="41">
        <v>12</v>
      </c>
      <c r="B13" s="41" t="str">
        <f>Monthly_Deployment!C13</f>
        <v>Jun-27</v>
      </c>
      <c r="C13" s="65">
        <f>IF(A13&lt;=Controls!$B$40,Controls!$B$38,Controls!$B$39)</f>
        <v>1.2</v>
      </c>
      <c r="D13" s="65">
        <f>Monthly_Deployment!U13*C13</f>
        <v>6566.4</v>
      </c>
      <c r="E13" s="65">
        <f>Monthly_Deployment!V13*C13</f>
        <v>3456</v>
      </c>
      <c r="F13" s="65">
        <f>Monthly_Deployment!M13*Controls!$B$54*Controls!$B$41/12</f>
        <v>116.66666666666667</v>
      </c>
      <c r="G13" s="65">
        <f t="shared" si="0"/>
        <v>10139.066666666666</v>
      </c>
      <c r="H13" s="65">
        <f>Controls!$B$68*Controls!$B$69/12</f>
        <v>333.33333333333331</v>
      </c>
      <c r="I13" s="65">
        <f>Monthly_Deployment!Q13*Controls!$B$70*Controls!$B$71/12+Monthly_Deployment!N13*Controls!$B$72*Controls!$B$73/12+Monthly_Deployment!N13*Controls!$B$74*Controls!$B$75/12</f>
        <v>497.5</v>
      </c>
      <c r="J13" s="65">
        <f>(H13+I13)*Controls!$B$76</f>
        <v>166.16666666666666</v>
      </c>
      <c r="K13" s="65">
        <f>(H13+I13)*Controls!$B$77+Monthly_Deployment!Q13*Controls!$B$78</f>
        <v>549.85</v>
      </c>
      <c r="L13" s="65">
        <f>(Controls!$B$79*(Controls!$B$68+Monthly_Deployment!Q13*Controls!$B$70+Monthly_Deployment!N13*Controls!$B$72+Monthly_Deployment!N13*Controls!$B$74))+Monthly_Deployment!Q13*Controls!$B$80+Controls!$B$83</f>
        <v>142.10000000000002</v>
      </c>
      <c r="M13" s="65">
        <f>Controls!$B$81</f>
        <v>75</v>
      </c>
      <c r="N13" s="65">
        <f>Controls!$B$82</f>
        <v>10</v>
      </c>
      <c r="O13" s="65">
        <f>Monthly_Deployment!N13*(Controls!$B$84+Controls!$B$86)+Monthly_Deployment!Q13*Controls!$B$85</f>
        <v>440</v>
      </c>
      <c r="P13" s="65">
        <f t="shared" si="1"/>
        <v>12353.016666666666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" customHeight="1" x14ac:dyDescent="0.3">
      <c r="A14" s="41">
        <v>13</v>
      </c>
      <c r="B14" s="41" t="str">
        <f>Monthly_Deployment!C14</f>
        <v>Jul-27</v>
      </c>
      <c r="C14" s="65">
        <f>IF(A14&lt;=Controls!$B$40,Controls!$B$38,Controls!$B$39)</f>
        <v>1.2</v>
      </c>
      <c r="D14" s="65">
        <f>Monthly_Deployment!U14*C14</f>
        <v>6785.28</v>
      </c>
      <c r="E14" s="65">
        <f>Monthly_Deployment!V14*C14</f>
        <v>3571.2</v>
      </c>
      <c r="F14" s="65">
        <f>Monthly_Deployment!M14*Controls!$B$54*Controls!$B$41/12</f>
        <v>116.66666666666667</v>
      </c>
      <c r="G14" s="65">
        <f t="shared" si="0"/>
        <v>10473.146666666666</v>
      </c>
      <c r="H14" s="65">
        <f>Controls!$B$68*Controls!$B$69/12</f>
        <v>333.33333333333331</v>
      </c>
      <c r="I14" s="65">
        <f>Monthly_Deployment!Q14*Controls!$B$70*Controls!$B$71/12+Monthly_Deployment!N14*Controls!$B$72*Controls!$B$73/12+Monthly_Deployment!N14*Controls!$B$74*Controls!$B$75/12</f>
        <v>497.5</v>
      </c>
      <c r="J14" s="65">
        <f>(H14+I14)*Controls!$B$76</f>
        <v>166.16666666666666</v>
      </c>
      <c r="K14" s="65">
        <f>(H14+I14)*Controls!$B$77+Monthly_Deployment!Q14*Controls!$B$78</f>
        <v>549.85</v>
      </c>
      <c r="L14" s="65">
        <f>(Controls!$B$79*(Controls!$B$68+Monthly_Deployment!Q14*Controls!$B$70+Monthly_Deployment!N14*Controls!$B$72+Monthly_Deployment!N14*Controls!$B$74))+Monthly_Deployment!Q14*Controls!$B$80+Controls!$B$83</f>
        <v>142.10000000000002</v>
      </c>
      <c r="M14" s="65">
        <f>Controls!$B$81</f>
        <v>75</v>
      </c>
      <c r="N14" s="65">
        <f>Controls!$B$82</f>
        <v>10</v>
      </c>
      <c r="O14" s="65">
        <f>Monthly_Deployment!N14*(Controls!$B$84+Controls!$B$86)+Monthly_Deployment!Q14*Controls!$B$85</f>
        <v>440</v>
      </c>
      <c r="P14" s="65">
        <f t="shared" si="1"/>
        <v>12687.096666666666</v>
      </c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" customHeight="1" x14ac:dyDescent="0.3">
      <c r="A15" s="41">
        <v>14</v>
      </c>
      <c r="B15" s="41" t="str">
        <f>Monthly_Deployment!C15</f>
        <v>Aug-27</v>
      </c>
      <c r="C15" s="65">
        <f>IF(A15&lt;=Controls!$B$40,Controls!$B$38,Controls!$B$39)</f>
        <v>1.2</v>
      </c>
      <c r="D15" s="65">
        <f>Monthly_Deployment!U15*C15</f>
        <v>6785.28</v>
      </c>
      <c r="E15" s="65">
        <f>Monthly_Deployment!V15*C15</f>
        <v>3571.2</v>
      </c>
      <c r="F15" s="65">
        <f>Monthly_Deployment!M15*Controls!$B$54*Controls!$B$41/12</f>
        <v>116.66666666666667</v>
      </c>
      <c r="G15" s="65">
        <f t="shared" si="0"/>
        <v>10473.146666666666</v>
      </c>
      <c r="H15" s="65">
        <f>Controls!$B$68*Controls!$B$69/12</f>
        <v>333.33333333333331</v>
      </c>
      <c r="I15" s="65">
        <f>Monthly_Deployment!Q15*Controls!$B$70*Controls!$B$71/12+Monthly_Deployment!N15*Controls!$B$72*Controls!$B$73/12+Monthly_Deployment!N15*Controls!$B$74*Controls!$B$75/12</f>
        <v>497.5</v>
      </c>
      <c r="J15" s="65">
        <f>(H15+I15)*Controls!$B$76</f>
        <v>166.16666666666666</v>
      </c>
      <c r="K15" s="65">
        <f>(H15+I15)*Controls!$B$77+Monthly_Deployment!Q15*Controls!$B$78</f>
        <v>549.85</v>
      </c>
      <c r="L15" s="65">
        <f>(Controls!$B$79*(Controls!$B$68+Monthly_Deployment!Q15*Controls!$B$70+Monthly_Deployment!N15*Controls!$B$72+Monthly_Deployment!N15*Controls!$B$74))+Monthly_Deployment!Q15*Controls!$B$80+Controls!$B$83</f>
        <v>142.10000000000002</v>
      </c>
      <c r="M15" s="65">
        <f>Controls!$B$81</f>
        <v>75</v>
      </c>
      <c r="N15" s="65">
        <f>Controls!$B$82</f>
        <v>10</v>
      </c>
      <c r="O15" s="65">
        <f>Monthly_Deployment!N15*(Controls!$B$84+Controls!$B$86)+Monthly_Deployment!Q15*Controls!$B$85</f>
        <v>440</v>
      </c>
      <c r="P15" s="65">
        <f t="shared" si="1"/>
        <v>12687.096666666666</v>
      </c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" customHeight="1" x14ac:dyDescent="0.3">
      <c r="A16" s="41">
        <v>15</v>
      </c>
      <c r="B16" s="41" t="str">
        <f>Monthly_Deployment!C16</f>
        <v>Sept-27</v>
      </c>
      <c r="C16" s="65">
        <f>IF(A16&lt;=Controls!$B$40,Controls!$B$38,Controls!$B$39)</f>
        <v>1.2</v>
      </c>
      <c r="D16" s="65">
        <f>Monthly_Deployment!U16*C16</f>
        <v>6566.4</v>
      </c>
      <c r="E16" s="65">
        <f>Monthly_Deployment!V16*C16</f>
        <v>3456</v>
      </c>
      <c r="F16" s="65">
        <f>Monthly_Deployment!M16*Controls!$B$54*Controls!$B$41/12</f>
        <v>116.66666666666667</v>
      </c>
      <c r="G16" s="65">
        <f t="shared" si="0"/>
        <v>10139.066666666666</v>
      </c>
      <c r="H16" s="65">
        <f>Controls!$B$68*Controls!$B$69/12</f>
        <v>333.33333333333331</v>
      </c>
      <c r="I16" s="65">
        <f>Monthly_Deployment!Q16*Controls!$B$70*Controls!$B$71/12+Monthly_Deployment!N16*Controls!$B$72*Controls!$B$73/12+Monthly_Deployment!N16*Controls!$B$74*Controls!$B$75/12</f>
        <v>497.5</v>
      </c>
      <c r="J16" s="65">
        <f>(H16+I16)*Controls!$B$76</f>
        <v>166.16666666666666</v>
      </c>
      <c r="K16" s="65">
        <f>(H16+I16)*Controls!$B$77+Monthly_Deployment!Q16*Controls!$B$78</f>
        <v>549.85</v>
      </c>
      <c r="L16" s="65">
        <f>(Controls!$B$79*(Controls!$B$68+Monthly_Deployment!Q16*Controls!$B$70+Monthly_Deployment!N16*Controls!$B$72+Monthly_Deployment!N16*Controls!$B$74))+Monthly_Deployment!Q16*Controls!$B$80+Controls!$B$83</f>
        <v>142.10000000000002</v>
      </c>
      <c r="M16" s="65">
        <f>Controls!$B$81</f>
        <v>75</v>
      </c>
      <c r="N16" s="65">
        <f>Controls!$B$82</f>
        <v>10</v>
      </c>
      <c r="O16" s="65">
        <f>Monthly_Deployment!N16*(Controls!$B$84+Controls!$B$86)+Monthly_Deployment!Q16*Controls!$B$85</f>
        <v>440</v>
      </c>
      <c r="P16" s="65">
        <f t="shared" si="1"/>
        <v>12353.016666666666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" customHeight="1" x14ac:dyDescent="0.3">
      <c r="A17" s="41">
        <v>16</v>
      </c>
      <c r="B17" s="41" t="str">
        <f>Monthly_Deployment!C17</f>
        <v>Oct-27</v>
      </c>
      <c r="C17" s="65">
        <f>IF(A17&lt;=Controls!$B$40,Controls!$B$38,Controls!$B$39)</f>
        <v>1.2</v>
      </c>
      <c r="D17" s="65">
        <f>Monthly_Deployment!U17*C17</f>
        <v>6785.28</v>
      </c>
      <c r="E17" s="65">
        <f>Monthly_Deployment!V17*C17</f>
        <v>3571.2</v>
      </c>
      <c r="F17" s="65">
        <f>Monthly_Deployment!M17*Controls!$B$54*Controls!$B$41/12</f>
        <v>116.66666666666667</v>
      </c>
      <c r="G17" s="65">
        <f t="shared" si="0"/>
        <v>10473.146666666666</v>
      </c>
      <c r="H17" s="65">
        <f>Controls!$B$68*Controls!$B$69/12</f>
        <v>333.33333333333331</v>
      </c>
      <c r="I17" s="65">
        <f>Monthly_Deployment!Q17*Controls!$B$70*Controls!$B$71/12+Monthly_Deployment!N17*Controls!$B$72*Controls!$B$73/12+Monthly_Deployment!N17*Controls!$B$74*Controls!$B$75/12</f>
        <v>497.5</v>
      </c>
      <c r="J17" s="65">
        <f>(H17+I17)*Controls!$B$76</f>
        <v>166.16666666666666</v>
      </c>
      <c r="K17" s="65">
        <f>(H17+I17)*Controls!$B$77+Monthly_Deployment!Q17*Controls!$B$78</f>
        <v>549.85</v>
      </c>
      <c r="L17" s="65">
        <f>(Controls!$B$79*(Controls!$B$68+Monthly_Deployment!Q17*Controls!$B$70+Monthly_Deployment!N17*Controls!$B$72+Monthly_Deployment!N17*Controls!$B$74))+Monthly_Deployment!Q17*Controls!$B$80+Controls!$B$83</f>
        <v>142.10000000000002</v>
      </c>
      <c r="M17" s="65">
        <f>Controls!$B$81</f>
        <v>75</v>
      </c>
      <c r="N17" s="65">
        <f>Controls!$B$82</f>
        <v>10</v>
      </c>
      <c r="O17" s="65">
        <f>Monthly_Deployment!N17*(Controls!$B$84+Controls!$B$86)+Monthly_Deployment!Q17*Controls!$B$85</f>
        <v>440</v>
      </c>
      <c r="P17" s="65">
        <f t="shared" si="1"/>
        <v>12687.096666666666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" customHeight="1" x14ac:dyDescent="0.3">
      <c r="A18" s="41">
        <v>17</v>
      </c>
      <c r="B18" s="41" t="str">
        <f>Monthly_Deployment!C18</f>
        <v>Nov-27</v>
      </c>
      <c r="C18" s="65">
        <f>IF(A18&lt;=Controls!$B$40,Controls!$B$38,Controls!$B$39)</f>
        <v>1.2</v>
      </c>
      <c r="D18" s="65">
        <f>Monthly_Deployment!U18*C18</f>
        <v>6566.4</v>
      </c>
      <c r="E18" s="65">
        <f>Monthly_Deployment!V18*C18</f>
        <v>3456</v>
      </c>
      <c r="F18" s="65">
        <f>Monthly_Deployment!M18*Controls!$B$54*Controls!$B$41/12</f>
        <v>116.66666666666667</v>
      </c>
      <c r="G18" s="65">
        <f t="shared" si="0"/>
        <v>10139.066666666666</v>
      </c>
      <c r="H18" s="65">
        <f>Controls!$B$68*Controls!$B$69/12</f>
        <v>333.33333333333331</v>
      </c>
      <c r="I18" s="65">
        <f>Monthly_Deployment!Q18*Controls!$B$70*Controls!$B$71/12+Monthly_Deployment!N18*Controls!$B$72*Controls!$B$73/12+Monthly_Deployment!N18*Controls!$B$74*Controls!$B$75/12</f>
        <v>497.5</v>
      </c>
      <c r="J18" s="65">
        <f>(H18+I18)*Controls!$B$76</f>
        <v>166.16666666666666</v>
      </c>
      <c r="K18" s="65">
        <f>(H18+I18)*Controls!$B$77+Monthly_Deployment!Q18*Controls!$B$78</f>
        <v>549.85</v>
      </c>
      <c r="L18" s="65">
        <f>(Controls!$B$79*(Controls!$B$68+Monthly_Deployment!Q18*Controls!$B$70+Monthly_Deployment!N18*Controls!$B$72+Monthly_Deployment!N18*Controls!$B$74))+Monthly_Deployment!Q18*Controls!$B$80+Controls!$B$83</f>
        <v>142.10000000000002</v>
      </c>
      <c r="M18" s="65">
        <f>Controls!$B$81</f>
        <v>75</v>
      </c>
      <c r="N18" s="65">
        <f>Controls!$B$82</f>
        <v>10</v>
      </c>
      <c r="O18" s="65">
        <f>Monthly_Deployment!N18*(Controls!$B$84+Controls!$B$86)+Monthly_Deployment!Q18*Controls!$B$85</f>
        <v>440</v>
      </c>
      <c r="P18" s="65">
        <f t="shared" si="1"/>
        <v>12353.016666666666</v>
      </c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" customHeight="1" x14ac:dyDescent="0.3">
      <c r="A19" s="41">
        <v>18</v>
      </c>
      <c r="B19" s="41" t="str">
        <f>Monthly_Deployment!C19</f>
        <v>Dec-27</v>
      </c>
      <c r="C19" s="65">
        <f>IF(A19&lt;=Controls!$B$40,Controls!$B$38,Controls!$B$39)</f>
        <v>1.2</v>
      </c>
      <c r="D19" s="65">
        <f>Monthly_Deployment!U19*C19</f>
        <v>6785.28</v>
      </c>
      <c r="E19" s="65">
        <f>Monthly_Deployment!V19*C19</f>
        <v>3571.2</v>
      </c>
      <c r="F19" s="65">
        <f>Monthly_Deployment!M19*Controls!$B$54*Controls!$B$41/12</f>
        <v>116.66666666666667</v>
      </c>
      <c r="G19" s="65">
        <f t="shared" si="0"/>
        <v>10473.146666666666</v>
      </c>
      <c r="H19" s="65">
        <f>Controls!$B$68*Controls!$B$69/12</f>
        <v>333.33333333333331</v>
      </c>
      <c r="I19" s="65">
        <f>Monthly_Deployment!Q19*Controls!$B$70*Controls!$B$71/12+Monthly_Deployment!N19*Controls!$B$72*Controls!$B$73/12+Monthly_Deployment!N19*Controls!$B$74*Controls!$B$75/12</f>
        <v>497.5</v>
      </c>
      <c r="J19" s="65">
        <f>(H19+I19)*Controls!$B$76</f>
        <v>166.16666666666666</v>
      </c>
      <c r="K19" s="65">
        <f>(H19+I19)*Controls!$B$77+Monthly_Deployment!Q19*Controls!$B$78</f>
        <v>549.85</v>
      </c>
      <c r="L19" s="65">
        <f>(Controls!$B$79*(Controls!$B$68+Monthly_Deployment!Q19*Controls!$B$70+Monthly_Deployment!N19*Controls!$B$72+Monthly_Deployment!N19*Controls!$B$74))+Monthly_Deployment!Q19*Controls!$B$80+Controls!$B$83</f>
        <v>142.10000000000002</v>
      </c>
      <c r="M19" s="65">
        <f>Controls!$B$81</f>
        <v>75</v>
      </c>
      <c r="N19" s="65">
        <f>Controls!$B$82</f>
        <v>10</v>
      </c>
      <c r="O19" s="65">
        <f>Monthly_Deployment!N19*(Controls!$B$84+Controls!$B$86)+Monthly_Deployment!Q19*Controls!$B$85</f>
        <v>440</v>
      </c>
      <c r="P19" s="65">
        <f t="shared" si="1"/>
        <v>12687.096666666666</v>
      </c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" customHeight="1" x14ac:dyDescent="0.3">
      <c r="A20" s="41">
        <v>19</v>
      </c>
      <c r="B20" s="41" t="str">
        <f>Monthly_Deployment!C20</f>
        <v>Jan-28</v>
      </c>
      <c r="C20" s="65">
        <f>IF(A20&lt;=Controls!$B$40,Controls!$B$38,Controls!$B$39)</f>
        <v>0.6</v>
      </c>
      <c r="D20" s="65">
        <f>Monthly_Deployment!U20*C20</f>
        <v>3392.64</v>
      </c>
      <c r="E20" s="65">
        <f>Monthly_Deployment!V20*C20</f>
        <v>1785.6</v>
      </c>
      <c r="F20" s="65">
        <f>Monthly_Deployment!M20*Controls!$B$54*Controls!$B$41/12</f>
        <v>116.66666666666667</v>
      </c>
      <c r="G20" s="65">
        <f t="shared" si="0"/>
        <v>5294.9066666666668</v>
      </c>
      <c r="H20" s="65">
        <f>Controls!$B$68*Controls!$B$69/12</f>
        <v>333.33333333333331</v>
      </c>
      <c r="I20" s="65">
        <f>Monthly_Deployment!Q20*Controls!$B$70*Controls!$B$71/12+Monthly_Deployment!N20*Controls!$B$72*Controls!$B$73/12+Monthly_Deployment!N20*Controls!$B$74*Controls!$B$75/12</f>
        <v>497.5</v>
      </c>
      <c r="J20" s="65">
        <f>(H20+I20)*Controls!$B$76</f>
        <v>166.16666666666666</v>
      </c>
      <c r="K20" s="65">
        <f>(H20+I20)*Controls!$B$77+Monthly_Deployment!Q20*Controls!$B$78</f>
        <v>549.85</v>
      </c>
      <c r="L20" s="65">
        <f>(Controls!$B$79*(Controls!$B$68+Monthly_Deployment!Q20*Controls!$B$70+Monthly_Deployment!N20*Controls!$B$72+Monthly_Deployment!N20*Controls!$B$74))+Monthly_Deployment!Q20*Controls!$B$80+Controls!$B$83</f>
        <v>142.10000000000002</v>
      </c>
      <c r="M20" s="65">
        <f>Controls!$B$81</f>
        <v>75</v>
      </c>
      <c r="N20" s="65">
        <f>Controls!$B$82</f>
        <v>10</v>
      </c>
      <c r="O20" s="65">
        <f>Monthly_Deployment!N20*(Controls!$B$84+Controls!$B$86)+Monthly_Deployment!Q20*Controls!$B$85</f>
        <v>440</v>
      </c>
      <c r="P20" s="65">
        <f t="shared" si="1"/>
        <v>7508.8566666666675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" customHeight="1" x14ac:dyDescent="0.3">
      <c r="A21" s="41">
        <v>20</v>
      </c>
      <c r="B21" s="41" t="str">
        <f>Monthly_Deployment!C21</f>
        <v>Feb-28</v>
      </c>
      <c r="C21" s="65">
        <f>IF(A21&lt;=Controls!$B$40,Controls!$B$38,Controls!$B$39)</f>
        <v>0.6</v>
      </c>
      <c r="D21" s="65">
        <f>Monthly_Deployment!U21*C21</f>
        <v>3173.7599999999998</v>
      </c>
      <c r="E21" s="65">
        <f>Monthly_Deployment!V21*C21</f>
        <v>1670.3999999999999</v>
      </c>
      <c r="F21" s="65">
        <f>Monthly_Deployment!M21*Controls!$B$54*Controls!$B$41/12</f>
        <v>116.66666666666667</v>
      </c>
      <c r="G21" s="65">
        <f t="shared" si="0"/>
        <v>4960.8266666666668</v>
      </c>
      <c r="H21" s="65">
        <f>Controls!$B$68*Controls!$B$69/12</f>
        <v>333.33333333333331</v>
      </c>
      <c r="I21" s="65">
        <f>Monthly_Deployment!Q21*Controls!$B$70*Controls!$B$71/12+Monthly_Deployment!N21*Controls!$B$72*Controls!$B$73/12+Monthly_Deployment!N21*Controls!$B$74*Controls!$B$75/12</f>
        <v>497.5</v>
      </c>
      <c r="J21" s="65">
        <f>(H21+I21)*Controls!$B$76</f>
        <v>166.16666666666666</v>
      </c>
      <c r="K21" s="65">
        <f>(H21+I21)*Controls!$B$77+Monthly_Deployment!Q21*Controls!$B$78</f>
        <v>549.85</v>
      </c>
      <c r="L21" s="65">
        <f>(Controls!$B$79*(Controls!$B$68+Monthly_Deployment!Q21*Controls!$B$70+Monthly_Deployment!N21*Controls!$B$72+Monthly_Deployment!N21*Controls!$B$74))+Monthly_Deployment!Q21*Controls!$B$80+Controls!$B$83</f>
        <v>142.10000000000002</v>
      </c>
      <c r="M21" s="65">
        <f>Controls!$B$81</f>
        <v>75</v>
      </c>
      <c r="N21" s="65">
        <f>Controls!$B$82</f>
        <v>10</v>
      </c>
      <c r="O21" s="65">
        <f>Monthly_Deployment!N21*(Controls!$B$84+Controls!$B$86)+Monthly_Deployment!Q21*Controls!$B$85</f>
        <v>440</v>
      </c>
      <c r="P21" s="65">
        <f t="shared" si="1"/>
        <v>7174.7766666666676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" customHeight="1" x14ac:dyDescent="0.3">
      <c r="A22" s="41">
        <v>21</v>
      </c>
      <c r="B22" s="41" t="str">
        <f>Monthly_Deployment!C22</f>
        <v>Mar-28</v>
      </c>
      <c r="C22" s="65">
        <f>IF(A22&lt;=Controls!$B$40,Controls!$B$38,Controls!$B$39)</f>
        <v>0.6</v>
      </c>
      <c r="D22" s="65">
        <f>Monthly_Deployment!U22*C22</f>
        <v>3392.64</v>
      </c>
      <c r="E22" s="65">
        <f>Monthly_Deployment!V22*C22</f>
        <v>1785.6</v>
      </c>
      <c r="F22" s="65">
        <f>Monthly_Deployment!M22*Controls!$B$54*Controls!$B$41/12</f>
        <v>116.66666666666667</v>
      </c>
      <c r="G22" s="65">
        <f t="shared" si="0"/>
        <v>5294.9066666666668</v>
      </c>
      <c r="H22" s="65">
        <f>Controls!$B$68*Controls!$B$69/12</f>
        <v>333.33333333333331</v>
      </c>
      <c r="I22" s="65">
        <f>Monthly_Deployment!Q22*Controls!$B$70*Controls!$B$71/12+Monthly_Deployment!N22*Controls!$B$72*Controls!$B$73/12+Monthly_Deployment!N22*Controls!$B$74*Controls!$B$75/12</f>
        <v>497.5</v>
      </c>
      <c r="J22" s="65">
        <f>(H22+I22)*Controls!$B$76</f>
        <v>166.16666666666666</v>
      </c>
      <c r="K22" s="65">
        <f>(H22+I22)*Controls!$B$77+Monthly_Deployment!Q22*Controls!$B$78</f>
        <v>549.85</v>
      </c>
      <c r="L22" s="65">
        <f>(Controls!$B$79*(Controls!$B$68+Monthly_Deployment!Q22*Controls!$B$70+Monthly_Deployment!N22*Controls!$B$72+Monthly_Deployment!N22*Controls!$B$74))+Monthly_Deployment!Q22*Controls!$B$80+Controls!$B$83</f>
        <v>142.10000000000002</v>
      </c>
      <c r="M22" s="65">
        <f>Controls!$B$81</f>
        <v>75</v>
      </c>
      <c r="N22" s="65">
        <f>Controls!$B$82</f>
        <v>10</v>
      </c>
      <c r="O22" s="65">
        <f>Monthly_Deployment!N22*(Controls!$B$84+Controls!$B$86)+Monthly_Deployment!Q22*Controls!$B$85</f>
        <v>440</v>
      </c>
      <c r="P22" s="65">
        <f t="shared" si="1"/>
        <v>7508.8566666666675</v>
      </c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" customHeight="1" x14ac:dyDescent="0.3">
      <c r="A23" s="41">
        <v>22</v>
      </c>
      <c r="B23" s="41" t="str">
        <f>Monthly_Deployment!C23</f>
        <v>Apr-28</v>
      </c>
      <c r="C23" s="65">
        <f>IF(A23&lt;=Controls!$B$40,Controls!$B$38,Controls!$B$39)</f>
        <v>0.6</v>
      </c>
      <c r="D23" s="65">
        <f>Monthly_Deployment!U23*C23</f>
        <v>3283.2</v>
      </c>
      <c r="E23" s="65">
        <f>Monthly_Deployment!V23*C23</f>
        <v>1728</v>
      </c>
      <c r="F23" s="65">
        <f>Monthly_Deployment!M23*Controls!$B$54*Controls!$B$41/12</f>
        <v>116.66666666666667</v>
      </c>
      <c r="G23" s="65">
        <f t="shared" si="0"/>
        <v>5127.8666666666668</v>
      </c>
      <c r="H23" s="65">
        <f>Controls!$B$68*Controls!$B$69/12</f>
        <v>333.33333333333331</v>
      </c>
      <c r="I23" s="65">
        <f>Monthly_Deployment!Q23*Controls!$B$70*Controls!$B$71/12+Monthly_Deployment!N23*Controls!$B$72*Controls!$B$73/12+Monthly_Deployment!N23*Controls!$B$74*Controls!$B$75/12</f>
        <v>497.5</v>
      </c>
      <c r="J23" s="65">
        <f>(H23+I23)*Controls!$B$76</f>
        <v>166.16666666666666</v>
      </c>
      <c r="K23" s="65">
        <f>(H23+I23)*Controls!$B$77+Monthly_Deployment!Q23*Controls!$B$78</f>
        <v>549.85</v>
      </c>
      <c r="L23" s="65">
        <f>(Controls!$B$79*(Controls!$B$68+Monthly_Deployment!Q23*Controls!$B$70+Monthly_Deployment!N23*Controls!$B$72+Monthly_Deployment!N23*Controls!$B$74))+Monthly_Deployment!Q23*Controls!$B$80+Controls!$B$83</f>
        <v>142.10000000000002</v>
      </c>
      <c r="M23" s="65">
        <f>Controls!$B$81</f>
        <v>75</v>
      </c>
      <c r="N23" s="65">
        <f>Controls!$B$82</f>
        <v>10</v>
      </c>
      <c r="O23" s="65">
        <f>Monthly_Deployment!N23*(Controls!$B$84+Controls!$B$86)+Monthly_Deployment!Q23*Controls!$B$85</f>
        <v>440</v>
      </c>
      <c r="P23" s="65">
        <f t="shared" si="1"/>
        <v>7341.8166666666675</v>
      </c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" customHeight="1" x14ac:dyDescent="0.3">
      <c r="A24" s="41">
        <v>23</v>
      </c>
      <c r="B24" s="41" t="str">
        <f>Monthly_Deployment!C24</f>
        <v>May-28</v>
      </c>
      <c r="C24" s="65">
        <f>IF(A24&lt;=Controls!$B$40,Controls!$B$38,Controls!$B$39)</f>
        <v>0.6</v>
      </c>
      <c r="D24" s="65">
        <f>Monthly_Deployment!U24*C24</f>
        <v>3392.64</v>
      </c>
      <c r="E24" s="65">
        <f>Monthly_Deployment!V24*C24</f>
        <v>1785.6</v>
      </c>
      <c r="F24" s="65">
        <f>Monthly_Deployment!M24*Controls!$B$54*Controls!$B$41/12</f>
        <v>116.66666666666667</v>
      </c>
      <c r="G24" s="65">
        <f t="shared" si="0"/>
        <v>5294.9066666666668</v>
      </c>
      <c r="H24" s="65">
        <f>Controls!$B$68*Controls!$B$69/12</f>
        <v>333.33333333333331</v>
      </c>
      <c r="I24" s="65">
        <f>Monthly_Deployment!Q24*Controls!$B$70*Controls!$B$71/12+Monthly_Deployment!N24*Controls!$B$72*Controls!$B$73/12+Monthly_Deployment!N24*Controls!$B$74*Controls!$B$75/12</f>
        <v>497.5</v>
      </c>
      <c r="J24" s="65">
        <f>(H24+I24)*Controls!$B$76</f>
        <v>166.16666666666666</v>
      </c>
      <c r="K24" s="65">
        <f>(H24+I24)*Controls!$B$77+Monthly_Deployment!Q24*Controls!$B$78</f>
        <v>549.85</v>
      </c>
      <c r="L24" s="65">
        <f>(Controls!$B$79*(Controls!$B$68+Monthly_Deployment!Q24*Controls!$B$70+Monthly_Deployment!N24*Controls!$B$72+Monthly_Deployment!N24*Controls!$B$74))+Monthly_Deployment!Q24*Controls!$B$80+Controls!$B$83</f>
        <v>142.10000000000002</v>
      </c>
      <c r="M24" s="65">
        <f>Controls!$B$81</f>
        <v>75</v>
      </c>
      <c r="N24" s="65">
        <f>Controls!$B$82</f>
        <v>10</v>
      </c>
      <c r="O24" s="65">
        <f>Monthly_Deployment!N24*(Controls!$B$84+Controls!$B$86)+Monthly_Deployment!Q24*Controls!$B$85</f>
        <v>440</v>
      </c>
      <c r="P24" s="65">
        <f t="shared" si="1"/>
        <v>7508.8566666666675</v>
      </c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" customHeight="1" x14ac:dyDescent="0.3">
      <c r="A25" s="41">
        <v>24</v>
      </c>
      <c r="B25" s="41" t="str">
        <f>Monthly_Deployment!C25</f>
        <v>Jun-28</v>
      </c>
      <c r="C25" s="65">
        <f>IF(A25&lt;=Controls!$B$40,Controls!$B$38,Controls!$B$39)</f>
        <v>0.6</v>
      </c>
      <c r="D25" s="65">
        <f>Monthly_Deployment!U25*C25</f>
        <v>3283.2</v>
      </c>
      <c r="E25" s="65">
        <f>Monthly_Deployment!V25*C25</f>
        <v>1728</v>
      </c>
      <c r="F25" s="65">
        <f>Monthly_Deployment!M25*Controls!$B$54*Controls!$B$41/12</f>
        <v>116.66666666666667</v>
      </c>
      <c r="G25" s="65">
        <f t="shared" si="0"/>
        <v>5127.8666666666668</v>
      </c>
      <c r="H25" s="65">
        <f>Controls!$B$68*Controls!$B$69/12</f>
        <v>333.33333333333331</v>
      </c>
      <c r="I25" s="65">
        <f>Monthly_Deployment!Q25*Controls!$B$70*Controls!$B$71/12+Monthly_Deployment!N25*Controls!$B$72*Controls!$B$73/12+Monthly_Deployment!N25*Controls!$B$74*Controls!$B$75/12</f>
        <v>497.5</v>
      </c>
      <c r="J25" s="65">
        <f>(H25+I25)*Controls!$B$76</f>
        <v>166.16666666666666</v>
      </c>
      <c r="K25" s="65">
        <f>(H25+I25)*Controls!$B$77+Monthly_Deployment!Q25*Controls!$B$78</f>
        <v>549.85</v>
      </c>
      <c r="L25" s="65">
        <f>(Controls!$B$79*(Controls!$B$68+Monthly_Deployment!Q25*Controls!$B$70+Monthly_Deployment!N25*Controls!$B$72+Monthly_Deployment!N25*Controls!$B$74))+Monthly_Deployment!Q25*Controls!$B$80+Controls!$B$83</f>
        <v>142.10000000000002</v>
      </c>
      <c r="M25" s="65">
        <f>Controls!$B$81</f>
        <v>75</v>
      </c>
      <c r="N25" s="65">
        <f>Controls!$B$82</f>
        <v>10</v>
      </c>
      <c r="O25" s="65">
        <f>Monthly_Deployment!N25*(Controls!$B$84+Controls!$B$86)+Monthly_Deployment!Q25*Controls!$B$85</f>
        <v>440</v>
      </c>
      <c r="P25" s="65">
        <f t="shared" si="1"/>
        <v>7341.8166666666675</v>
      </c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" customHeight="1" x14ac:dyDescent="0.3">
      <c r="A26" s="41">
        <v>25</v>
      </c>
      <c r="B26" s="41" t="str">
        <f>Monthly_Deployment!C26</f>
        <v>Jul-28</v>
      </c>
      <c r="C26" s="65">
        <f>IF(A26&lt;=Controls!$B$40,Controls!$B$38,Controls!$B$39)</f>
        <v>0.6</v>
      </c>
      <c r="D26" s="65">
        <f>Monthly_Deployment!U26*C26</f>
        <v>3392.64</v>
      </c>
      <c r="E26" s="65">
        <f>Monthly_Deployment!V26*C26</f>
        <v>1785.6</v>
      </c>
      <c r="F26" s="65">
        <f>Monthly_Deployment!M26*Controls!$B$54*Controls!$B$41/12</f>
        <v>116.66666666666667</v>
      </c>
      <c r="G26" s="65">
        <f t="shared" si="0"/>
        <v>5294.9066666666668</v>
      </c>
      <c r="H26" s="65">
        <f>Controls!$B$68*Controls!$B$69/12</f>
        <v>333.33333333333331</v>
      </c>
      <c r="I26" s="65">
        <f>Monthly_Deployment!Q26*Controls!$B$70*Controls!$B$71/12+Monthly_Deployment!N26*Controls!$B$72*Controls!$B$73/12+Monthly_Deployment!N26*Controls!$B$74*Controls!$B$75/12</f>
        <v>497.5</v>
      </c>
      <c r="J26" s="65">
        <f>(H26+I26)*Controls!$B$76</f>
        <v>166.16666666666666</v>
      </c>
      <c r="K26" s="65">
        <f>(H26+I26)*Controls!$B$77+Monthly_Deployment!Q26*Controls!$B$78</f>
        <v>549.85</v>
      </c>
      <c r="L26" s="65">
        <f>(Controls!$B$79*(Controls!$B$68+Monthly_Deployment!Q26*Controls!$B$70+Monthly_Deployment!N26*Controls!$B$72+Monthly_Deployment!N26*Controls!$B$74))+Monthly_Deployment!Q26*Controls!$B$80+Controls!$B$83</f>
        <v>142.10000000000002</v>
      </c>
      <c r="M26" s="65">
        <f>Controls!$B$81</f>
        <v>75</v>
      </c>
      <c r="N26" s="65">
        <f>Controls!$B$82</f>
        <v>10</v>
      </c>
      <c r="O26" s="65">
        <f>Monthly_Deployment!N26*(Controls!$B$84+Controls!$B$86)+Monthly_Deployment!Q26*Controls!$B$85</f>
        <v>440</v>
      </c>
      <c r="P26" s="65">
        <f t="shared" si="1"/>
        <v>7508.8566666666675</v>
      </c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" customHeight="1" x14ac:dyDescent="0.3">
      <c r="A27" s="41">
        <v>26</v>
      </c>
      <c r="B27" s="41" t="str">
        <f>Monthly_Deployment!C27</f>
        <v>Aug-28</v>
      </c>
      <c r="C27" s="65">
        <f>IF(A27&lt;=Controls!$B$40,Controls!$B$38,Controls!$B$39)</f>
        <v>0.6</v>
      </c>
      <c r="D27" s="65">
        <f>Monthly_Deployment!U27*C27</f>
        <v>3392.64</v>
      </c>
      <c r="E27" s="65">
        <f>Monthly_Deployment!V27*C27</f>
        <v>1785.6</v>
      </c>
      <c r="F27" s="65">
        <f>Monthly_Deployment!M27*Controls!$B$54*Controls!$B$41/12</f>
        <v>116.66666666666667</v>
      </c>
      <c r="G27" s="65">
        <f t="shared" si="0"/>
        <v>5294.9066666666668</v>
      </c>
      <c r="H27" s="65">
        <f>Controls!$B$68*Controls!$B$69/12</f>
        <v>333.33333333333331</v>
      </c>
      <c r="I27" s="65">
        <f>Monthly_Deployment!Q27*Controls!$B$70*Controls!$B$71/12+Monthly_Deployment!N27*Controls!$B$72*Controls!$B$73/12+Monthly_Deployment!N27*Controls!$B$74*Controls!$B$75/12</f>
        <v>497.5</v>
      </c>
      <c r="J27" s="65">
        <f>(H27+I27)*Controls!$B$76</f>
        <v>166.16666666666666</v>
      </c>
      <c r="K27" s="65">
        <f>(H27+I27)*Controls!$B$77+Monthly_Deployment!Q27*Controls!$B$78</f>
        <v>549.85</v>
      </c>
      <c r="L27" s="65">
        <f>(Controls!$B$79*(Controls!$B$68+Monthly_Deployment!Q27*Controls!$B$70+Monthly_Deployment!N27*Controls!$B$72+Monthly_Deployment!N27*Controls!$B$74))+Monthly_Deployment!Q27*Controls!$B$80+Controls!$B$83</f>
        <v>142.10000000000002</v>
      </c>
      <c r="M27" s="65">
        <f>Controls!$B$81</f>
        <v>75</v>
      </c>
      <c r="N27" s="65">
        <f>Controls!$B$82</f>
        <v>10</v>
      </c>
      <c r="O27" s="65">
        <f>Monthly_Deployment!N27*(Controls!$B$84+Controls!$B$86)+Monthly_Deployment!Q27*Controls!$B$85</f>
        <v>440</v>
      </c>
      <c r="P27" s="65">
        <f t="shared" si="1"/>
        <v>7508.8566666666675</v>
      </c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" customHeight="1" x14ac:dyDescent="0.3">
      <c r="A28" s="41">
        <v>27</v>
      </c>
      <c r="B28" s="41" t="str">
        <f>Monthly_Deployment!C28</f>
        <v>Sept-28</v>
      </c>
      <c r="C28" s="65">
        <f>IF(A28&lt;=Controls!$B$40,Controls!$B$38,Controls!$B$39)</f>
        <v>0.6</v>
      </c>
      <c r="D28" s="65">
        <f>Monthly_Deployment!U28*C28</f>
        <v>3283.2</v>
      </c>
      <c r="E28" s="65">
        <f>Monthly_Deployment!V28*C28</f>
        <v>1728</v>
      </c>
      <c r="F28" s="65">
        <f>Monthly_Deployment!M28*Controls!$B$54*Controls!$B$41/12</f>
        <v>116.66666666666667</v>
      </c>
      <c r="G28" s="65">
        <f t="shared" si="0"/>
        <v>5127.8666666666668</v>
      </c>
      <c r="H28" s="65">
        <f>Controls!$B$68*Controls!$B$69/12</f>
        <v>333.33333333333331</v>
      </c>
      <c r="I28" s="65">
        <f>Monthly_Deployment!Q28*Controls!$B$70*Controls!$B$71/12+Monthly_Deployment!N28*Controls!$B$72*Controls!$B$73/12+Monthly_Deployment!N28*Controls!$B$74*Controls!$B$75/12</f>
        <v>497.5</v>
      </c>
      <c r="J28" s="65">
        <f>(H28+I28)*Controls!$B$76</f>
        <v>166.16666666666666</v>
      </c>
      <c r="K28" s="65">
        <f>(H28+I28)*Controls!$B$77+Monthly_Deployment!Q28*Controls!$B$78</f>
        <v>549.85</v>
      </c>
      <c r="L28" s="65">
        <f>(Controls!$B$79*(Controls!$B$68+Monthly_Deployment!Q28*Controls!$B$70+Monthly_Deployment!N28*Controls!$B$72+Monthly_Deployment!N28*Controls!$B$74))+Monthly_Deployment!Q28*Controls!$B$80+Controls!$B$83</f>
        <v>142.10000000000002</v>
      </c>
      <c r="M28" s="65">
        <f>Controls!$B$81</f>
        <v>75</v>
      </c>
      <c r="N28" s="65">
        <f>Controls!$B$82</f>
        <v>10</v>
      </c>
      <c r="O28" s="65">
        <f>Monthly_Deployment!N28*(Controls!$B$84+Controls!$B$86)+Monthly_Deployment!Q28*Controls!$B$85</f>
        <v>440</v>
      </c>
      <c r="P28" s="65">
        <f t="shared" si="1"/>
        <v>7341.8166666666675</v>
      </c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" customHeight="1" x14ac:dyDescent="0.3">
      <c r="A29" s="41">
        <v>28</v>
      </c>
      <c r="B29" s="41" t="str">
        <f>Monthly_Deployment!C29</f>
        <v>Oct-28</v>
      </c>
      <c r="C29" s="65">
        <f>IF(A29&lt;=Controls!$B$40,Controls!$B$38,Controls!$B$39)</f>
        <v>0.6</v>
      </c>
      <c r="D29" s="65">
        <f>Monthly_Deployment!U29*C29</f>
        <v>3392.64</v>
      </c>
      <c r="E29" s="65">
        <f>Monthly_Deployment!V29*C29</f>
        <v>1785.6</v>
      </c>
      <c r="F29" s="65">
        <f>Monthly_Deployment!M29*Controls!$B$54*Controls!$B$41/12</f>
        <v>116.66666666666667</v>
      </c>
      <c r="G29" s="65">
        <f t="shared" si="0"/>
        <v>5294.9066666666668</v>
      </c>
      <c r="H29" s="65">
        <f>Controls!$B$68*Controls!$B$69/12</f>
        <v>333.33333333333331</v>
      </c>
      <c r="I29" s="65">
        <f>Monthly_Deployment!Q29*Controls!$B$70*Controls!$B$71/12+Monthly_Deployment!N29*Controls!$B$72*Controls!$B$73/12+Monthly_Deployment!N29*Controls!$B$74*Controls!$B$75/12</f>
        <v>497.5</v>
      </c>
      <c r="J29" s="65">
        <f>(H29+I29)*Controls!$B$76</f>
        <v>166.16666666666666</v>
      </c>
      <c r="K29" s="65">
        <f>(H29+I29)*Controls!$B$77+Monthly_Deployment!Q29*Controls!$B$78</f>
        <v>549.85</v>
      </c>
      <c r="L29" s="65">
        <f>(Controls!$B$79*(Controls!$B$68+Monthly_Deployment!Q29*Controls!$B$70+Monthly_Deployment!N29*Controls!$B$72+Monthly_Deployment!N29*Controls!$B$74))+Monthly_Deployment!Q29*Controls!$B$80+Controls!$B$83</f>
        <v>142.10000000000002</v>
      </c>
      <c r="M29" s="65">
        <f>Controls!$B$81</f>
        <v>75</v>
      </c>
      <c r="N29" s="65">
        <f>Controls!$B$82</f>
        <v>10</v>
      </c>
      <c r="O29" s="65">
        <f>Monthly_Deployment!N29*(Controls!$B$84+Controls!$B$86)+Monthly_Deployment!Q29*Controls!$B$85</f>
        <v>440</v>
      </c>
      <c r="P29" s="65">
        <f t="shared" si="1"/>
        <v>7508.8566666666675</v>
      </c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" customHeight="1" x14ac:dyDescent="0.3">
      <c r="A30" s="41">
        <v>29</v>
      </c>
      <c r="B30" s="41" t="str">
        <f>Monthly_Deployment!C30</f>
        <v>Nov-28</v>
      </c>
      <c r="C30" s="65">
        <f>IF(A30&lt;=Controls!$B$40,Controls!$B$38,Controls!$B$39)</f>
        <v>0.6</v>
      </c>
      <c r="D30" s="65">
        <f>Monthly_Deployment!U30*C30</f>
        <v>3283.2</v>
      </c>
      <c r="E30" s="65">
        <f>Monthly_Deployment!V30*C30</f>
        <v>1728</v>
      </c>
      <c r="F30" s="65">
        <f>Monthly_Deployment!M30*Controls!$B$54*Controls!$B$41/12</f>
        <v>116.66666666666667</v>
      </c>
      <c r="G30" s="65">
        <f t="shared" si="0"/>
        <v>5127.8666666666668</v>
      </c>
      <c r="H30" s="65">
        <f>Controls!$B$68*Controls!$B$69/12</f>
        <v>333.33333333333331</v>
      </c>
      <c r="I30" s="65">
        <f>Monthly_Deployment!Q30*Controls!$B$70*Controls!$B$71/12+Monthly_Deployment!N30*Controls!$B$72*Controls!$B$73/12+Monthly_Deployment!N30*Controls!$B$74*Controls!$B$75/12</f>
        <v>497.5</v>
      </c>
      <c r="J30" s="65">
        <f>(H30+I30)*Controls!$B$76</f>
        <v>166.16666666666666</v>
      </c>
      <c r="K30" s="65">
        <f>(H30+I30)*Controls!$B$77+Monthly_Deployment!Q30*Controls!$B$78</f>
        <v>549.85</v>
      </c>
      <c r="L30" s="65">
        <f>(Controls!$B$79*(Controls!$B$68+Monthly_Deployment!Q30*Controls!$B$70+Monthly_Deployment!N30*Controls!$B$72+Monthly_Deployment!N30*Controls!$B$74))+Monthly_Deployment!Q30*Controls!$B$80+Controls!$B$83</f>
        <v>142.10000000000002</v>
      </c>
      <c r="M30" s="65">
        <f>Controls!$B$81</f>
        <v>75</v>
      </c>
      <c r="N30" s="65">
        <f>Controls!$B$82</f>
        <v>10</v>
      </c>
      <c r="O30" s="65">
        <f>Monthly_Deployment!N30*(Controls!$B$84+Controls!$B$86)+Monthly_Deployment!Q30*Controls!$B$85</f>
        <v>440</v>
      </c>
      <c r="P30" s="65">
        <f t="shared" si="1"/>
        <v>7341.8166666666675</v>
      </c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" customHeight="1" x14ac:dyDescent="0.3">
      <c r="A31" s="41">
        <v>30</v>
      </c>
      <c r="B31" s="41" t="str">
        <f>Monthly_Deployment!C31</f>
        <v>Dec-28</v>
      </c>
      <c r="C31" s="65">
        <f>IF(A31&lt;=Controls!$B$40,Controls!$B$38,Controls!$B$39)</f>
        <v>0.6</v>
      </c>
      <c r="D31" s="65">
        <f>Monthly_Deployment!U31*C31</f>
        <v>3392.64</v>
      </c>
      <c r="E31" s="65">
        <f>Monthly_Deployment!V31*C31</f>
        <v>1785.6</v>
      </c>
      <c r="F31" s="65">
        <f>Monthly_Deployment!M31*Controls!$B$54*Controls!$B$41/12</f>
        <v>116.66666666666667</v>
      </c>
      <c r="G31" s="65">
        <f t="shared" si="0"/>
        <v>5294.9066666666668</v>
      </c>
      <c r="H31" s="65">
        <f>Controls!$B$68*Controls!$B$69/12</f>
        <v>333.33333333333331</v>
      </c>
      <c r="I31" s="65">
        <f>Monthly_Deployment!Q31*Controls!$B$70*Controls!$B$71/12+Monthly_Deployment!N31*Controls!$B$72*Controls!$B$73/12+Monthly_Deployment!N31*Controls!$B$74*Controls!$B$75/12</f>
        <v>497.5</v>
      </c>
      <c r="J31" s="65">
        <f>(H31+I31)*Controls!$B$76</f>
        <v>166.16666666666666</v>
      </c>
      <c r="K31" s="65">
        <f>(H31+I31)*Controls!$B$77+Monthly_Deployment!Q31*Controls!$B$78</f>
        <v>549.85</v>
      </c>
      <c r="L31" s="65">
        <f>(Controls!$B$79*(Controls!$B$68+Monthly_Deployment!Q31*Controls!$B$70+Monthly_Deployment!N31*Controls!$B$72+Monthly_Deployment!N31*Controls!$B$74))+Monthly_Deployment!Q31*Controls!$B$80+Controls!$B$83</f>
        <v>142.10000000000002</v>
      </c>
      <c r="M31" s="65">
        <f>Controls!$B$81</f>
        <v>75</v>
      </c>
      <c r="N31" s="65">
        <f>Controls!$B$82</f>
        <v>10</v>
      </c>
      <c r="O31" s="65">
        <f>Monthly_Deployment!N31*(Controls!$B$84+Controls!$B$86)+Monthly_Deployment!Q31*Controls!$B$85</f>
        <v>440</v>
      </c>
      <c r="P31" s="65">
        <f t="shared" si="1"/>
        <v>7508.8566666666675</v>
      </c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" customHeight="1" x14ac:dyDescent="0.3">
      <c r="A32" s="41">
        <v>31</v>
      </c>
      <c r="B32" s="41" t="str">
        <f>Monthly_Deployment!C32</f>
        <v>Jan-29</v>
      </c>
      <c r="C32" s="65">
        <f>IF(A32&lt;=Controls!$B$40,Controls!$B$38,Controls!$B$39)</f>
        <v>0.6</v>
      </c>
      <c r="D32" s="65">
        <f>Monthly_Deployment!U32*C32</f>
        <v>3392.64</v>
      </c>
      <c r="E32" s="65">
        <f>Monthly_Deployment!V32*C32</f>
        <v>1785.6</v>
      </c>
      <c r="F32" s="65">
        <f>Monthly_Deployment!M32*Controls!$B$54*Controls!$B$41/12</f>
        <v>116.66666666666667</v>
      </c>
      <c r="G32" s="65">
        <f t="shared" si="0"/>
        <v>5294.9066666666668</v>
      </c>
      <c r="H32" s="65">
        <f>Controls!$B$68*Controls!$B$69/12</f>
        <v>333.33333333333331</v>
      </c>
      <c r="I32" s="65">
        <f>Monthly_Deployment!Q32*Controls!$B$70*Controls!$B$71/12+Monthly_Deployment!N32*Controls!$B$72*Controls!$B$73/12+Monthly_Deployment!N32*Controls!$B$74*Controls!$B$75/12</f>
        <v>497.5</v>
      </c>
      <c r="J32" s="65">
        <f>(H32+I32)*Controls!$B$76</f>
        <v>166.16666666666666</v>
      </c>
      <c r="K32" s="65">
        <f>(H32+I32)*Controls!$B$77+Monthly_Deployment!Q32*Controls!$B$78</f>
        <v>549.85</v>
      </c>
      <c r="L32" s="65">
        <f>(Controls!$B$79*(Controls!$B$68+Monthly_Deployment!Q32*Controls!$B$70+Monthly_Deployment!N32*Controls!$B$72+Monthly_Deployment!N32*Controls!$B$74))+Monthly_Deployment!Q32*Controls!$B$80+Controls!$B$83</f>
        <v>142.10000000000002</v>
      </c>
      <c r="M32" s="65">
        <f>Controls!$B$81</f>
        <v>75</v>
      </c>
      <c r="N32" s="65">
        <f>Controls!$B$82</f>
        <v>10</v>
      </c>
      <c r="O32" s="65">
        <f>Monthly_Deployment!N32*(Controls!$B$84+Controls!$B$86)+Monthly_Deployment!Q32*Controls!$B$85</f>
        <v>440</v>
      </c>
      <c r="P32" s="65">
        <f t="shared" si="1"/>
        <v>7508.8566666666675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" customHeight="1" x14ac:dyDescent="0.3">
      <c r="A33" s="41">
        <v>32</v>
      </c>
      <c r="B33" s="41" t="str">
        <f>Monthly_Deployment!C33</f>
        <v>Feb-29</v>
      </c>
      <c r="C33" s="65">
        <f>IF(A33&lt;=Controls!$B$40,Controls!$B$38,Controls!$B$39)</f>
        <v>0.6</v>
      </c>
      <c r="D33" s="65">
        <f>Monthly_Deployment!U33*C33</f>
        <v>3064.3199999999997</v>
      </c>
      <c r="E33" s="65">
        <f>Monthly_Deployment!V33*C33</f>
        <v>1612.8</v>
      </c>
      <c r="F33" s="65">
        <f>Monthly_Deployment!M33*Controls!$B$54*Controls!$B$41/12</f>
        <v>116.66666666666667</v>
      </c>
      <c r="G33" s="65">
        <f t="shared" si="0"/>
        <v>4793.7866666666669</v>
      </c>
      <c r="H33" s="65">
        <f>Controls!$B$68*Controls!$B$69/12</f>
        <v>333.33333333333331</v>
      </c>
      <c r="I33" s="65">
        <f>Monthly_Deployment!Q33*Controls!$B$70*Controls!$B$71/12+Monthly_Deployment!N33*Controls!$B$72*Controls!$B$73/12+Monthly_Deployment!N33*Controls!$B$74*Controls!$B$75/12</f>
        <v>497.5</v>
      </c>
      <c r="J33" s="65">
        <f>(H33+I33)*Controls!$B$76</f>
        <v>166.16666666666666</v>
      </c>
      <c r="K33" s="65">
        <f>(H33+I33)*Controls!$B$77+Monthly_Deployment!Q33*Controls!$B$78</f>
        <v>549.85</v>
      </c>
      <c r="L33" s="65">
        <f>(Controls!$B$79*(Controls!$B$68+Monthly_Deployment!Q33*Controls!$B$70+Monthly_Deployment!N33*Controls!$B$72+Monthly_Deployment!N33*Controls!$B$74))+Monthly_Deployment!Q33*Controls!$B$80+Controls!$B$83</f>
        <v>142.10000000000002</v>
      </c>
      <c r="M33" s="65">
        <f>Controls!$B$81</f>
        <v>75</v>
      </c>
      <c r="N33" s="65">
        <f>Controls!$B$82</f>
        <v>10</v>
      </c>
      <c r="O33" s="65">
        <f>Monthly_Deployment!N33*(Controls!$B$84+Controls!$B$86)+Monthly_Deployment!Q33*Controls!$B$85</f>
        <v>440</v>
      </c>
      <c r="P33" s="65">
        <f t="shared" si="1"/>
        <v>7007.7366666666676</v>
      </c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" customHeight="1" x14ac:dyDescent="0.3">
      <c r="A34" s="41">
        <v>33</v>
      </c>
      <c r="B34" s="41" t="str">
        <f>Monthly_Deployment!C34</f>
        <v>Mar-29</v>
      </c>
      <c r="C34" s="65">
        <f>IF(A34&lt;=Controls!$B$40,Controls!$B$38,Controls!$B$39)</f>
        <v>0.6</v>
      </c>
      <c r="D34" s="65">
        <f>Monthly_Deployment!U34*C34</f>
        <v>3392.64</v>
      </c>
      <c r="E34" s="65">
        <f>Monthly_Deployment!V34*C34</f>
        <v>1785.6</v>
      </c>
      <c r="F34" s="65">
        <f>Monthly_Deployment!M34*Controls!$B$54*Controls!$B$41/12</f>
        <v>116.66666666666667</v>
      </c>
      <c r="G34" s="65">
        <f t="shared" si="0"/>
        <v>5294.9066666666668</v>
      </c>
      <c r="H34" s="65">
        <f>Controls!$B$68*Controls!$B$69/12</f>
        <v>333.33333333333331</v>
      </c>
      <c r="I34" s="65">
        <f>Monthly_Deployment!Q34*Controls!$B$70*Controls!$B$71/12+Monthly_Deployment!N34*Controls!$B$72*Controls!$B$73/12+Monthly_Deployment!N34*Controls!$B$74*Controls!$B$75/12</f>
        <v>497.5</v>
      </c>
      <c r="J34" s="65">
        <f>(H34+I34)*Controls!$B$76</f>
        <v>166.16666666666666</v>
      </c>
      <c r="K34" s="65">
        <f>(H34+I34)*Controls!$B$77+Monthly_Deployment!Q34*Controls!$B$78</f>
        <v>549.85</v>
      </c>
      <c r="L34" s="65">
        <f>(Controls!$B$79*(Controls!$B$68+Monthly_Deployment!Q34*Controls!$B$70+Monthly_Deployment!N34*Controls!$B$72+Monthly_Deployment!N34*Controls!$B$74))+Monthly_Deployment!Q34*Controls!$B$80+Controls!$B$83</f>
        <v>142.10000000000002</v>
      </c>
      <c r="M34" s="65">
        <f>Controls!$B$81</f>
        <v>75</v>
      </c>
      <c r="N34" s="65">
        <f>Controls!$B$82</f>
        <v>10</v>
      </c>
      <c r="O34" s="65">
        <f>Monthly_Deployment!N34*(Controls!$B$84+Controls!$B$86)+Monthly_Deployment!Q34*Controls!$B$85</f>
        <v>440</v>
      </c>
      <c r="P34" s="65">
        <f t="shared" si="1"/>
        <v>7508.8566666666675</v>
      </c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" customHeight="1" x14ac:dyDescent="0.3">
      <c r="A35" s="41">
        <v>34</v>
      </c>
      <c r="B35" s="41" t="str">
        <f>Monthly_Deployment!C35</f>
        <v>Apr-29</v>
      </c>
      <c r="C35" s="65">
        <f>IF(A35&lt;=Controls!$B$40,Controls!$B$38,Controls!$B$39)</f>
        <v>0.6</v>
      </c>
      <c r="D35" s="65">
        <f>Monthly_Deployment!U35*C35</f>
        <v>3283.2</v>
      </c>
      <c r="E35" s="65">
        <f>Monthly_Deployment!V35*C35</f>
        <v>1728</v>
      </c>
      <c r="F35" s="65">
        <f>Monthly_Deployment!M35*Controls!$B$54*Controls!$B$41/12</f>
        <v>116.66666666666667</v>
      </c>
      <c r="G35" s="65">
        <f t="shared" si="0"/>
        <v>5127.8666666666668</v>
      </c>
      <c r="H35" s="65">
        <f>Controls!$B$68*Controls!$B$69/12</f>
        <v>333.33333333333331</v>
      </c>
      <c r="I35" s="65">
        <f>Monthly_Deployment!Q35*Controls!$B$70*Controls!$B$71/12+Monthly_Deployment!N35*Controls!$B$72*Controls!$B$73/12+Monthly_Deployment!N35*Controls!$B$74*Controls!$B$75/12</f>
        <v>497.5</v>
      </c>
      <c r="J35" s="65">
        <f>(H35+I35)*Controls!$B$76</f>
        <v>166.16666666666666</v>
      </c>
      <c r="K35" s="65">
        <f>(H35+I35)*Controls!$B$77+Monthly_Deployment!Q35*Controls!$B$78</f>
        <v>549.85</v>
      </c>
      <c r="L35" s="65">
        <f>(Controls!$B$79*(Controls!$B$68+Monthly_Deployment!Q35*Controls!$B$70+Monthly_Deployment!N35*Controls!$B$72+Monthly_Deployment!N35*Controls!$B$74))+Monthly_Deployment!Q35*Controls!$B$80+Controls!$B$83</f>
        <v>142.10000000000002</v>
      </c>
      <c r="M35" s="65">
        <f>Controls!$B$81</f>
        <v>75</v>
      </c>
      <c r="N35" s="65">
        <f>Controls!$B$82</f>
        <v>10</v>
      </c>
      <c r="O35" s="65">
        <f>Monthly_Deployment!N35*(Controls!$B$84+Controls!$B$86)+Monthly_Deployment!Q35*Controls!$B$85</f>
        <v>440</v>
      </c>
      <c r="P35" s="65">
        <f t="shared" si="1"/>
        <v>7341.8166666666675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" customHeight="1" x14ac:dyDescent="0.3">
      <c r="A36" s="41">
        <v>35</v>
      </c>
      <c r="B36" s="41" t="str">
        <f>Monthly_Deployment!C36</f>
        <v>May-29</v>
      </c>
      <c r="C36" s="65">
        <f>IF(A36&lt;=Controls!$B$40,Controls!$B$38,Controls!$B$39)</f>
        <v>0.6</v>
      </c>
      <c r="D36" s="65">
        <f>Monthly_Deployment!U36*C36</f>
        <v>3392.64</v>
      </c>
      <c r="E36" s="65">
        <f>Monthly_Deployment!V36*C36</f>
        <v>1785.6</v>
      </c>
      <c r="F36" s="65">
        <f>Monthly_Deployment!M36*Controls!$B$54*Controls!$B$41/12</f>
        <v>116.66666666666667</v>
      </c>
      <c r="G36" s="65">
        <f t="shared" si="0"/>
        <v>5294.9066666666668</v>
      </c>
      <c r="H36" s="65">
        <f>Controls!$B$68*Controls!$B$69/12</f>
        <v>333.33333333333331</v>
      </c>
      <c r="I36" s="65">
        <f>Monthly_Deployment!Q36*Controls!$B$70*Controls!$B$71/12+Monthly_Deployment!N36*Controls!$B$72*Controls!$B$73/12+Monthly_Deployment!N36*Controls!$B$74*Controls!$B$75/12</f>
        <v>497.5</v>
      </c>
      <c r="J36" s="65">
        <f>(H36+I36)*Controls!$B$76</f>
        <v>166.16666666666666</v>
      </c>
      <c r="K36" s="65">
        <f>(H36+I36)*Controls!$B$77+Monthly_Deployment!Q36*Controls!$B$78</f>
        <v>549.85</v>
      </c>
      <c r="L36" s="65">
        <f>(Controls!$B$79*(Controls!$B$68+Monthly_Deployment!Q36*Controls!$B$70+Monthly_Deployment!N36*Controls!$B$72+Monthly_Deployment!N36*Controls!$B$74))+Monthly_Deployment!Q36*Controls!$B$80+Controls!$B$83</f>
        <v>142.10000000000002</v>
      </c>
      <c r="M36" s="65">
        <f>Controls!$B$81</f>
        <v>75</v>
      </c>
      <c r="N36" s="65">
        <f>Controls!$B$82</f>
        <v>10</v>
      </c>
      <c r="O36" s="65">
        <f>Monthly_Deployment!N36*(Controls!$B$84+Controls!$B$86)+Monthly_Deployment!Q36*Controls!$B$85</f>
        <v>440</v>
      </c>
      <c r="P36" s="65">
        <f t="shared" si="1"/>
        <v>7508.8566666666675</v>
      </c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" customHeight="1" x14ac:dyDescent="0.3">
      <c r="A37" s="41">
        <v>36</v>
      </c>
      <c r="B37" s="41" t="str">
        <f>Monthly_Deployment!C37</f>
        <v>Jun-29</v>
      </c>
      <c r="C37" s="65">
        <f>IF(A37&lt;=Controls!$B$40,Controls!$B$38,Controls!$B$39)</f>
        <v>0.6</v>
      </c>
      <c r="D37" s="65">
        <f>Monthly_Deployment!U37*C37</f>
        <v>3283.2</v>
      </c>
      <c r="E37" s="65">
        <f>Monthly_Deployment!V37*C37</f>
        <v>1728</v>
      </c>
      <c r="F37" s="65">
        <f>Monthly_Deployment!M37*Controls!$B$54*Controls!$B$41/12</f>
        <v>116.66666666666667</v>
      </c>
      <c r="G37" s="65">
        <f t="shared" si="0"/>
        <v>5127.8666666666668</v>
      </c>
      <c r="H37" s="65">
        <f>Controls!$B$68*Controls!$B$69/12</f>
        <v>333.33333333333331</v>
      </c>
      <c r="I37" s="65">
        <f>Monthly_Deployment!Q37*Controls!$B$70*Controls!$B$71/12+Monthly_Deployment!N37*Controls!$B$72*Controls!$B$73/12+Monthly_Deployment!N37*Controls!$B$74*Controls!$B$75/12</f>
        <v>497.5</v>
      </c>
      <c r="J37" s="65">
        <f>(H37+I37)*Controls!$B$76</f>
        <v>166.16666666666666</v>
      </c>
      <c r="K37" s="65">
        <f>(H37+I37)*Controls!$B$77+Monthly_Deployment!Q37*Controls!$B$78</f>
        <v>549.85</v>
      </c>
      <c r="L37" s="65">
        <f>(Controls!$B$79*(Controls!$B$68+Monthly_Deployment!Q37*Controls!$B$70+Monthly_Deployment!N37*Controls!$B$72+Monthly_Deployment!N37*Controls!$B$74))+Monthly_Deployment!Q37*Controls!$B$80+Controls!$B$83</f>
        <v>142.10000000000002</v>
      </c>
      <c r="M37" s="65">
        <f>Controls!$B$81</f>
        <v>75</v>
      </c>
      <c r="N37" s="65">
        <f>Controls!$B$82</f>
        <v>10</v>
      </c>
      <c r="O37" s="65">
        <f>Monthly_Deployment!N37*(Controls!$B$84+Controls!$B$86)+Monthly_Deployment!Q37*Controls!$B$85</f>
        <v>440</v>
      </c>
      <c r="P37" s="65">
        <f t="shared" si="1"/>
        <v>7341.8166666666675</v>
      </c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" customHeight="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" customHeigh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" customHeight="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" customHeight="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" customHeigh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" customHeight="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" customHeight="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" customHeight="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" customHeight="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" customHeigh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" customHeight="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" customHeigh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" customHeight="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" customHeight="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" customHeigh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" customHeight="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" customHeigh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" customHeigh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" customHeight="1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" customHeigh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" customHeigh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" customHeight="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" customHeight="1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" customHeight="1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" customHeight="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" customHeigh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" customHeight="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" customHeight="1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" customHeight="1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" customHeight="1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" customHeight="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" customHeight="1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" customHeight="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" customHeight="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" customHeight="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" customHeight="1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" customHeight="1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" customHeight="1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" customHeight="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" customHeight="1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" customHeight="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" customHeight="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" customHeight="1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" customHeight="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" customHeight="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" customHeight="1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" customHeight="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" customHeight="1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</sheetData>
  <pageMargins left="0.3" right="0.3" top="0.4" bottom="0.4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75569"/>
    <pageSetUpPr fitToPage="1"/>
  </sheetPr>
  <dimension ref="A1:Z10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3.2" x14ac:dyDescent="0.25"/>
  <cols>
    <col min="1" max="15" width="15" customWidth="1"/>
  </cols>
  <sheetData>
    <row r="1" spans="1:26" ht="25.5" customHeight="1" x14ac:dyDescent="0.25">
      <c r="A1" s="58" t="s">
        <v>113</v>
      </c>
      <c r="B1" s="58" t="s">
        <v>338</v>
      </c>
      <c r="C1" s="58" t="s">
        <v>350</v>
      </c>
      <c r="D1" s="58" t="s">
        <v>351</v>
      </c>
      <c r="E1" s="58" t="s">
        <v>353</v>
      </c>
      <c r="F1" s="58" t="s">
        <v>385</v>
      </c>
      <c r="G1" s="58" t="s">
        <v>386</v>
      </c>
      <c r="H1" s="58" t="s">
        <v>387</v>
      </c>
      <c r="I1" s="58" t="s">
        <v>388</v>
      </c>
      <c r="J1" s="58" t="s">
        <v>389</v>
      </c>
      <c r="K1" s="58" t="s">
        <v>390</v>
      </c>
      <c r="L1" s="59" t="s">
        <v>391</v>
      </c>
      <c r="M1" s="59" t="s">
        <v>392</v>
      </c>
      <c r="N1" s="59" t="s">
        <v>393</v>
      </c>
      <c r="O1" s="59" t="s">
        <v>394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5" customHeight="1" x14ac:dyDescent="0.3">
      <c r="A2" s="41">
        <v>1</v>
      </c>
      <c r="B2" s="41" t="str">
        <f>Monthly_Deployment!C2</f>
        <v>Jul-26</v>
      </c>
      <c r="C2" s="68">
        <f>Monthly_Deployment!O2</f>
        <v>0</v>
      </c>
      <c r="D2" s="68">
        <f>Monthly_Deployment!P2</f>
        <v>0</v>
      </c>
      <c r="E2" s="65">
        <f>Monthly_Deployment!R2</f>
        <v>0</v>
      </c>
      <c r="F2" s="65">
        <f>IF(AND(Monthly_Deployment!G2=0,Monthly_Deployment!D2&gt;0),1,0)+IF(AND(Monthly_Deployment!H2=0,Monthly_Deployment!E2&gt;0),1,0)</f>
        <v>0</v>
      </c>
      <c r="G2" s="65">
        <f>IF(Controls!$B$45=0,0,C2/(1+Controls!$B$47)*1000000/Controls!$B$45*Controls!$B$46*Controls!$B$25/1000)</f>
        <v>0</v>
      </c>
      <c r="H2" s="65">
        <f>E2*Controls!$B$50*Controls!$B$25/1000</f>
        <v>0</v>
      </c>
      <c r="I2" s="65">
        <f>F2*Controls!$B$52+C2*Controls!$B$53</f>
        <v>0</v>
      </c>
      <c r="J2" s="65">
        <f>D2*Controls!$B$54</f>
        <v>0</v>
      </c>
      <c r="K2" s="65">
        <f>G2*Controls!$B$55</f>
        <v>0</v>
      </c>
      <c r="L2" s="65">
        <f>F2*Controls!$B$56+Monthly_Deployment!R2*Controls!$B$57+IF(A2=1,Controls!$B$64+Controls!$B$65+Controls!$B$66,0)</f>
        <v>2450</v>
      </c>
      <c r="M2" s="65">
        <f>E2*(Controls!$B$58*Controls!$B$25/1000+Controls!$B$59+Controls!$B$60+Controls!$B$61)+(G2+H2)*(Controls!$B$62+Controls!$B$63)</f>
        <v>0</v>
      </c>
      <c r="N2" s="65">
        <f t="shared" ref="N2:N37" si="0">SUM(G2:M2)</f>
        <v>2450</v>
      </c>
      <c r="O2" s="65">
        <f t="shared" ref="O2:O37" si="1">N2</f>
        <v>2450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" customHeight="1" x14ac:dyDescent="0.3">
      <c r="A3" s="41">
        <v>2</v>
      </c>
      <c r="B3" s="41" t="str">
        <f>Monthly_Deployment!C3</f>
        <v>Aug-26</v>
      </c>
      <c r="C3" s="68">
        <f>Monthly_Deployment!O3</f>
        <v>5</v>
      </c>
      <c r="D3" s="68">
        <f>Monthly_Deployment!P3</f>
        <v>0</v>
      </c>
      <c r="E3" s="65">
        <f>Monthly_Deployment!R3</f>
        <v>3</v>
      </c>
      <c r="F3" s="65">
        <f>IF(AND(Monthly_Deployment!G3=0,Monthly_Deployment!D3&gt;0),1,0)+IF(AND(Monthly_Deployment!H3=0,Monthly_Deployment!E3&gt;0),1,0)</f>
        <v>1</v>
      </c>
      <c r="G3" s="65">
        <f>IF(Controls!$B$45=0,0,C3/(1+Controls!$B$47)*1000000/Controls!$B$45*Controls!$B$46*Controls!$B$25/1000)</f>
        <v>54723.809523809527</v>
      </c>
      <c r="H3" s="65">
        <f>E3*Controls!$B$50*Controls!$B$25/1000</f>
        <v>17850</v>
      </c>
      <c r="I3" s="65">
        <f>F3*Controls!$B$52+C3*Controls!$B$53</f>
        <v>44406</v>
      </c>
      <c r="J3" s="65">
        <f>D3*Controls!$B$54</f>
        <v>0</v>
      </c>
      <c r="K3" s="65">
        <f>G3*Controls!$B$55</f>
        <v>1094.4761904761906</v>
      </c>
      <c r="L3" s="65">
        <f>F3*Controls!$B$56+Monthly_Deployment!R3*Controls!$B$57+IF(A3=1,Controls!$B$64+Controls!$B$65+Controls!$B$66,0)</f>
        <v>855</v>
      </c>
      <c r="M3" s="65">
        <f>E3*(Controls!$B$58*Controls!$B$25/1000+Controls!$B$59+Controls!$B$60+Controls!$B$61)+(G3+H3)*(Controls!$B$62+Controls!$B$63)</f>
        <v>5572.4285714285716</v>
      </c>
      <c r="N3" s="65">
        <f t="shared" si="0"/>
        <v>124501.71428571428</v>
      </c>
      <c r="O3" s="65">
        <f t="shared" si="1"/>
        <v>124501.71428571428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 x14ac:dyDescent="0.3">
      <c r="A4" s="41">
        <v>3</v>
      </c>
      <c r="B4" s="41" t="str">
        <f>Monthly_Deployment!C4</f>
        <v>Sept-26</v>
      </c>
      <c r="C4" s="68">
        <f>Monthly_Deployment!O4</f>
        <v>10</v>
      </c>
      <c r="D4" s="68">
        <f>Monthly_Deployment!P4</f>
        <v>0</v>
      </c>
      <c r="E4" s="65">
        <f>Monthly_Deployment!R4</f>
        <v>5</v>
      </c>
      <c r="F4" s="65">
        <f>IF(AND(Monthly_Deployment!G4=0,Monthly_Deployment!D4&gt;0),1,0)+IF(AND(Monthly_Deployment!H4=0,Monthly_Deployment!E4&gt;0),1,0)</f>
        <v>1</v>
      </c>
      <c r="G4" s="65">
        <f>IF(Controls!$B$45=0,0,C4/(1+Controls!$B$47)*1000000/Controls!$B$45*Controls!$B$46*Controls!$B$25/1000)</f>
        <v>109447.61904761905</v>
      </c>
      <c r="H4" s="65">
        <f>E4*Controls!$B$50*Controls!$B$25/1000</f>
        <v>29750</v>
      </c>
      <c r="I4" s="65">
        <f>F4*Controls!$B$52+C4*Controls!$B$53</f>
        <v>63436</v>
      </c>
      <c r="J4" s="65">
        <f>D4*Controls!$B$54</f>
        <v>0</v>
      </c>
      <c r="K4" s="65">
        <f>G4*Controls!$B$55</f>
        <v>2188.9523809523812</v>
      </c>
      <c r="L4" s="65">
        <f>F4*Controls!$B$56+Monthly_Deployment!R4*Controls!$B$57+IF(A4=1,Controls!$B$64+Controls!$B$65+Controls!$B$66,0)</f>
        <v>925</v>
      </c>
      <c r="M4" s="65">
        <f>E4*(Controls!$B$58*Controls!$B$25/1000+Controls!$B$59+Controls!$B$60+Controls!$B$61)+(G4+H4)*(Controls!$B$62+Controls!$B$63)</f>
        <v>10381.857142857143</v>
      </c>
      <c r="N4" s="65">
        <f t="shared" si="0"/>
        <v>216129.42857142855</v>
      </c>
      <c r="O4" s="65">
        <f t="shared" si="1"/>
        <v>216129.42857142855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" customHeight="1" x14ac:dyDescent="0.3">
      <c r="A5" s="41">
        <v>4</v>
      </c>
      <c r="B5" s="41" t="str">
        <f>Monthly_Deployment!C5</f>
        <v>Oct-26</v>
      </c>
      <c r="C5" s="68">
        <f>Monthly_Deployment!O5</f>
        <v>5</v>
      </c>
      <c r="D5" s="68">
        <f>Monthly_Deployment!P5</f>
        <v>10</v>
      </c>
      <c r="E5" s="65">
        <f>Monthly_Deployment!R5</f>
        <v>3</v>
      </c>
      <c r="F5" s="65">
        <f>IF(AND(Monthly_Deployment!G5=0,Monthly_Deployment!D5&gt;0),1,0)+IF(AND(Monthly_Deployment!H5=0,Monthly_Deployment!E5&gt;0),1,0)</f>
        <v>0</v>
      </c>
      <c r="G5" s="65">
        <f>IF(Controls!$B$45=0,0,C5/(1+Controls!$B$47)*1000000/Controls!$B$45*Controls!$B$46*Controls!$B$25/1000)</f>
        <v>54723.809523809527</v>
      </c>
      <c r="H5" s="65">
        <f>E5*Controls!$B$50*Controls!$B$25/1000</f>
        <v>17850</v>
      </c>
      <c r="I5" s="65">
        <f>F5*Controls!$B$52+C5*Controls!$B$53</f>
        <v>19030</v>
      </c>
      <c r="J5" s="65">
        <f>D5*Controls!$B$54</f>
        <v>70000</v>
      </c>
      <c r="K5" s="65">
        <f>G5*Controls!$B$55</f>
        <v>1094.4761904761906</v>
      </c>
      <c r="L5" s="65">
        <f>F5*Controls!$B$56+Monthly_Deployment!R5*Controls!$B$57+IF(A5=1,Controls!$B$64+Controls!$B$65+Controls!$B$66,0)</f>
        <v>105</v>
      </c>
      <c r="M5" s="65">
        <f>E5*(Controls!$B$58*Controls!$B$25/1000+Controls!$B$59+Controls!$B$60+Controls!$B$61)+(G5+H5)*(Controls!$B$62+Controls!$B$63)</f>
        <v>5572.4285714285716</v>
      </c>
      <c r="N5" s="65">
        <f t="shared" si="0"/>
        <v>168375.71428571429</v>
      </c>
      <c r="O5" s="65">
        <f t="shared" si="1"/>
        <v>168375.71428571429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" customHeight="1" x14ac:dyDescent="0.3">
      <c r="A6" s="41">
        <v>5</v>
      </c>
      <c r="B6" s="41" t="str">
        <f>Monthly_Deployment!C6</f>
        <v>Nov-26</v>
      </c>
      <c r="C6" s="68">
        <f>Monthly_Deployment!O6</f>
        <v>0</v>
      </c>
      <c r="D6" s="68">
        <f>Monthly_Deployment!P6</f>
        <v>0</v>
      </c>
      <c r="E6" s="65">
        <f>Monthly_Deployment!R6</f>
        <v>0</v>
      </c>
      <c r="F6" s="65">
        <f>IF(AND(Monthly_Deployment!G6=0,Monthly_Deployment!D6&gt;0),1,0)+IF(AND(Monthly_Deployment!H6=0,Monthly_Deployment!E6&gt;0),1,0)</f>
        <v>0</v>
      </c>
      <c r="G6" s="65">
        <f>IF(Controls!$B$45=0,0,C6/(1+Controls!$B$47)*1000000/Controls!$B$45*Controls!$B$46*Controls!$B$25/1000)</f>
        <v>0</v>
      </c>
      <c r="H6" s="65">
        <f>E6*Controls!$B$50*Controls!$B$25/1000</f>
        <v>0</v>
      </c>
      <c r="I6" s="65">
        <f>F6*Controls!$B$52+C6*Controls!$B$53</f>
        <v>0</v>
      </c>
      <c r="J6" s="65">
        <f>D6*Controls!$B$54</f>
        <v>0</v>
      </c>
      <c r="K6" s="65">
        <f>G6*Controls!$B$55</f>
        <v>0</v>
      </c>
      <c r="L6" s="65">
        <f>F6*Controls!$B$56+Monthly_Deployment!R6*Controls!$B$57+IF(A6=1,Controls!$B$64+Controls!$B$65+Controls!$B$66,0)</f>
        <v>0</v>
      </c>
      <c r="M6" s="65">
        <f>E6*(Controls!$B$58*Controls!$B$25/1000+Controls!$B$59+Controls!$B$60+Controls!$B$61)+(G6+H6)*(Controls!$B$62+Controls!$B$63)</f>
        <v>0</v>
      </c>
      <c r="N6" s="65">
        <f t="shared" si="0"/>
        <v>0</v>
      </c>
      <c r="O6" s="65">
        <f t="shared" si="1"/>
        <v>0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" customHeight="1" x14ac:dyDescent="0.3">
      <c r="A7" s="41">
        <v>6</v>
      </c>
      <c r="B7" s="41" t="str">
        <f>Monthly_Deployment!C7</f>
        <v>Dec-26</v>
      </c>
      <c r="C7" s="68">
        <f>Monthly_Deployment!O7</f>
        <v>0</v>
      </c>
      <c r="D7" s="68">
        <f>Monthly_Deployment!P7</f>
        <v>0</v>
      </c>
      <c r="E7" s="65">
        <f>Monthly_Deployment!R7</f>
        <v>0</v>
      </c>
      <c r="F7" s="65">
        <f>IF(AND(Monthly_Deployment!G7=0,Monthly_Deployment!D7&gt;0),1,0)+IF(AND(Monthly_Deployment!H7=0,Monthly_Deployment!E7&gt;0),1,0)</f>
        <v>0</v>
      </c>
      <c r="G7" s="65">
        <f>IF(Controls!$B$45=0,0,C7/(1+Controls!$B$47)*1000000/Controls!$B$45*Controls!$B$46*Controls!$B$25/1000)</f>
        <v>0</v>
      </c>
      <c r="H7" s="65">
        <f>E7*Controls!$B$50*Controls!$B$25/1000</f>
        <v>0</v>
      </c>
      <c r="I7" s="65">
        <f>F7*Controls!$B$52+C7*Controls!$B$53</f>
        <v>0</v>
      </c>
      <c r="J7" s="65">
        <f>D7*Controls!$B$54</f>
        <v>0</v>
      </c>
      <c r="K7" s="65">
        <f>G7*Controls!$B$55</f>
        <v>0</v>
      </c>
      <c r="L7" s="65">
        <f>F7*Controls!$B$56+Monthly_Deployment!R7*Controls!$B$57+IF(A7=1,Controls!$B$64+Controls!$B$65+Controls!$B$66,0)</f>
        <v>0</v>
      </c>
      <c r="M7" s="65">
        <f>E7*(Controls!$B$58*Controls!$B$25/1000+Controls!$B$59+Controls!$B$60+Controls!$B$61)+(G7+H7)*(Controls!$B$62+Controls!$B$63)</f>
        <v>0</v>
      </c>
      <c r="N7" s="65">
        <f t="shared" si="0"/>
        <v>0</v>
      </c>
      <c r="O7" s="65">
        <f t="shared" si="1"/>
        <v>0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" customHeight="1" x14ac:dyDescent="0.3">
      <c r="A8" s="41">
        <v>7</v>
      </c>
      <c r="B8" s="41" t="str">
        <f>Monthly_Deployment!C8</f>
        <v>Jan-27</v>
      </c>
      <c r="C8" s="68">
        <f>Monthly_Deployment!O8</f>
        <v>0</v>
      </c>
      <c r="D8" s="68">
        <f>Monthly_Deployment!P8</f>
        <v>0</v>
      </c>
      <c r="E8" s="65">
        <f>Monthly_Deployment!R8</f>
        <v>0</v>
      </c>
      <c r="F8" s="65">
        <f>IF(AND(Monthly_Deployment!G8=0,Monthly_Deployment!D8&gt;0),1,0)+IF(AND(Monthly_Deployment!H8=0,Monthly_Deployment!E8&gt;0),1,0)</f>
        <v>0</v>
      </c>
      <c r="G8" s="65">
        <f>IF(Controls!$B$45=0,0,C8/(1+Controls!$B$47)*1000000/Controls!$B$45*Controls!$B$46*Controls!$B$25/1000)</f>
        <v>0</v>
      </c>
      <c r="H8" s="65">
        <f>E8*Controls!$B$50*Controls!$B$25/1000</f>
        <v>0</v>
      </c>
      <c r="I8" s="65">
        <f>F8*Controls!$B$52+C8*Controls!$B$53</f>
        <v>0</v>
      </c>
      <c r="J8" s="65">
        <f>D8*Controls!$B$54</f>
        <v>0</v>
      </c>
      <c r="K8" s="65">
        <f>G8*Controls!$B$55</f>
        <v>0</v>
      </c>
      <c r="L8" s="65">
        <f>F8*Controls!$B$56+Monthly_Deployment!R8*Controls!$B$57+IF(A8=1,Controls!$B$64+Controls!$B$65+Controls!$B$66,0)</f>
        <v>0</v>
      </c>
      <c r="M8" s="65">
        <f>E8*(Controls!$B$58*Controls!$B$25/1000+Controls!$B$59+Controls!$B$60+Controls!$B$61)+(G8+H8)*(Controls!$B$62+Controls!$B$63)</f>
        <v>0</v>
      </c>
      <c r="N8" s="65">
        <f t="shared" si="0"/>
        <v>0</v>
      </c>
      <c r="O8" s="65">
        <f t="shared" si="1"/>
        <v>0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" customHeight="1" x14ac:dyDescent="0.3">
      <c r="A9" s="41">
        <v>8</v>
      </c>
      <c r="B9" s="41" t="str">
        <f>Monthly_Deployment!C9</f>
        <v>Feb-27</v>
      </c>
      <c r="C9" s="68">
        <f>Monthly_Deployment!O9</f>
        <v>0</v>
      </c>
      <c r="D9" s="68">
        <f>Monthly_Deployment!P9</f>
        <v>0</v>
      </c>
      <c r="E9" s="65">
        <f>Monthly_Deployment!R9</f>
        <v>0</v>
      </c>
      <c r="F9" s="65">
        <f>IF(AND(Monthly_Deployment!G9=0,Monthly_Deployment!D9&gt;0),1,0)+IF(AND(Monthly_Deployment!H9=0,Monthly_Deployment!E9&gt;0),1,0)</f>
        <v>0</v>
      </c>
      <c r="G9" s="65">
        <f>IF(Controls!$B$45=0,0,C9/(1+Controls!$B$47)*1000000/Controls!$B$45*Controls!$B$46*Controls!$B$25/1000)</f>
        <v>0</v>
      </c>
      <c r="H9" s="65">
        <f>E9*Controls!$B$50*Controls!$B$25/1000</f>
        <v>0</v>
      </c>
      <c r="I9" s="65">
        <f>F9*Controls!$B$52+C9*Controls!$B$53</f>
        <v>0</v>
      </c>
      <c r="J9" s="65">
        <f>D9*Controls!$B$54</f>
        <v>0</v>
      </c>
      <c r="K9" s="65">
        <f>G9*Controls!$B$55</f>
        <v>0</v>
      </c>
      <c r="L9" s="65">
        <f>F9*Controls!$B$56+Monthly_Deployment!R9*Controls!$B$57+IF(A9=1,Controls!$B$64+Controls!$B$65+Controls!$B$66,0)</f>
        <v>0</v>
      </c>
      <c r="M9" s="65">
        <f>E9*(Controls!$B$58*Controls!$B$25/1000+Controls!$B$59+Controls!$B$60+Controls!$B$61)+(G9+H9)*(Controls!$B$62+Controls!$B$63)</f>
        <v>0</v>
      </c>
      <c r="N9" s="65">
        <f t="shared" si="0"/>
        <v>0</v>
      </c>
      <c r="O9" s="65">
        <f t="shared" si="1"/>
        <v>0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" customHeight="1" x14ac:dyDescent="0.3">
      <c r="A10" s="41">
        <v>9</v>
      </c>
      <c r="B10" s="41" t="str">
        <f>Monthly_Deployment!C10</f>
        <v>Mar-27</v>
      </c>
      <c r="C10" s="68">
        <f>Monthly_Deployment!O10</f>
        <v>0</v>
      </c>
      <c r="D10" s="68">
        <f>Monthly_Deployment!P10</f>
        <v>0</v>
      </c>
      <c r="E10" s="65">
        <f>Monthly_Deployment!R10</f>
        <v>0</v>
      </c>
      <c r="F10" s="65">
        <f>IF(AND(Monthly_Deployment!G10=0,Monthly_Deployment!D10&gt;0),1,0)+IF(AND(Monthly_Deployment!H10=0,Monthly_Deployment!E10&gt;0),1,0)</f>
        <v>0</v>
      </c>
      <c r="G10" s="65">
        <f>IF(Controls!$B$45=0,0,C10/(1+Controls!$B$47)*1000000/Controls!$B$45*Controls!$B$46*Controls!$B$25/1000)</f>
        <v>0</v>
      </c>
      <c r="H10" s="65">
        <f>E10*Controls!$B$50*Controls!$B$25/1000</f>
        <v>0</v>
      </c>
      <c r="I10" s="65">
        <f>F10*Controls!$B$52+C10*Controls!$B$53</f>
        <v>0</v>
      </c>
      <c r="J10" s="65">
        <f>D10*Controls!$B$54</f>
        <v>0</v>
      </c>
      <c r="K10" s="65">
        <f>G10*Controls!$B$55</f>
        <v>0</v>
      </c>
      <c r="L10" s="65">
        <f>F10*Controls!$B$56+Monthly_Deployment!R10*Controls!$B$57+IF(A10=1,Controls!$B$64+Controls!$B$65+Controls!$B$66,0)</f>
        <v>0</v>
      </c>
      <c r="M10" s="65">
        <f>E10*(Controls!$B$58*Controls!$B$25/1000+Controls!$B$59+Controls!$B$60+Controls!$B$61)+(G10+H10)*(Controls!$B$62+Controls!$B$63)</f>
        <v>0</v>
      </c>
      <c r="N10" s="65">
        <f t="shared" si="0"/>
        <v>0</v>
      </c>
      <c r="O10" s="65">
        <f t="shared" si="1"/>
        <v>0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" customHeight="1" x14ac:dyDescent="0.3">
      <c r="A11" s="41">
        <v>10</v>
      </c>
      <c r="B11" s="41" t="str">
        <f>Monthly_Deployment!C11</f>
        <v>Apr-27</v>
      </c>
      <c r="C11" s="68">
        <f>Monthly_Deployment!O11</f>
        <v>0</v>
      </c>
      <c r="D11" s="68">
        <f>Monthly_Deployment!P11</f>
        <v>0</v>
      </c>
      <c r="E11" s="65">
        <f>Monthly_Deployment!R11</f>
        <v>0</v>
      </c>
      <c r="F11" s="65">
        <f>IF(AND(Monthly_Deployment!G11=0,Monthly_Deployment!D11&gt;0),1,0)+IF(AND(Monthly_Deployment!H11=0,Monthly_Deployment!E11&gt;0),1,0)</f>
        <v>0</v>
      </c>
      <c r="G11" s="65">
        <f>IF(Controls!$B$45=0,0,C11/(1+Controls!$B$47)*1000000/Controls!$B$45*Controls!$B$46*Controls!$B$25/1000)</f>
        <v>0</v>
      </c>
      <c r="H11" s="65">
        <f>E11*Controls!$B$50*Controls!$B$25/1000</f>
        <v>0</v>
      </c>
      <c r="I11" s="65">
        <f>F11*Controls!$B$52+C11*Controls!$B$53</f>
        <v>0</v>
      </c>
      <c r="J11" s="65">
        <f>D11*Controls!$B$54</f>
        <v>0</v>
      </c>
      <c r="K11" s="65">
        <f>G11*Controls!$B$55</f>
        <v>0</v>
      </c>
      <c r="L11" s="65">
        <f>F11*Controls!$B$56+Monthly_Deployment!R11*Controls!$B$57+IF(A11=1,Controls!$B$64+Controls!$B$65+Controls!$B$66,0)</f>
        <v>0</v>
      </c>
      <c r="M11" s="65">
        <f>E11*(Controls!$B$58*Controls!$B$25/1000+Controls!$B$59+Controls!$B$60+Controls!$B$61)+(G11+H11)*(Controls!$B$62+Controls!$B$63)</f>
        <v>0</v>
      </c>
      <c r="N11" s="65">
        <f t="shared" si="0"/>
        <v>0</v>
      </c>
      <c r="O11" s="65">
        <f t="shared" si="1"/>
        <v>0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" customHeight="1" x14ac:dyDescent="0.3">
      <c r="A12" s="41">
        <v>11</v>
      </c>
      <c r="B12" s="41" t="str">
        <f>Monthly_Deployment!C12</f>
        <v>May-27</v>
      </c>
      <c r="C12" s="68">
        <f>Monthly_Deployment!O12</f>
        <v>0</v>
      </c>
      <c r="D12" s="68">
        <f>Monthly_Deployment!P12</f>
        <v>0</v>
      </c>
      <c r="E12" s="65">
        <f>Monthly_Deployment!R12</f>
        <v>0</v>
      </c>
      <c r="F12" s="65">
        <f>IF(AND(Monthly_Deployment!G12=0,Monthly_Deployment!D12&gt;0),1,0)+IF(AND(Monthly_Deployment!H12=0,Monthly_Deployment!E12&gt;0),1,0)</f>
        <v>0</v>
      </c>
      <c r="G12" s="65">
        <f>IF(Controls!$B$45=0,0,C12/(1+Controls!$B$47)*1000000/Controls!$B$45*Controls!$B$46*Controls!$B$25/1000)</f>
        <v>0</v>
      </c>
      <c r="H12" s="65">
        <f>E12*Controls!$B$50*Controls!$B$25/1000</f>
        <v>0</v>
      </c>
      <c r="I12" s="65">
        <f>F12*Controls!$B$52+C12*Controls!$B$53</f>
        <v>0</v>
      </c>
      <c r="J12" s="65">
        <f>D12*Controls!$B$54</f>
        <v>0</v>
      </c>
      <c r="K12" s="65">
        <f>G12*Controls!$B$55</f>
        <v>0</v>
      </c>
      <c r="L12" s="65">
        <f>F12*Controls!$B$56+Monthly_Deployment!R12*Controls!$B$57+IF(A12=1,Controls!$B$64+Controls!$B$65+Controls!$B$66,0)</f>
        <v>0</v>
      </c>
      <c r="M12" s="65">
        <f>E12*(Controls!$B$58*Controls!$B$25/1000+Controls!$B$59+Controls!$B$60+Controls!$B$61)+(G12+H12)*(Controls!$B$62+Controls!$B$63)</f>
        <v>0</v>
      </c>
      <c r="N12" s="65">
        <f t="shared" si="0"/>
        <v>0</v>
      </c>
      <c r="O12" s="65">
        <f t="shared" si="1"/>
        <v>0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" customHeight="1" x14ac:dyDescent="0.3">
      <c r="A13" s="41">
        <v>12</v>
      </c>
      <c r="B13" s="41" t="str">
        <f>Monthly_Deployment!C13</f>
        <v>Jun-27</v>
      </c>
      <c r="C13" s="68">
        <f>Monthly_Deployment!O13</f>
        <v>0</v>
      </c>
      <c r="D13" s="68">
        <f>Monthly_Deployment!P13</f>
        <v>0</v>
      </c>
      <c r="E13" s="65">
        <f>Monthly_Deployment!R13</f>
        <v>0</v>
      </c>
      <c r="F13" s="65">
        <f>IF(AND(Monthly_Deployment!G13=0,Monthly_Deployment!D13&gt;0),1,0)+IF(AND(Monthly_Deployment!H13=0,Monthly_Deployment!E13&gt;0),1,0)</f>
        <v>0</v>
      </c>
      <c r="G13" s="65">
        <f>IF(Controls!$B$45=0,0,C13/(1+Controls!$B$47)*1000000/Controls!$B$45*Controls!$B$46*Controls!$B$25/1000)</f>
        <v>0</v>
      </c>
      <c r="H13" s="65">
        <f>E13*Controls!$B$50*Controls!$B$25/1000</f>
        <v>0</v>
      </c>
      <c r="I13" s="65">
        <f>F13*Controls!$B$52+C13*Controls!$B$53</f>
        <v>0</v>
      </c>
      <c r="J13" s="65">
        <f>D13*Controls!$B$54</f>
        <v>0</v>
      </c>
      <c r="K13" s="65">
        <f>G13*Controls!$B$55</f>
        <v>0</v>
      </c>
      <c r="L13" s="65">
        <f>F13*Controls!$B$56+Monthly_Deployment!R13*Controls!$B$57+IF(A13=1,Controls!$B$64+Controls!$B$65+Controls!$B$66,0)</f>
        <v>0</v>
      </c>
      <c r="M13" s="65">
        <f>E13*(Controls!$B$58*Controls!$B$25/1000+Controls!$B$59+Controls!$B$60+Controls!$B$61)+(G13+H13)*(Controls!$B$62+Controls!$B$63)</f>
        <v>0</v>
      </c>
      <c r="N13" s="65">
        <f t="shared" si="0"/>
        <v>0</v>
      </c>
      <c r="O13" s="65">
        <f t="shared" si="1"/>
        <v>0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" customHeight="1" x14ac:dyDescent="0.3">
      <c r="A14" s="41">
        <v>13</v>
      </c>
      <c r="B14" s="41" t="str">
        <f>Monthly_Deployment!C14</f>
        <v>Jul-27</v>
      </c>
      <c r="C14" s="68">
        <f>Monthly_Deployment!O14</f>
        <v>0</v>
      </c>
      <c r="D14" s="68">
        <f>Monthly_Deployment!P14</f>
        <v>0</v>
      </c>
      <c r="E14" s="65">
        <f>Monthly_Deployment!R14</f>
        <v>0</v>
      </c>
      <c r="F14" s="65">
        <f>IF(AND(Monthly_Deployment!G14=0,Monthly_Deployment!D14&gt;0),1,0)+IF(AND(Monthly_Deployment!H14=0,Monthly_Deployment!E14&gt;0),1,0)</f>
        <v>0</v>
      </c>
      <c r="G14" s="65">
        <f>IF(Controls!$B$45=0,0,C14/(1+Controls!$B$47)*1000000/Controls!$B$45*Controls!$B$46*Controls!$B$25/1000)</f>
        <v>0</v>
      </c>
      <c r="H14" s="65">
        <f>E14*Controls!$B$50*Controls!$B$25/1000</f>
        <v>0</v>
      </c>
      <c r="I14" s="65">
        <f>F14*Controls!$B$52+C14*Controls!$B$53</f>
        <v>0</v>
      </c>
      <c r="J14" s="65">
        <f>D14*Controls!$B$54</f>
        <v>0</v>
      </c>
      <c r="K14" s="65">
        <f>G14*Controls!$B$55</f>
        <v>0</v>
      </c>
      <c r="L14" s="65">
        <f>F14*Controls!$B$56+Monthly_Deployment!R14*Controls!$B$57+IF(A14=1,Controls!$B$64+Controls!$B$65+Controls!$B$66,0)</f>
        <v>0</v>
      </c>
      <c r="M14" s="65">
        <f>E14*(Controls!$B$58*Controls!$B$25/1000+Controls!$B$59+Controls!$B$60+Controls!$B$61)+(G14+H14)*(Controls!$B$62+Controls!$B$63)</f>
        <v>0</v>
      </c>
      <c r="N14" s="65">
        <f t="shared" si="0"/>
        <v>0</v>
      </c>
      <c r="O14" s="65">
        <f t="shared" si="1"/>
        <v>0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" customHeight="1" x14ac:dyDescent="0.3">
      <c r="A15" s="41">
        <v>14</v>
      </c>
      <c r="B15" s="41" t="str">
        <f>Monthly_Deployment!C15</f>
        <v>Aug-27</v>
      </c>
      <c r="C15" s="68">
        <f>Monthly_Deployment!O15</f>
        <v>0</v>
      </c>
      <c r="D15" s="68">
        <f>Monthly_Deployment!P15</f>
        <v>0</v>
      </c>
      <c r="E15" s="65">
        <f>Monthly_Deployment!R15</f>
        <v>0</v>
      </c>
      <c r="F15" s="65">
        <f>IF(AND(Monthly_Deployment!G15=0,Monthly_Deployment!D15&gt;0),1,0)+IF(AND(Monthly_Deployment!H15=0,Monthly_Deployment!E15&gt;0),1,0)</f>
        <v>0</v>
      </c>
      <c r="G15" s="65">
        <f>IF(Controls!$B$45=0,0,C15/(1+Controls!$B$47)*1000000/Controls!$B$45*Controls!$B$46*Controls!$B$25/1000)</f>
        <v>0</v>
      </c>
      <c r="H15" s="65">
        <f>E15*Controls!$B$50*Controls!$B$25/1000</f>
        <v>0</v>
      </c>
      <c r="I15" s="65">
        <f>F15*Controls!$B$52+C15*Controls!$B$53</f>
        <v>0</v>
      </c>
      <c r="J15" s="65">
        <f>D15*Controls!$B$54</f>
        <v>0</v>
      </c>
      <c r="K15" s="65">
        <f>G15*Controls!$B$55</f>
        <v>0</v>
      </c>
      <c r="L15" s="65">
        <f>F15*Controls!$B$56+Monthly_Deployment!R15*Controls!$B$57+IF(A15=1,Controls!$B$64+Controls!$B$65+Controls!$B$66,0)</f>
        <v>0</v>
      </c>
      <c r="M15" s="65">
        <f>E15*(Controls!$B$58*Controls!$B$25/1000+Controls!$B$59+Controls!$B$60+Controls!$B$61)+(G15+H15)*(Controls!$B$62+Controls!$B$63)</f>
        <v>0</v>
      </c>
      <c r="N15" s="65">
        <f t="shared" si="0"/>
        <v>0</v>
      </c>
      <c r="O15" s="65">
        <f t="shared" si="1"/>
        <v>0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" customHeight="1" x14ac:dyDescent="0.3">
      <c r="A16" s="41">
        <v>15</v>
      </c>
      <c r="B16" s="41" t="str">
        <f>Monthly_Deployment!C16</f>
        <v>Sept-27</v>
      </c>
      <c r="C16" s="68">
        <f>Monthly_Deployment!O16</f>
        <v>0</v>
      </c>
      <c r="D16" s="68">
        <f>Monthly_Deployment!P16</f>
        <v>0</v>
      </c>
      <c r="E16" s="65">
        <f>Monthly_Deployment!R16</f>
        <v>0</v>
      </c>
      <c r="F16" s="65">
        <f>IF(AND(Monthly_Deployment!G16=0,Monthly_Deployment!D16&gt;0),1,0)+IF(AND(Monthly_Deployment!H16=0,Monthly_Deployment!E16&gt;0),1,0)</f>
        <v>0</v>
      </c>
      <c r="G16" s="65">
        <f>IF(Controls!$B$45=0,0,C16/(1+Controls!$B$47)*1000000/Controls!$B$45*Controls!$B$46*Controls!$B$25/1000)</f>
        <v>0</v>
      </c>
      <c r="H16" s="65">
        <f>E16*Controls!$B$50*Controls!$B$25/1000</f>
        <v>0</v>
      </c>
      <c r="I16" s="65">
        <f>F16*Controls!$B$52+C16*Controls!$B$53</f>
        <v>0</v>
      </c>
      <c r="J16" s="65">
        <f>D16*Controls!$B$54</f>
        <v>0</v>
      </c>
      <c r="K16" s="65">
        <f>G16*Controls!$B$55</f>
        <v>0</v>
      </c>
      <c r="L16" s="65">
        <f>F16*Controls!$B$56+Monthly_Deployment!R16*Controls!$B$57+IF(A16=1,Controls!$B$64+Controls!$B$65+Controls!$B$66,0)</f>
        <v>0</v>
      </c>
      <c r="M16" s="65">
        <f>E16*(Controls!$B$58*Controls!$B$25/1000+Controls!$B$59+Controls!$B$60+Controls!$B$61)+(G16+H16)*(Controls!$B$62+Controls!$B$63)</f>
        <v>0</v>
      </c>
      <c r="N16" s="65">
        <f t="shared" si="0"/>
        <v>0</v>
      </c>
      <c r="O16" s="65">
        <f t="shared" si="1"/>
        <v>0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" customHeight="1" x14ac:dyDescent="0.3">
      <c r="A17" s="41">
        <v>16</v>
      </c>
      <c r="B17" s="41" t="str">
        <f>Monthly_Deployment!C17</f>
        <v>Oct-27</v>
      </c>
      <c r="C17" s="68">
        <f>Monthly_Deployment!O17</f>
        <v>0</v>
      </c>
      <c r="D17" s="68">
        <f>Monthly_Deployment!P17</f>
        <v>0</v>
      </c>
      <c r="E17" s="65">
        <f>Monthly_Deployment!R17</f>
        <v>0</v>
      </c>
      <c r="F17" s="65">
        <f>IF(AND(Monthly_Deployment!G17=0,Monthly_Deployment!D17&gt;0),1,0)+IF(AND(Monthly_Deployment!H17=0,Monthly_Deployment!E17&gt;0),1,0)</f>
        <v>0</v>
      </c>
      <c r="G17" s="65">
        <f>IF(Controls!$B$45=0,0,C17/(1+Controls!$B$47)*1000000/Controls!$B$45*Controls!$B$46*Controls!$B$25/1000)</f>
        <v>0</v>
      </c>
      <c r="H17" s="65">
        <f>E17*Controls!$B$50*Controls!$B$25/1000</f>
        <v>0</v>
      </c>
      <c r="I17" s="65">
        <f>F17*Controls!$B$52+C17*Controls!$B$53</f>
        <v>0</v>
      </c>
      <c r="J17" s="65">
        <f>D17*Controls!$B$54</f>
        <v>0</v>
      </c>
      <c r="K17" s="65">
        <f>G17*Controls!$B$55</f>
        <v>0</v>
      </c>
      <c r="L17" s="65">
        <f>F17*Controls!$B$56+Monthly_Deployment!R17*Controls!$B$57+IF(A17=1,Controls!$B$64+Controls!$B$65+Controls!$B$66,0)</f>
        <v>0</v>
      </c>
      <c r="M17" s="65">
        <f>E17*(Controls!$B$58*Controls!$B$25/1000+Controls!$B$59+Controls!$B$60+Controls!$B$61)+(G17+H17)*(Controls!$B$62+Controls!$B$63)</f>
        <v>0</v>
      </c>
      <c r="N17" s="65">
        <f t="shared" si="0"/>
        <v>0</v>
      </c>
      <c r="O17" s="65">
        <f t="shared" si="1"/>
        <v>0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" customHeight="1" x14ac:dyDescent="0.3">
      <c r="A18" s="41">
        <v>17</v>
      </c>
      <c r="B18" s="41" t="str">
        <f>Monthly_Deployment!C18</f>
        <v>Nov-27</v>
      </c>
      <c r="C18" s="68">
        <f>Monthly_Deployment!O18</f>
        <v>0</v>
      </c>
      <c r="D18" s="68">
        <f>Monthly_Deployment!P18</f>
        <v>0</v>
      </c>
      <c r="E18" s="65">
        <f>Monthly_Deployment!R18</f>
        <v>0</v>
      </c>
      <c r="F18" s="65">
        <f>IF(AND(Monthly_Deployment!G18=0,Monthly_Deployment!D18&gt;0),1,0)+IF(AND(Monthly_Deployment!H18=0,Monthly_Deployment!E18&gt;0),1,0)</f>
        <v>0</v>
      </c>
      <c r="G18" s="65">
        <f>IF(Controls!$B$45=0,0,C18/(1+Controls!$B$47)*1000000/Controls!$B$45*Controls!$B$46*Controls!$B$25/1000)</f>
        <v>0</v>
      </c>
      <c r="H18" s="65">
        <f>E18*Controls!$B$50*Controls!$B$25/1000</f>
        <v>0</v>
      </c>
      <c r="I18" s="65">
        <f>F18*Controls!$B$52+C18*Controls!$B$53</f>
        <v>0</v>
      </c>
      <c r="J18" s="65">
        <f>D18*Controls!$B$54</f>
        <v>0</v>
      </c>
      <c r="K18" s="65">
        <f>G18*Controls!$B$55</f>
        <v>0</v>
      </c>
      <c r="L18" s="65">
        <f>F18*Controls!$B$56+Monthly_Deployment!R18*Controls!$B$57+IF(A18=1,Controls!$B$64+Controls!$B$65+Controls!$B$66,0)</f>
        <v>0</v>
      </c>
      <c r="M18" s="65">
        <f>E18*(Controls!$B$58*Controls!$B$25/1000+Controls!$B$59+Controls!$B$60+Controls!$B$61)+(G18+H18)*(Controls!$B$62+Controls!$B$63)</f>
        <v>0</v>
      </c>
      <c r="N18" s="65">
        <f t="shared" si="0"/>
        <v>0</v>
      </c>
      <c r="O18" s="65">
        <f t="shared" si="1"/>
        <v>0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" customHeight="1" x14ac:dyDescent="0.3">
      <c r="A19" s="41">
        <v>18</v>
      </c>
      <c r="B19" s="41" t="str">
        <f>Monthly_Deployment!C19</f>
        <v>Dec-27</v>
      </c>
      <c r="C19" s="68">
        <f>Monthly_Deployment!O19</f>
        <v>0</v>
      </c>
      <c r="D19" s="68">
        <f>Monthly_Deployment!P19</f>
        <v>0</v>
      </c>
      <c r="E19" s="65">
        <f>Monthly_Deployment!R19</f>
        <v>0</v>
      </c>
      <c r="F19" s="65">
        <f>IF(AND(Monthly_Deployment!G19=0,Monthly_Deployment!D19&gt;0),1,0)+IF(AND(Monthly_Deployment!H19=0,Monthly_Deployment!E19&gt;0),1,0)</f>
        <v>0</v>
      </c>
      <c r="G19" s="65">
        <f>IF(Controls!$B$45=0,0,C19/(1+Controls!$B$47)*1000000/Controls!$B$45*Controls!$B$46*Controls!$B$25/1000)</f>
        <v>0</v>
      </c>
      <c r="H19" s="65">
        <f>E19*Controls!$B$50*Controls!$B$25/1000</f>
        <v>0</v>
      </c>
      <c r="I19" s="65">
        <f>F19*Controls!$B$52+C19*Controls!$B$53</f>
        <v>0</v>
      </c>
      <c r="J19" s="65">
        <f>D19*Controls!$B$54</f>
        <v>0</v>
      </c>
      <c r="K19" s="65">
        <f>G19*Controls!$B$55</f>
        <v>0</v>
      </c>
      <c r="L19" s="65">
        <f>F19*Controls!$B$56+Monthly_Deployment!R19*Controls!$B$57+IF(A19=1,Controls!$B$64+Controls!$B$65+Controls!$B$66,0)</f>
        <v>0</v>
      </c>
      <c r="M19" s="65">
        <f>E19*(Controls!$B$58*Controls!$B$25/1000+Controls!$B$59+Controls!$B$60+Controls!$B$61)+(G19+H19)*(Controls!$B$62+Controls!$B$63)</f>
        <v>0</v>
      </c>
      <c r="N19" s="65">
        <f t="shared" si="0"/>
        <v>0</v>
      </c>
      <c r="O19" s="65">
        <f t="shared" si="1"/>
        <v>0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" customHeight="1" x14ac:dyDescent="0.3">
      <c r="A20" s="41">
        <v>19</v>
      </c>
      <c r="B20" s="41" t="str">
        <f>Monthly_Deployment!C20</f>
        <v>Jan-28</v>
      </c>
      <c r="C20" s="68">
        <f>Monthly_Deployment!O20</f>
        <v>0</v>
      </c>
      <c r="D20" s="68">
        <f>Monthly_Deployment!P20</f>
        <v>0</v>
      </c>
      <c r="E20" s="65">
        <f>Monthly_Deployment!R20</f>
        <v>0</v>
      </c>
      <c r="F20" s="65">
        <f>IF(AND(Monthly_Deployment!G20=0,Monthly_Deployment!D20&gt;0),1,0)+IF(AND(Monthly_Deployment!H20=0,Monthly_Deployment!E20&gt;0),1,0)</f>
        <v>0</v>
      </c>
      <c r="G20" s="65">
        <f>IF(Controls!$B$45=0,0,C20/(1+Controls!$B$47)*1000000/Controls!$B$45*Controls!$B$46*Controls!$B$25/1000)</f>
        <v>0</v>
      </c>
      <c r="H20" s="65">
        <f>E20*Controls!$B$50*Controls!$B$25/1000</f>
        <v>0</v>
      </c>
      <c r="I20" s="65">
        <f>F20*Controls!$B$52+C20*Controls!$B$53</f>
        <v>0</v>
      </c>
      <c r="J20" s="65">
        <f>D20*Controls!$B$54</f>
        <v>0</v>
      </c>
      <c r="K20" s="65">
        <f>G20*Controls!$B$55</f>
        <v>0</v>
      </c>
      <c r="L20" s="65">
        <f>F20*Controls!$B$56+Monthly_Deployment!R20*Controls!$B$57+IF(A20=1,Controls!$B$64+Controls!$B$65+Controls!$B$66,0)</f>
        <v>0</v>
      </c>
      <c r="M20" s="65">
        <f>E20*(Controls!$B$58*Controls!$B$25/1000+Controls!$B$59+Controls!$B$60+Controls!$B$61)+(G20+H20)*(Controls!$B$62+Controls!$B$63)</f>
        <v>0</v>
      </c>
      <c r="N20" s="65">
        <f t="shared" si="0"/>
        <v>0</v>
      </c>
      <c r="O20" s="65">
        <f t="shared" si="1"/>
        <v>0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" customHeight="1" x14ac:dyDescent="0.3">
      <c r="A21" s="41">
        <v>20</v>
      </c>
      <c r="B21" s="41" t="str">
        <f>Monthly_Deployment!C21</f>
        <v>Feb-28</v>
      </c>
      <c r="C21" s="68">
        <f>Monthly_Deployment!O21</f>
        <v>0</v>
      </c>
      <c r="D21" s="68">
        <f>Monthly_Deployment!P21</f>
        <v>0</v>
      </c>
      <c r="E21" s="65">
        <f>Monthly_Deployment!R21</f>
        <v>0</v>
      </c>
      <c r="F21" s="65">
        <f>IF(AND(Monthly_Deployment!G21=0,Monthly_Deployment!D21&gt;0),1,0)+IF(AND(Monthly_Deployment!H21=0,Monthly_Deployment!E21&gt;0),1,0)</f>
        <v>0</v>
      </c>
      <c r="G21" s="65">
        <f>IF(Controls!$B$45=0,0,C21/(1+Controls!$B$47)*1000000/Controls!$B$45*Controls!$B$46*Controls!$B$25/1000)</f>
        <v>0</v>
      </c>
      <c r="H21" s="65">
        <f>E21*Controls!$B$50*Controls!$B$25/1000</f>
        <v>0</v>
      </c>
      <c r="I21" s="65">
        <f>F21*Controls!$B$52+C21*Controls!$B$53</f>
        <v>0</v>
      </c>
      <c r="J21" s="65">
        <f>D21*Controls!$B$54</f>
        <v>0</v>
      </c>
      <c r="K21" s="65">
        <f>G21*Controls!$B$55</f>
        <v>0</v>
      </c>
      <c r="L21" s="65">
        <f>F21*Controls!$B$56+Monthly_Deployment!R21*Controls!$B$57+IF(A21=1,Controls!$B$64+Controls!$B$65+Controls!$B$66,0)</f>
        <v>0</v>
      </c>
      <c r="M21" s="65">
        <f>E21*(Controls!$B$58*Controls!$B$25/1000+Controls!$B$59+Controls!$B$60+Controls!$B$61)+(G21+H21)*(Controls!$B$62+Controls!$B$63)</f>
        <v>0</v>
      </c>
      <c r="N21" s="65">
        <f t="shared" si="0"/>
        <v>0</v>
      </c>
      <c r="O21" s="65">
        <f t="shared" si="1"/>
        <v>0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" customHeight="1" x14ac:dyDescent="0.3">
      <c r="A22" s="41">
        <v>21</v>
      </c>
      <c r="B22" s="41" t="str">
        <f>Monthly_Deployment!C22</f>
        <v>Mar-28</v>
      </c>
      <c r="C22" s="68">
        <f>Monthly_Deployment!O22</f>
        <v>0</v>
      </c>
      <c r="D22" s="68">
        <f>Monthly_Deployment!P22</f>
        <v>0</v>
      </c>
      <c r="E22" s="65">
        <f>Monthly_Deployment!R22</f>
        <v>0</v>
      </c>
      <c r="F22" s="65">
        <f>IF(AND(Monthly_Deployment!G22=0,Monthly_Deployment!D22&gt;0),1,0)+IF(AND(Monthly_Deployment!H22=0,Monthly_Deployment!E22&gt;0),1,0)</f>
        <v>0</v>
      </c>
      <c r="G22" s="65">
        <f>IF(Controls!$B$45=0,0,C22/(1+Controls!$B$47)*1000000/Controls!$B$45*Controls!$B$46*Controls!$B$25/1000)</f>
        <v>0</v>
      </c>
      <c r="H22" s="65">
        <f>E22*Controls!$B$50*Controls!$B$25/1000</f>
        <v>0</v>
      </c>
      <c r="I22" s="65">
        <f>F22*Controls!$B$52+C22*Controls!$B$53</f>
        <v>0</v>
      </c>
      <c r="J22" s="65">
        <f>D22*Controls!$B$54</f>
        <v>0</v>
      </c>
      <c r="K22" s="65">
        <f>G22*Controls!$B$55</f>
        <v>0</v>
      </c>
      <c r="L22" s="65">
        <f>F22*Controls!$B$56+Monthly_Deployment!R22*Controls!$B$57+IF(A22=1,Controls!$B$64+Controls!$B$65+Controls!$B$66,0)</f>
        <v>0</v>
      </c>
      <c r="M22" s="65">
        <f>E22*(Controls!$B$58*Controls!$B$25/1000+Controls!$B$59+Controls!$B$60+Controls!$B$61)+(G22+H22)*(Controls!$B$62+Controls!$B$63)</f>
        <v>0</v>
      </c>
      <c r="N22" s="65">
        <f t="shared" si="0"/>
        <v>0</v>
      </c>
      <c r="O22" s="65">
        <f t="shared" si="1"/>
        <v>0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" customHeight="1" x14ac:dyDescent="0.3">
      <c r="A23" s="41">
        <v>22</v>
      </c>
      <c r="B23" s="41" t="str">
        <f>Monthly_Deployment!C23</f>
        <v>Apr-28</v>
      </c>
      <c r="C23" s="68">
        <f>Monthly_Deployment!O23</f>
        <v>0</v>
      </c>
      <c r="D23" s="68">
        <f>Monthly_Deployment!P23</f>
        <v>0</v>
      </c>
      <c r="E23" s="65">
        <f>Monthly_Deployment!R23</f>
        <v>0</v>
      </c>
      <c r="F23" s="65">
        <f>IF(AND(Monthly_Deployment!G23=0,Monthly_Deployment!D23&gt;0),1,0)+IF(AND(Monthly_Deployment!H23=0,Monthly_Deployment!E23&gt;0),1,0)</f>
        <v>0</v>
      </c>
      <c r="G23" s="65">
        <f>IF(Controls!$B$45=0,0,C23/(1+Controls!$B$47)*1000000/Controls!$B$45*Controls!$B$46*Controls!$B$25/1000)</f>
        <v>0</v>
      </c>
      <c r="H23" s="65">
        <f>E23*Controls!$B$50*Controls!$B$25/1000</f>
        <v>0</v>
      </c>
      <c r="I23" s="65">
        <f>F23*Controls!$B$52+C23*Controls!$B$53</f>
        <v>0</v>
      </c>
      <c r="J23" s="65">
        <f>D23*Controls!$B$54</f>
        <v>0</v>
      </c>
      <c r="K23" s="65">
        <f>G23*Controls!$B$55</f>
        <v>0</v>
      </c>
      <c r="L23" s="65">
        <f>F23*Controls!$B$56+Monthly_Deployment!R23*Controls!$B$57+IF(A23=1,Controls!$B$64+Controls!$B$65+Controls!$B$66,0)</f>
        <v>0</v>
      </c>
      <c r="M23" s="65">
        <f>E23*(Controls!$B$58*Controls!$B$25/1000+Controls!$B$59+Controls!$B$60+Controls!$B$61)+(G23+H23)*(Controls!$B$62+Controls!$B$63)</f>
        <v>0</v>
      </c>
      <c r="N23" s="65">
        <f t="shared" si="0"/>
        <v>0</v>
      </c>
      <c r="O23" s="65">
        <f t="shared" si="1"/>
        <v>0</v>
      </c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" customHeight="1" x14ac:dyDescent="0.3">
      <c r="A24" s="41">
        <v>23</v>
      </c>
      <c r="B24" s="41" t="str">
        <f>Monthly_Deployment!C24</f>
        <v>May-28</v>
      </c>
      <c r="C24" s="68">
        <f>Monthly_Deployment!O24</f>
        <v>0</v>
      </c>
      <c r="D24" s="68">
        <f>Monthly_Deployment!P24</f>
        <v>0</v>
      </c>
      <c r="E24" s="65">
        <f>Monthly_Deployment!R24</f>
        <v>0</v>
      </c>
      <c r="F24" s="65">
        <f>IF(AND(Monthly_Deployment!G24=0,Monthly_Deployment!D24&gt;0),1,0)+IF(AND(Monthly_Deployment!H24=0,Monthly_Deployment!E24&gt;0),1,0)</f>
        <v>0</v>
      </c>
      <c r="G24" s="65">
        <f>IF(Controls!$B$45=0,0,C24/(1+Controls!$B$47)*1000000/Controls!$B$45*Controls!$B$46*Controls!$B$25/1000)</f>
        <v>0</v>
      </c>
      <c r="H24" s="65">
        <f>E24*Controls!$B$50*Controls!$B$25/1000</f>
        <v>0</v>
      </c>
      <c r="I24" s="65">
        <f>F24*Controls!$B$52+C24*Controls!$B$53</f>
        <v>0</v>
      </c>
      <c r="J24" s="65">
        <f>D24*Controls!$B$54</f>
        <v>0</v>
      </c>
      <c r="K24" s="65">
        <f>G24*Controls!$B$55</f>
        <v>0</v>
      </c>
      <c r="L24" s="65">
        <f>F24*Controls!$B$56+Monthly_Deployment!R24*Controls!$B$57+IF(A24=1,Controls!$B$64+Controls!$B$65+Controls!$B$66,0)</f>
        <v>0</v>
      </c>
      <c r="M24" s="65">
        <f>E24*(Controls!$B$58*Controls!$B$25/1000+Controls!$B$59+Controls!$B$60+Controls!$B$61)+(G24+H24)*(Controls!$B$62+Controls!$B$63)</f>
        <v>0</v>
      </c>
      <c r="N24" s="65">
        <f t="shared" si="0"/>
        <v>0</v>
      </c>
      <c r="O24" s="65">
        <f t="shared" si="1"/>
        <v>0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" customHeight="1" x14ac:dyDescent="0.3">
      <c r="A25" s="41">
        <v>24</v>
      </c>
      <c r="B25" s="41" t="str">
        <f>Monthly_Deployment!C25</f>
        <v>Jun-28</v>
      </c>
      <c r="C25" s="68">
        <f>Monthly_Deployment!O25</f>
        <v>0</v>
      </c>
      <c r="D25" s="68">
        <f>Monthly_Deployment!P25</f>
        <v>0</v>
      </c>
      <c r="E25" s="65">
        <f>Monthly_Deployment!R25</f>
        <v>0</v>
      </c>
      <c r="F25" s="65">
        <f>IF(AND(Monthly_Deployment!G25=0,Monthly_Deployment!D25&gt;0),1,0)+IF(AND(Monthly_Deployment!H25=0,Monthly_Deployment!E25&gt;0),1,0)</f>
        <v>0</v>
      </c>
      <c r="G25" s="65">
        <f>IF(Controls!$B$45=0,0,C25/(1+Controls!$B$47)*1000000/Controls!$B$45*Controls!$B$46*Controls!$B$25/1000)</f>
        <v>0</v>
      </c>
      <c r="H25" s="65">
        <f>E25*Controls!$B$50*Controls!$B$25/1000</f>
        <v>0</v>
      </c>
      <c r="I25" s="65">
        <f>F25*Controls!$B$52+C25*Controls!$B$53</f>
        <v>0</v>
      </c>
      <c r="J25" s="65">
        <f>D25*Controls!$B$54</f>
        <v>0</v>
      </c>
      <c r="K25" s="65">
        <f>G25*Controls!$B$55</f>
        <v>0</v>
      </c>
      <c r="L25" s="65">
        <f>F25*Controls!$B$56+Monthly_Deployment!R25*Controls!$B$57+IF(A25=1,Controls!$B$64+Controls!$B$65+Controls!$B$66,0)</f>
        <v>0</v>
      </c>
      <c r="M25" s="65">
        <f>E25*(Controls!$B$58*Controls!$B$25/1000+Controls!$B$59+Controls!$B$60+Controls!$B$61)+(G25+H25)*(Controls!$B$62+Controls!$B$63)</f>
        <v>0</v>
      </c>
      <c r="N25" s="65">
        <f t="shared" si="0"/>
        <v>0</v>
      </c>
      <c r="O25" s="65">
        <f t="shared" si="1"/>
        <v>0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" customHeight="1" x14ac:dyDescent="0.3">
      <c r="A26" s="41">
        <v>25</v>
      </c>
      <c r="B26" s="41" t="str">
        <f>Monthly_Deployment!C26</f>
        <v>Jul-28</v>
      </c>
      <c r="C26" s="68">
        <f>Monthly_Deployment!O26</f>
        <v>0</v>
      </c>
      <c r="D26" s="68">
        <f>Monthly_Deployment!P26</f>
        <v>0</v>
      </c>
      <c r="E26" s="65">
        <f>Monthly_Deployment!R26</f>
        <v>0</v>
      </c>
      <c r="F26" s="65">
        <f>IF(AND(Monthly_Deployment!G26=0,Monthly_Deployment!D26&gt;0),1,0)+IF(AND(Monthly_Deployment!H26=0,Monthly_Deployment!E26&gt;0),1,0)</f>
        <v>0</v>
      </c>
      <c r="G26" s="65">
        <f>IF(Controls!$B$45=0,0,C26/(1+Controls!$B$47)*1000000/Controls!$B$45*Controls!$B$46*Controls!$B$25/1000)</f>
        <v>0</v>
      </c>
      <c r="H26" s="65">
        <f>E26*Controls!$B$50*Controls!$B$25/1000</f>
        <v>0</v>
      </c>
      <c r="I26" s="65">
        <f>F26*Controls!$B$52+C26*Controls!$B$53</f>
        <v>0</v>
      </c>
      <c r="J26" s="65">
        <f>D26*Controls!$B$54</f>
        <v>0</v>
      </c>
      <c r="K26" s="65">
        <f>G26*Controls!$B$55</f>
        <v>0</v>
      </c>
      <c r="L26" s="65">
        <f>F26*Controls!$B$56+Monthly_Deployment!R26*Controls!$B$57+IF(A26=1,Controls!$B$64+Controls!$B$65+Controls!$B$66,0)</f>
        <v>0</v>
      </c>
      <c r="M26" s="65">
        <f>E26*(Controls!$B$58*Controls!$B$25/1000+Controls!$B$59+Controls!$B$60+Controls!$B$61)+(G26+H26)*(Controls!$B$62+Controls!$B$63)</f>
        <v>0</v>
      </c>
      <c r="N26" s="65">
        <f t="shared" si="0"/>
        <v>0</v>
      </c>
      <c r="O26" s="65">
        <f t="shared" si="1"/>
        <v>0</v>
      </c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" customHeight="1" x14ac:dyDescent="0.3">
      <c r="A27" s="41">
        <v>26</v>
      </c>
      <c r="B27" s="41" t="str">
        <f>Monthly_Deployment!C27</f>
        <v>Aug-28</v>
      </c>
      <c r="C27" s="68">
        <f>Monthly_Deployment!O27</f>
        <v>0</v>
      </c>
      <c r="D27" s="68">
        <f>Monthly_Deployment!P27</f>
        <v>0</v>
      </c>
      <c r="E27" s="65">
        <f>Monthly_Deployment!R27</f>
        <v>0</v>
      </c>
      <c r="F27" s="65">
        <f>IF(AND(Monthly_Deployment!G27=0,Monthly_Deployment!D27&gt;0),1,0)+IF(AND(Monthly_Deployment!H27=0,Monthly_Deployment!E27&gt;0),1,0)</f>
        <v>0</v>
      </c>
      <c r="G27" s="65">
        <f>IF(Controls!$B$45=0,0,C27/(1+Controls!$B$47)*1000000/Controls!$B$45*Controls!$B$46*Controls!$B$25/1000)</f>
        <v>0</v>
      </c>
      <c r="H27" s="65">
        <f>E27*Controls!$B$50*Controls!$B$25/1000</f>
        <v>0</v>
      </c>
      <c r="I27" s="65">
        <f>F27*Controls!$B$52+C27*Controls!$B$53</f>
        <v>0</v>
      </c>
      <c r="J27" s="65">
        <f>D27*Controls!$B$54</f>
        <v>0</v>
      </c>
      <c r="K27" s="65">
        <f>G27*Controls!$B$55</f>
        <v>0</v>
      </c>
      <c r="L27" s="65">
        <f>F27*Controls!$B$56+Monthly_Deployment!R27*Controls!$B$57+IF(A27=1,Controls!$B$64+Controls!$B$65+Controls!$B$66,0)</f>
        <v>0</v>
      </c>
      <c r="M27" s="65">
        <f>E27*(Controls!$B$58*Controls!$B$25/1000+Controls!$B$59+Controls!$B$60+Controls!$B$61)+(G27+H27)*(Controls!$B$62+Controls!$B$63)</f>
        <v>0</v>
      </c>
      <c r="N27" s="65">
        <f t="shared" si="0"/>
        <v>0</v>
      </c>
      <c r="O27" s="65">
        <f t="shared" si="1"/>
        <v>0</v>
      </c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" customHeight="1" x14ac:dyDescent="0.3">
      <c r="A28" s="41">
        <v>27</v>
      </c>
      <c r="B28" s="41" t="str">
        <f>Monthly_Deployment!C28</f>
        <v>Sept-28</v>
      </c>
      <c r="C28" s="68">
        <f>Monthly_Deployment!O28</f>
        <v>0</v>
      </c>
      <c r="D28" s="68">
        <f>Monthly_Deployment!P28</f>
        <v>0</v>
      </c>
      <c r="E28" s="65">
        <f>Monthly_Deployment!R28</f>
        <v>0</v>
      </c>
      <c r="F28" s="65">
        <f>IF(AND(Monthly_Deployment!G28=0,Monthly_Deployment!D28&gt;0),1,0)+IF(AND(Monthly_Deployment!H28=0,Monthly_Deployment!E28&gt;0),1,0)</f>
        <v>0</v>
      </c>
      <c r="G28" s="65">
        <f>IF(Controls!$B$45=0,0,C28/(1+Controls!$B$47)*1000000/Controls!$B$45*Controls!$B$46*Controls!$B$25/1000)</f>
        <v>0</v>
      </c>
      <c r="H28" s="65">
        <f>E28*Controls!$B$50*Controls!$B$25/1000</f>
        <v>0</v>
      </c>
      <c r="I28" s="65">
        <f>F28*Controls!$B$52+C28*Controls!$B$53</f>
        <v>0</v>
      </c>
      <c r="J28" s="65">
        <f>D28*Controls!$B$54</f>
        <v>0</v>
      </c>
      <c r="K28" s="65">
        <f>G28*Controls!$B$55</f>
        <v>0</v>
      </c>
      <c r="L28" s="65">
        <f>F28*Controls!$B$56+Monthly_Deployment!R28*Controls!$B$57+IF(A28=1,Controls!$B$64+Controls!$B$65+Controls!$B$66,0)</f>
        <v>0</v>
      </c>
      <c r="M28" s="65">
        <f>E28*(Controls!$B$58*Controls!$B$25/1000+Controls!$B$59+Controls!$B$60+Controls!$B$61)+(G28+H28)*(Controls!$B$62+Controls!$B$63)</f>
        <v>0</v>
      </c>
      <c r="N28" s="65">
        <f t="shared" si="0"/>
        <v>0</v>
      </c>
      <c r="O28" s="65">
        <f t="shared" si="1"/>
        <v>0</v>
      </c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" customHeight="1" x14ac:dyDescent="0.3">
      <c r="A29" s="41">
        <v>28</v>
      </c>
      <c r="B29" s="41" t="str">
        <f>Monthly_Deployment!C29</f>
        <v>Oct-28</v>
      </c>
      <c r="C29" s="68">
        <f>Monthly_Deployment!O29</f>
        <v>0</v>
      </c>
      <c r="D29" s="68">
        <f>Monthly_Deployment!P29</f>
        <v>0</v>
      </c>
      <c r="E29" s="65">
        <f>Monthly_Deployment!R29</f>
        <v>0</v>
      </c>
      <c r="F29" s="65">
        <f>IF(AND(Monthly_Deployment!G29=0,Monthly_Deployment!D29&gt;0),1,0)+IF(AND(Monthly_Deployment!H29=0,Monthly_Deployment!E29&gt;0),1,0)</f>
        <v>0</v>
      </c>
      <c r="G29" s="65">
        <f>IF(Controls!$B$45=0,0,C29/(1+Controls!$B$47)*1000000/Controls!$B$45*Controls!$B$46*Controls!$B$25/1000)</f>
        <v>0</v>
      </c>
      <c r="H29" s="65">
        <f>E29*Controls!$B$50*Controls!$B$25/1000</f>
        <v>0</v>
      </c>
      <c r="I29" s="65">
        <f>F29*Controls!$B$52+C29*Controls!$B$53</f>
        <v>0</v>
      </c>
      <c r="J29" s="65">
        <f>D29*Controls!$B$54</f>
        <v>0</v>
      </c>
      <c r="K29" s="65">
        <f>G29*Controls!$B$55</f>
        <v>0</v>
      </c>
      <c r="L29" s="65">
        <f>F29*Controls!$B$56+Monthly_Deployment!R29*Controls!$B$57+IF(A29=1,Controls!$B$64+Controls!$B$65+Controls!$B$66,0)</f>
        <v>0</v>
      </c>
      <c r="M29" s="65">
        <f>E29*(Controls!$B$58*Controls!$B$25/1000+Controls!$B$59+Controls!$B$60+Controls!$B$61)+(G29+H29)*(Controls!$B$62+Controls!$B$63)</f>
        <v>0</v>
      </c>
      <c r="N29" s="65">
        <f t="shared" si="0"/>
        <v>0</v>
      </c>
      <c r="O29" s="65">
        <f t="shared" si="1"/>
        <v>0</v>
      </c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" customHeight="1" x14ac:dyDescent="0.3">
      <c r="A30" s="41">
        <v>29</v>
      </c>
      <c r="B30" s="41" t="str">
        <f>Monthly_Deployment!C30</f>
        <v>Nov-28</v>
      </c>
      <c r="C30" s="68">
        <f>Monthly_Deployment!O30</f>
        <v>0</v>
      </c>
      <c r="D30" s="68">
        <f>Monthly_Deployment!P30</f>
        <v>0</v>
      </c>
      <c r="E30" s="65">
        <f>Monthly_Deployment!R30</f>
        <v>0</v>
      </c>
      <c r="F30" s="65">
        <f>IF(AND(Monthly_Deployment!G30=0,Monthly_Deployment!D30&gt;0),1,0)+IF(AND(Monthly_Deployment!H30=0,Monthly_Deployment!E30&gt;0),1,0)</f>
        <v>0</v>
      </c>
      <c r="G30" s="65">
        <f>IF(Controls!$B$45=0,0,C30/(1+Controls!$B$47)*1000000/Controls!$B$45*Controls!$B$46*Controls!$B$25/1000)</f>
        <v>0</v>
      </c>
      <c r="H30" s="65">
        <f>E30*Controls!$B$50*Controls!$B$25/1000</f>
        <v>0</v>
      </c>
      <c r="I30" s="65">
        <f>F30*Controls!$B$52+C30*Controls!$B$53</f>
        <v>0</v>
      </c>
      <c r="J30" s="65">
        <f>D30*Controls!$B$54</f>
        <v>0</v>
      </c>
      <c r="K30" s="65">
        <f>G30*Controls!$B$55</f>
        <v>0</v>
      </c>
      <c r="L30" s="65">
        <f>F30*Controls!$B$56+Monthly_Deployment!R30*Controls!$B$57+IF(A30=1,Controls!$B$64+Controls!$B$65+Controls!$B$66,0)</f>
        <v>0</v>
      </c>
      <c r="M30" s="65">
        <f>E30*(Controls!$B$58*Controls!$B$25/1000+Controls!$B$59+Controls!$B$60+Controls!$B$61)+(G30+H30)*(Controls!$B$62+Controls!$B$63)</f>
        <v>0</v>
      </c>
      <c r="N30" s="65">
        <f t="shared" si="0"/>
        <v>0</v>
      </c>
      <c r="O30" s="65">
        <f t="shared" si="1"/>
        <v>0</v>
      </c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" customHeight="1" x14ac:dyDescent="0.3">
      <c r="A31" s="41">
        <v>30</v>
      </c>
      <c r="B31" s="41" t="str">
        <f>Monthly_Deployment!C31</f>
        <v>Dec-28</v>
      </c>
      <c r="C31" s="68">
        <f>Monthly_Deployment!O31</f>
        <v>0</v>
      </c>
      <c r="D31" s="68">
        <f>Monthly_Deployment!P31</f>
        <v>0</v>
      </c>
      <c r="E31" s="65">
        <f>Monthly_Deployment!R31</f>
        <v>0</v>
      </c>
      <c r="F31" s="65">
        <f>IF(AND(Monthly_Deployment!G31=0,Monthly_Deployment!D31&gt;0),1,0)+IF(AND(Monthly_Deployment!H31=0,Monthly_Deployment!E31&gt;0),1,0)</f>
        <v>0</v>
      </c>
      <c r="G31" s="65">
        <f>IF(Controls!$B$45=0,0,C31/(1+Controls!$B$47)*1000000/Controls!$B$45*Controls!$B$46*Controls!$B$25/1000)</f>
        <v>0</v>
      </c>
      <c r="H31" s="65">
        <f>E31*Controls!$B$50*Controls!$B$25/1000</f>
        <v>0</v>
      </c>
      <c r="I31" s="65">
        <f>F31*Controls!$B$52+C31*Controls!$B$53</f>
        <v>0</v>
      </c>
      <c r="J31" s="65">
        <f>D31*Controls!$B$54</f>
        <v>0</v>
      </c>
      <c r="K31" s="65">
        <f>G31*Controls!$B$55</f>
        <v>0</v>
      </c>
      <c r="L31" s="65">
        <f>F31*Controls!$B$56+Monthly_Deployment!R31*Controls!$B$57+IF(A31=1,Controls!$B$64+Controls!$B$65+Controls!$B$66,0)</f>
        <v>0</v>
      </c>
      <c r="M31" s="65">
        <f>E31*(Controls!$B$58*Controls!$B$25/1000+Controls!$B$59+Controls!$B$60+Controls!$B$61)+(G31+H31)*(Controls!$B$62+Controls!$B$63)</f>
        <v>0</v>
      </c>
      <c r="N31" s="65">
        <f t="shared" si="0"/>
        <v>0</v>
      </c>
      <c r="O31" s="65">
        <f t="shared" si="1"/>
        <v>0</v>
      </c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" customHeight="1" x14ac:dyDescent="0.3">
      <c r="A32" s="41">
        <v>31</v>
      </c>
      <c r="B32" s="41" t="str">
        <f>Monthly_Deployment!C32</f>
        <v>Jan-29</v>
      </c>
      <c r="C32" s="68">
        <f>Monthly_Deployment!O32</f>
        <v>0</v>
      </c>
      <c r="D32" s="68">
        <f>Monthly_Deployment!P32</f>
        <v>0</v>
      </c>
      <c r="E32" s="65">
        <f>Monthly_Deployment!R32</f>
        <v>0</v>
      </c>
      <c r="F32" s="65">
        <f>IF(AND(Monthly_Deployment!G32=0,Monthly_Deployment!D32&gt;0),1,0)+IF(AND(Monthly_Deployment!H32=0,Monthly_Deployment!E32&gt;0),1,0)</f>
        <v>0</v>
      </c>
      <c r="G32" s="65">
        <f>IF(Controls!$B$45=0,0,C32/(1+Controls!$B$47)*1000000/Controls!$B$45*Controls!$B$46*Controls!$B$25/1000)</f>
        <v>0</v>
      </c>
      <c r="H32" s="65">
        <f>E32*Controls!$B$50*Controls!$B$25/1000</f>
        <v>0</v>
      </c>
      <c r="I32" s="65">
        <f>F32*Controls!$B$52+C32*Controls!$B$53</f>
        <v>0</v>
      </c>
      <c r="J32" s="65">
        <f>D32*Controls!$B$54</f>
        <v>0</v>
      </c>
      <c r="K32" s="65">
        <f>G32*Controls!$B$55</f>
        <v>0</v>
      </c>
      <c r="L32" s="65">
        <f>F32*Controls!$B$56+Monthly_Deployment!R32*Controls!$B$57+IF(A32=1,Controls!$B$64+Controls!$B$65+Controls!$B$66,0)</f>
        <v>0</v>
      </c>
      <c r="M32" s="65">
        <f>E32*(Controls!$B$58*Controls!$B$25/1000+Controls!$B$59+Controls!$B$60+Controls!$B$61)+(G32+H32)*(Controls!$B$62+Controls!$B$63)</f>
        <v>0</v>
      </c>
      <c r="N32" s="65">
        <f t="shared" si="0"/>
        <v>0</v>
      </c>
      <c r="O32" s="65">
        <f t="shared" si="1"/>
        <v>0</v>
      </c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" customHeight="1" x14ac:dyDescent="0.3">
      <c r="A33" s="41">
        <v>32</v>
      </c>
      <c r="B33" s="41" t="str">
        <f>Monthly_Deployment!C33</f>
        <v>Feb-29</v>
      </c>
      <c r="C33" s="68">
        <f>Monthly_Deployment!O33</f>
        <v>0</v>
      </c>
      <c r="D33" s="68">
        <f>Monthly_Deployment!P33</f>
        <v>0</v>
      </c>
      <c r="E33" s="65">
        <f>Monthly_Deployment!R33</f>
        <v>0</v>
      </c>
      <c r="F33" s="65">
        <f>IF(AND(Monthly_Deployment!G33=0,Monthly_Deployment!D33&gt;0),1,0)+IF(AND(Monthly_Deployment!H33=0,Monthly_Deployment!E33&gt;0),1,0)</f>
        <v>0</v>
      </c>
      <c r="G33" s="65">
        <f>IF(Controls!$B$45=0,0,C33/(1+Controls!$B$47)*1000000/Controls!$B$45*Controls!$B$46*Controls!$B$25/1000)</f>
        <v>0</v>
      </c>
      <c r="H33" s="65">
        <f>E33*Controls!$B$50*Controls!$B$25/1000</f>
        <v>0</v>
      </c>
      <c r="I33" s="65">
        <f>F33*Controls!$B$52+C33*Controls!$B$53</f>
        <v>0</v>
      </c>
      <c r="J33" s="65">
        <f>D33*Controls!$B$54</f>
        <v>0</v>
      </c>
      <c r="K33" s="65">
        <f>G33*Controls!$B$55</f>
        <v>0</v>
      </c>
      <c r="L33" s="65">
        <f>F33*Controls!$B$56+Monthly_Deployment!R33*Controls!$B$57+IF(A33=1,Controls!$B$64+Controls!$B$65+Controls!$B$66,0)</f>
        <v>0</v>
      </c>
      <c r="M33" s="65">
        <f>E33*(Controls!$B$58*Controls!$B$25/1000+Controls!$B$59+Controls!$B$60+Controls!$B$61)+(G33+H33)*(Controls!$B$62+Controls!$B$63)</f>
        <v>0</v>
      </c>
      <c r="N33" s="65">
        <f t="shared" si="0"/>
        <v>0</v>
      </c>
      <c r="O33" s="65">
        <f t="shared" si="1"/>
        <v>0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" customHeight="1" x14ac:dyDescent="0.3">
      <c r="A34" s="41">
        <v>33</v>
      </c>
      <c r="B34" s="41" t="str">
        <f>Monthly_Deployment!C34</f>
        <v>Mar-29</v>
      </c>
      <c r="C34" s="68">
        <f>Monthly_Deployment!O34</f>
        <v>0</v>
      </c>
      <c r="D34" s="68">
        <f>Monthly_Deployment!P34</f>
        <v>0</v>
      </c>
      <c r="E34" s="65">
        <f>Monthly_Deployment!R34</f>
        <v>0</v>
      </c>
      <c r="F34" s="65">
        <f>IF(AND(Monthly_Deployment!G34=0,Monthly_Deployment!D34&gt;0),1,0)+IF(AND(Monthly_Deployment!H34=0,Monthly_Deployment!E34&gt;0),1,0)</f>
        <v>0</v>
      </c>
      <c r="G34" s="65">
        <f>IF(Controls!$B$45=0,0,C34/(1+Controls!$B$47)*1000000/Controls!$B$45*Controls!$B$46*Controls!$B$25/1000)</f>
        <v>0</v>
      </c>
      <c r="H34" s="65">
        <f>E34*Controls!$B$50*Controls!$B$25/1000</f>
        <v>0</v>
      </c>
      <c r="I34" s="65">
        <f>F34*Controls!$B$52+C34*Controls!$B$53</f>
        <v>0</v>
      </c>
      <c r="J34" s="65">
        <f>D34*Controls!$B$54</f>
        <v>0</v>
      </c>
      <c r="K34" s="65">
        <f>G34*Controls!$B$55</f>
        <v>0</v>
      </c>
      <c r="L34" s="65">
        <f>F34*Controls!$B$56+Monthly_Deployment!R34*Controls!$B$57+IF(A34=1,Controls!$B$64+Controls!$B$65+Controls!$B$66,0)</f>
        <v>0</v>
      </c>
      <c r="M34" s="65">
        <f>E34*(Controls!$B$58*Controls!$B$25/1000+Controls!$B$59+Controls!$B$60+Controls!$B$61)+(G34+H34)*(Controls!$B$62+Controls!$B$63)</f>
        <v>0</v>
      </c>
      <c r="N34" s="65">
        <f t="shared" si="0"/>
        <v>0</v>
      </c>
      <c r="O34" s="65">
        <f t="shared" si="1"/>
        <v>0</v>
      </c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" customHeight="1" x14ac:dyDescent="0.3">
      <c r="A35" s="41">
        <v>34</v>
      </c>
      <c r="B35" s="41" t="str">
        <f>Monthly_Deployment!C35</f>
        <v>Apr-29</v>
      </c>
      <c r="C35" s="68">
        <f>Monthly_Deployment!O35</f>
        <v>0</v>
      </c>
      <c r="D35" s="68">
        <f>Monthly_Deployment!P35</f>
        <v>0</v>
      </c>
      <c r="E35" s="65">
        <f>Monthly_Deployment!R35</f>
        <v>0</v>
      </c>
      <c r="F35" s="65">
        <f>IF(AND(Monthly_Deployment!G35=0,Monthly_Deployment!D35&gt;0),1,0)+IF(AND(Monthly_Deployment!H35=0,Monthly_Deployment!E35&gt;0),1,0)</f>
        <v>0</v>
      </c>
      <c r="G35" s="65">
        <f>IF(Controls!$B$45=0,0,C35/(1+Controls!$B$47)*1000000/Controls!$B$45*Controls!$B$46*Controls!$B$25/1000)</f>
        <v>0</v>
      </c>
      <c r="H35" s="65">
        <f>E35*Controls!$B$50*Controls!$B$25/1000</f>
        <v>0</v>
      </c>
      <c r="I35" s="65">
        <f>F35*Controls!$B$52+C35*Controls!$B$53</f>
        <v>0</v>
      </c>
      <c r="J35" s="65">
        <f>D35*Controls!$B$54</f>
        <v>0</v>
      </c>
      <c r="K35" s="65">
        <f>G35*Controls!$B$55</f>
        <v>0</v>
      </c>
      <c r="L35" s="65">
        <f>F35*Controls!$B$56+Monthly_Deployment!R35*Controls!$B$57+IF(A35=1,Controls!$B$64+Controls!$B$65+Controls!$B$66,0)</f>
        <v>0</v>
      </c>
      <c r="M35" s="65">
        <f>E35*(Controls!$B$58*Controls!$B$25/1000+Controls!$B$59+Controls!$B$60+Controls!$B$61)+(G35+H35)*(Controls!$B$62+Controls!$B$63)</f>
        <v>0</v>
      </c>
      <c r="N35" s="65">
        <f t="shared" si="0"/>
        <v>0</v>
      </c>
      <c r="O35" s="65">
        <f t="shared" si="1"/>
        <v>0</v>
      </c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" customHeight="1" x14ac:dyDescent="0.3">
      <c r="A36" s="41">
        <v>35</v>
      </c>
      <c r="B36" s="41" t="str">
        <f>Monthly_Deployment!C36</f>
        <v>May-29</v>
      </c>
      <c r="C36" s="68">
        <f>Monthly_Deployment!O36</f>
        <v>0</v>
      </c>
      <c r="D36" s="68">
        <f>Monthly_Deployment!P36</f>
        <v>0</v>
      </c>
      <c r="E36" s="65">
        <f>Monthly_Deployment!R36</f>
        <v>0</v>
      </c>
      <c r="F36" s="65">
        <f>IF(AND(Monthly_Deployment!G36=0,Monthly_Deployment!D36&gt;0),1,0)+IF(AND(Monthly_Deployment!H36=0,Monthly_Deployment!E36&gt;0),1,0)</f>
        <v>0</v>
      </c>
      <c r="G36" s="65">
        <f>IF(Controls!$B$45=0,0,C36/(1+Controls!$B$47)*1000000/Controls!$B$45*Controls!$B$46*Controls!$B$25/1000)</f>
        <v>0</v>
      </c>
      <c r="H36" s="65">
        <f>E36*Controls!$B$50*Controls!$B$25/1000</f>
        <v>0</v>
      </c>
      <c r="I36" s="65">
        <f>F36*Controls!$B$52+C36*Controls!$B$53</f>
        <v>0</v>
      </c>
      <c r="J36" s="65">
        <f>D36*Controls!$B$54</f>
        <v>0</v>
      </c>
      <c r="K36" s="65">
        <f>G36*Controls!$B$55</f>
        <v>0</v>
      </c>
      <c r="L36" s="65">
        <f>F36*Controls!$B$56+Monthly_Deployment!R36*Controls!$B$57+IF(A36=1,Controls!$B$64+Controls!$B$65+Controls!$B$66,0)</f>
        <v>0</v>
      </c>
      <c r="M36" s="65">
        <f>E36*(Controls!$B$58*Controls!$B$25/1000+Controls!$B$59+Controls!$B$60+Controls!$B$61)+(G36+H36)*(Controls!$B$62+Controls!$B$63)</f>
        <v>0</v>
      </c>
      <c r="N36" s="65">
        <f t="shared" si="0"/>
        <v>0</v>
      </c>
      <c r="O36" s="65">
        <f t="shared" si="1"/>
        <v>0</v>
      </c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" customHeight="1" x14ac:dyDescent="0.3">
      <c r="A37" s="41">
        <v>36</v>
      </c>
      <c r="B37" s="41" t="str">
        <f>Monthly_Deployment!C37</f>
        <v>Jun-29</v>
      </c>
      <c r="C37" s="68">
        <f>Monthly_Deployment!O37</f>
        <v>0</v>
      </c>
      <c r="D37" s="68">
        <f>Monthly_Deployment!P37</f>
        <v>0</v>
      </c>
      <c r="E37" s="65">
        <f>Monthly_Deployment!R37</f>
        <v>0</v>
      </c>
      <c r="F37" s="65">
        <f>IF(AND(Monthly_Deployment!G37=0,Monthly_Deployment!D37&gt;0),1,0)+IF(AND(Monthly_Deployment!H37=0,Monthly_Deployment!E37&gt;0),1,0)</f>
        <v>0</v>
      </c>
      <c r="G37" s="65">
        <f>IF(Controls!$B$45=0,0,C37/(1+Controls!$B$47)*1000000/Controls!$B$45*Controls!$B$46*Controls!$B$25/1000)</f>
        <v>0</v>
      </c>
      <c r="H37" s="65">
        <f>E37*Controls!$B$50*Controls!$B$25/1000</f>
        <v>0</v>
      </c>
      <c r="I37" s="65">
        <f>F37*Controls!$B$52+C37*Controls!$B$53</f>
        <v>0</v>
      </c>
      <c r="J37" s="65">
        <f>D37*Controls!$B$54</f>
        <v>0</v>
      </c>
      <c r="K37" s="65">
        <f>G37*Controls!$B$55</f>
        <v>0</v>
      </c>
      <c r="L37" s="65">
        <f>F37*Controls!$B$56+Monthly_Deployment!R37*Controls!$B$57+IF(A37=1,Controls!$B$64+Controls!$B$65+Controls!$B$66,0)</f>
        <v>0</v>
      </c>
      <c r="M37" s="65">
        <f>E37*(Controls!$B$58*Controls!$B$25/1000+Controls!$B$59+Controls!$B$60+Controls!$B$61)+(G37+H37)*(Controls!$B$62+Controls!$B$63)</f>
        <v>0</v>
      </c>
      <c r="N37" s="65">
        <f t="shared" si="0"/>
        <v>0</v>
      </c>
      <c r="O37" s="65">
        <f t="shared" si="1"/>
        <v>0</v>
      </c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" customHeight="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" customHeigh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" customHeight="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" customHeight="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" customHeigh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" customHeight="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" customHeight="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" customHeight="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" customHeight="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" customHeigh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" customHeight="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" customHeigh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" customHeight="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" customHeight="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" customHeigh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" customHeight="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" customHeigh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" customHeigh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" customHeight="1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" customHeigh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" customHeigh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" customHeight="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" customHeight="1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" customHeight="1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" customHeight="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" customHeigh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" customHeight="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" customHeight="1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" customHeight="1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" customHeight="1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" customHeight="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" customHeight="1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" customHeight="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" customHeight="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" customHeight="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" customHeight="1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" customHeight="1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" customHeight="1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" customHeight="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" customHeight="1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" customHeight="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" customHeight="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" customHeight="1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" customHeight="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" customHeight="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" customHeight="1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" customHeight="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" customHeight="1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</sheetData>
  <pageMargins left="0.3" right="0.3" top="0.4" bottom="0.4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93B"/>
    <pageSetUpPr fitToPage="1"/>
  </sheetPr>
  <dimension ref="A1:AD10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3.2" x14ac:dyDescent="0.25"/>
  <cols>
    <col min="1" max="20" width="14" customWidth="1"/>
    <col min="21" max="21" width="13" customWidth="1"/>
    <col min="22" max="22" width="12" customWidth="1"/>
    <col min="23" max="23" width="14" customWidth="1"/>
    <col min="24" max="24" width="12" customWidth="1"/>
    <col min="25" max="26" width="15" customWidth="1"/>
    <col min="27" max="27" width="16" customWidth="1"/>
    <col min="28" max="28" width="40" customWidth="1"/>
    <col min="29" max="29" width="16" customWidth="1"/>
    <col min="30" max="30" width="15" customWidth="1"/>
  </cols>
  <sheetData>
    <row r="1" spans="1:30" ht="25.5" customHeight="1" x14ac:dyDescent="0.25">
      <c r="A1" s="58" t="s">
        <v>113</v>
      </c>
      <c r="B1" s="58" t="s">
        <v>338</v>
      </c>
      <c r="C1" s="58" t="s">
        <v>395</v>
      </c>
      <c r="D1" s="58" t="s">
        <v>396</v>
      </c>
      <c r="E1" s="58" t="s">
        <v>397</v>
      </c>
      <c r="F1" s="58" t="s">
        <v>398</v>
      </c>
      <c r="G1" s="58" t="s">
        <v>399</v>
      </c>
      <c r="H1" s="58" t="s">
        <v>400</v>
      </c>
      <c r="I1" s="58" t="s">
        <v>401</v>
      </c>
      <c r="J1" s="58" t="s">
        <v>402</v>
      </c>
      <c r="K1" s="58" t="s">
        <v>403</v>
      </c>
      <c r="L1" s="59" t="s">
        <v>404</v>
      </c>
      <c r="M1" s="59" t="s">
        <v>405</v>
      </c>
      <c r="N1" s="59" t="s">
        <v>406</v>
      </c>
      <c r="O1" s="59" t="s">
        <v>407</v>
      </c>
      <c r="P1" s="59" t="s">
        <v>408</v>
      </c>
      <c r="Q1" s="59" t="s">
        <v>409</v>
      </c>
      <c r="R1" s="59" t="s">
        <v>410</v>
      </c>
      <c r="S1" s="59" t="s">
        <v>411</v>
      </c>
      <c r="T1" s="59" t="s">
        <v>412</v>
      </c>
      <c r="U1" s="59" t="s">
        <v>413</v>
      </c>
      <c r="V1" s="59" t="s">
        <v>414</v>
      </c>
      <c r="W1" s="59" t="s">
        <v>415</v>
      </c>
      <c r="X1" s="59" t="s">
        <v>416</v>
      </c>
      <c r="Y1" s="59" t="s">
        <v>417</v>
      </c>
      <c r="Z1" s="59" t="s">
        <v>418</v>
      </c>
      <c r="AA1" s="59" t="s">
        <v>419</v>
      </c>
      <c r="AB1" s="59" t="s">
        <v>420</v>
      </c>
      <c r="AC1" s="59" t="s">
        <v>421</v>
      </c>
      <c r="AD1" s="59" t="s">
        <v>422</v>
      </c>
    </row>
    <row r="2" spans="1:30" ht="15" customHeight="1" x14ac:dyDescent="0.3">
      <c r="A2" s="41">
        <v>1</v>
      </c>
      <c r="B2" s="41" t="str">
        <f>Monthly_Deployment!C2</f>
        <v>Jul-26</v>
      </c>
      <c r="C2" s="65">
        <f>Revenue_36M!P2</f>
        <v>0</v>
      </c>
      <c r="D2" s="65">
        <f>Opex_36M!P2</f>
        <v>523</v>
      </c>
      <c r="E2" s="65">
        <f t="shared" ref="E2:E37" si="0">C2-D2</f>
        <v>-523</v>
      </c>
      <c r="F2" s="65">
        <f>Capex_36M!O2</f>
        <v>2450</v>
      </c>
      <c r="G2" s="65">
        <f t="shared" ref="G2:G37" si="1">E2-F2</f>
        <v>-2973</v>
      </c>
      <c r="H2" s="65">
        <f>0</f>
        <v>0</v>
      </c>
      <c r="I2" s="65">
        <f>MAX(Controls!$B$22+Controls!$B$111-(H2+G2),0)+IF(A2=1,Controls!$B$21*(Controls!$B$101+Controls!$B$104),0)</f>
        <v>40065.5</v>
      </c>
      <c r="J2" s="65">
        <f>MIN(I2,Controls!$B$100)</f>
        <v>40065.5</v>
      </c>
      <c r="K2" s="65">
        <f t="shared" ref="K2:K37" si="2">U2+V2</f>
        <v>0</v>
      </c>
      <c r="L2" s="65">
        <f>IF(A2=1,Controls!$B$21*(Controls!$B$101+Controls!$B$104),0)</f>
        <v>4880</v>
      </c>
      <c r="M2" s="65">
        <f t="shared" ref="M2:M37" si="3">J2+K2-L2</f>
        <v>35185.5</v>
      </c>
      <c r="N2" s="65">
        <f t="shared" ref="N2:N37" si="4">W2+X2</f>
        <v>0</v>
      </c>
      <c r="O2" s="65">
        <f>0</f>
        <v>0</v>
      </c>
      <c r="P2" s="65">
        <f>IF(A2&lt;=Controls!$B$109,0,N2+O2)</f>
        <v>0</v>
      </c>
      <c r="Q2" s="65">
        <f t="shared" ref="Q2:Q37" si="5">H2+G2+M2-P2</f>
        <v>32212.5</v>
      </c>
      <c r="R2" s="65">
        <f>0</f>
        <v>0</v>
      </c>
      <c r="S2" s="65">
        <f>IF(A2&lt;=Controls!$B$109,N2,0)</f>
        <v>0</v>
      </c>
      <c r="T2" s="65">
        <f t="shared" ref="T2:T37" si="6">Y2+Z2</f>
        <v>0</v>
      </c>
      <c r="U2" s="69">
        <f>MIN(I2-J2,Controls!$B$101)</f>
        <v>0</v>
      </c>
      <c r="V2" s="69">
        <f>MIN(I2-J2-U2,Controls!$B$104)</f>
        <v>0</v>
      </c>
      <c r="W2" s="69">
        <f>(0+U2/2)*Controls!$B$102/12</f>
        <v>0</v>
      </c>
      <c r="X2" s="69">
        <f>IF(AND(Controls!$B$107=1,A2&gt;=Controls!$B$108),0,(0+V2/2)*Controls!$B$105/12)</f>
        <v>0</v>
      </c>
      <c r="Y2" s="69">
        <f>0+U2+IF(A2&lt;=Controls!$B$109,W2,0)</f>
        <v>0</v>
      </c>
      <c r="Z2" s="69">
        <f>IF(AND(Controls!$B$107=1,A2&gt;=Controls!$B$108),0,0+V2+IF(A2&lt;=Controls!$B$109,X2,0))</f>
        <v>0</v>
      </c>
      <c r="AA2" s="12"/>
      <c r="AB2" s="70" t="str">
        <f>IF(A2=Controls!$B$103,"◀ Antalpha bullet due: R"&amp;TEXT(Y2,"#,##0")&amp;"k - refinance/convert",IF(AND(Controls!$B$107=1,A2&gt;=Controls!$B$108)*( A2=Controls!$B$108 ),"◀ DMTN converts to equity",""))</f>
        <v/>
      </c>
      <c r="AC2" s="71">
        <f>G2+IF(A2=36,Controls!$B$113,0)</f>
        <v>-2973</v>
      </c>
      <c r="AD2" s="71">
        <f>-J2+IF(A2=36,Q2+Controls!$B$113-T2,0)</f>
        <v>-40065.5</v>
      </c>
    </row>
    <row r="3" spans="1:30" ht="15" customHeight="1" x14ac:dyDescent="0.3">
      <c r="A3" s="41">
        <v>2</v>
      </c>
      <c r="B3" s="41" t="str">
        <f>Monthly_Deployment!C3</f>
        <v>Aug-26</v>
      </c>
      <c r="C3" s="65">
        <f>Revenue_36M!P3</f>
        <v>3175.7759773953862</v>
      </c>
      <c r="D3" s="65">
        <f>Opex_36M!P3</f>
        <v>2793.6887499999993</v>
      </c>
      <c r="E3" s="65">
        <f t="shared" si="0"/>
        <v>382.08722739538689</v>
      </c>
      <c r="F3" s="65">
        <f>Capex_36M!O3</f>
        <v>124501.71428571428</v>
      </c>
      <c r="G3" s="65">
        <f t="shared" si="1"/>
        <v>-124119.62705831889</v>
      </c>
      <c r="H3" s="65">
        <f t="shared" ref="H3:H37" si="7">Q2</f>
        <v>32212.5</v>
      </c>
      <c r="I3" s="65">
        <f>MAX(Controls!$B$22+Controls!$B$111-(H3+G3),0)+IF(A3=1,Controls!$B$21*(Controls!$B$101+Controls!$B$104),0)</f>
        <v>124119.62705831889</v>
      </c>
      <c r="J3" s="65">
        <f>MIN(I3,MAX(Controls!$B$100-SUM($J$2:J2),0))</f>
        <v>27934.5</v>
      </c>
      <c r="K3" s="65">
        <f t="shared" si="2"/>
        <v>96185.127058318889</v>
      </c>
      <c r="L3" s="65">
        <f>IF(A3=1,Controls!$B$21*(Controls!$B$101+Controls!$B$104),0)</f>
        <v>0</v>
      </c>
      <c r="M3" s="65">
        <f t="shared" si="3"/>
        <v>124119.62705831889</v>
      </c>
      <c r="N3" s="65">
        <f t="shared" si="4"/>
        <v>400.77136274299534</v>
      </c>
      <c r="O3" s="65">
        <f>0</f>
        <v>0</v>
      </c>
      <c r="P3" s="65">
        <f>IF(A3&lt;=Controls!$B$109,0,N3+O3)</f>
        <v>0</v>
      </c>
      <c r="Q3" s="65">
        <f t="shared" si="5"/>
        <v>32212.5</v>
      </c>
      <c r="R3" s="65">
        <f t="shared" ref="R3:R37" si="8">T2</f>
        <v>0</v>
      </c>
      <c r="S3" s="65">
        <f>IF(A3&lt;=Controls!$B$109,N3,0)</f>
        <v>400.77136274299534</v>
      </c>
      <c r="T3" s="65">
        <f t="shared" si="6"/>
        <v>96585.89842106188</v>
      </c>
      <c r="U3" s="69">
        <f>MIN(I3-J3,MAX(Controls!$B$101-SUM($U$2:U2),0))</f>
        <v>96185.127058318889</v>
      </c>
      <c r="V3" s="69">
        <f>MIN(I3-J3-U3,MAX(Controls!$B$104-SUM($V$2:V2),0))</f>
        <v>0</v>
      </c>
      <c r="W3" s="69">
        <f>(Y2+U3/2)*Controls!$B$102/12</f>
        <v>400.77136274299534</v>
      </c>
      <c r="X3" s="69">
        <f>IF(AND(Controls!$B$107=1,A3&gt;=Controls!$B$108),0,(Z2+V3/2)*Controls!$B$105/12)</f>
        <v>0</v>
      </c>
      <c r="Y3" s="69">
        <f>Y2+U3+IF(A3&lt;=Controls!$B$109,W3,0)</f>
        <v>96585.89842106188</v>
      </c>
      <c r="Z3" s="69">
        <f>IF(AND(Controls!$B$107=1,A3&gt;=Controls!$B$108),0,Z2+V3+IF(A3&lt;=Controls!$B$109,X3,0))</f>
        <v>0</v>
      </c>
      <c r="AA3" s="12"/>
      <c r="AB3" s="70" t="str">
        <f>IF(A3=Controls!$B$103,"◀ Antalpha bullet due: R"&amp;TEXT(Y3,"#,##0")&amp;"k - refinance/convert",IF(AND(Controls!$B$107=1,A3&gt;=Controls!$B$108)*( A3=Controls!$B$108 ),"◀ DMTN converts to equity",""))</f>
        <v/>
      </c>
      <c r="AC3" s="71">
        <f>G3+IF(A3=36,Controls!$B$113,0)</f>
        <v>-124119.62705831889</v>
      </c>
      <c r="AD3" s="71">
        <f>-J3+IF(A3=36,Q3+Controls!$B$113-T3,0)</f>
        <v>-27934.5</v>
      </c>
    </row>
    <row r="4" spans="1:30" ht="15" customHeight="1" x14ac:dyDescent="0.3">
      <c r="A4" s="41">
        <v>3</v>
      </c>
      <c r="B4" s="41" t="str">
        <f>Monthly_Deployment!C4</f>
        <v>Sept-26</v>
      </c>
      <c r="C4" s="65">
        <f>Revenue_36M!P4</f>
        <v>12184.365604518365</v>
      </c>
      <c r="D4" s="65">
        <f>Opex_36M!P4</f>
        <v>8418.875</v>
      </c>
      <c r="E4" s="65">
        <f t="shared" si="0"/>
        <v>3765.4906045183652</v>
      </c>
      <c r="F4" s="65">
        <f>Capex_36M!O4</f>
        <v>216129.42857142855</v>
      </c>
      <c r="G4" s="65">
        <f t="shared" si="1"/>
        <v>-212363.93796691019</v>
      </c>
      <c r="H4" s="65">
        <f t="shared" si="7"/>
        <v>32212.5</v>
      </c>
      <c r="I4" s="65">
        <f>MAX(Controls!$B$22+Controls!$B$111-(H4+G4),0)+IF(A4=1,Controls!$B$21*(Controls!$B$101+Controls!$B$104),0)</f>
        <v>212363.93796691019</v>
      </c>
      <c r="J4" s="65">
        <f>MIN(I4,MAX(Controls!$B$100-SUM($J$2:J3),0))</f>
        <v>0</v>
      </c>
      <c r="K4" s="65">
        <f t="shared" si="2"/>
        <v>212363.93796691019</v>
      </c>
      <c r="L4" s="65">
        <f>IF(A4=1,Controls!$B$21*(Controls!$B$101+Controls!$B$104),0)</f>
        <v>0</v>
      </c>
      <c r="M4" s="65">
        <f t="shared" si="3"/>
        <v>212363.93796691019</v>
      </c>
      <c r="N4" s="65">
        <f t="shared" si="4"/>
        <v>1755.8719768321271</v>
      </c>
      <c r="O4" s="65">
        <f>0</f>
        <v>0</v>
      </c>
      <c r="P4" s="65">
        <f>IF(A4&lt;=Controls!$B$109,0,N4+O4)</f>
        <v>0</v>
      </c>
      <c r="Q4" s="65">
        <f t="shared" si="5"/>
        <v>32212.5</v>
      </c>
      <c r="R4" s="65">
        <f t="shared" si="8"/>
        <v>96585.89842106188</v>
      </c>
      <c r="S4" s="65">
        <f>IF(A4&lt;=Controls!$B$109,N4,0)</f>
        <v>1755.8719768321271</v>
      </c>
      <c r="T4" s="65">
        <f t="shared" si="6"/>
        <v>310705.70836480416</v>
      </c>
      <c r="U4" s="69">
        <f>MIN(I4-J4,MAX(Controls!$B$101-SUM($U$2:U3),0))</f>
        <v>141814.87294168113</v>
      </c>
      <c r="V4" s="69">
        <f>MIN(I4-J4-U4,MAX(Controls!$B$104-SUM($V$2:V3),0))</f>
        <v>70549.065025229065</v>
      </c>
      <c r="W4" s="69">
        <f>(Y3+U4/2)*Controls!$B$102/12</f>
        <v>1395.7777907658538</v>
      </c>
      <c r="X4" s="69">
        <f>IF(AND(Controls!$B$107=1,A4&gt;=Controls!$B$108),0,(Z3+V4/2)*Controls!$B$105/12)</f>
        <v>360.09418606627332</v>
      </c>
      <c r="Y4" s="69">
        <f>Y3+U4+IF(A4&lt;=Controls!$B$109,W4,0)</f>
        <v>239796.54915350885</v>
      </c>
      <c r="Z4" s="69">
        <f>IF(AND(Controls!$B$107=1,A4&gt;=Controls!$B$108),0,Z3+V4+IF(A4&lt;=Controls!$B$109,X4,0))</f>
        <v>70909.159211295337</v>
      </c>
      <c r="AA4" s="12"/>
      <c r="AB4" s="70" t="str">
        <f>IF(A4=Controls!$B$103,"◀ Antalpha bullet due: R"&amp;TEXT(Y4,"#,##0")&amp;"k - refinance/convert",IF(AND(Controls!$B$107=1,A4&gt;=Controls!$B$108)*( A4=Controls!$B$108 ),"◀ DMTN converts to equity",""))</f>
        <v/>
      </c>
      <c r="AC4" s="71">
        <f>G4+IF(A4=36,Controls!$B$113,0)</f>
        <v>-212363.93796691019</v>
      </c>
      <c r="AD4" s="71">
        <f>-J4+IF(A4=36,Q4+Controls!$B$113-T4,0)</f>
        <v>0</v>
      </c>
    </row>
    <row r="5" spans="1:30" ht="15" customHeight="1" x14ac:dyDescent="0.3">
      <c r="A5" s="41">
        <v>4</v>
      </c>
      <c r="B5" s="41" t="str">
        <f>Monthly_Deployment!C5</f>
        <v>Oct-26</v>
      </c>
      <c r="C5" s="65">
        <f>Revenue_36M!P5</f>
        <v>21837.995674598045</v>
      </c>
      <c r="D5" s="65">
        <f>Opex_36M!P5</f>
        <v>12449.114583333332</v>
      </c>
      <c r="E5" s="65">
        <f t="shared" si="0"/>
        <v>9388.8810912647132</v>
      </c>
      <c r="F5" s="65">
        <f>Capex_36M!O5</f>
        <v>168375.71428571429</v>
      </c>
      <c r="G5" s="65">
        <f t="shared" si="1"/>
        <v>-158986.83319444957</v>
      </c>
      <c r="H5" s="65">
        <f t="shared" si="7"/>
        <v>32212.5</v>
      </c>
      <c r="I5" s="65">
        <f>MAX(Controls!$B$22+Controls!$B$111-(H5+G5),0)+IF(A5=1,Controls!$B$21*(Controls!$B$101+Controls!$B$104),0)</f>
        <v>158986.83319444957</v>
      </c>
      <c r="J5" s="65">
        <f>MIN(I5,MAX(Controls!$B$100-SUM($J$2:J4),0))</f>
        <v>0</v>
      </c>
      <c r="K5" s="65">
        <f t="shared" si="2"/>
        <v>158986.83319444957</v>
      </c>
      <c r="L5" s="65">
        <f>IF(A5=1,Controls!$B$21*(Controls!$B$101+Controls!$B$104),0)</f>
        <v>0</v>
      </c>
      <c r="M5" s="65">
        <f t="shared" si="3"/>
        <v>158986.83319444957</v>
      </c>
      <c r="N5" s="65">
        <f t="shared" si="4"/>
        <v>3533.6642043245502</v>
      </c>
      <c r="O5" s="65">
        <f>0</f>
        <v>0</v>
      </c>
      <c r="P5" s="65">
        <f>IF(A5&lt;=Controls!$B$109,0,N5+O5)</f>
        <v>0</v>
      </c>
      <c r="Q5" s="65">
        <f t="shared" si="5"/>
        <v>32212.5</v>
      </c>
      <c r="R5" s="65">
        <f t="shared" si="8"/>
        <v>310705.70836480416</v>
      </c>
      <c r="S5" s="65">
        <f>IF(A5&lt;=Controls!$B$109,N5,0)</f>
        <v>3533.6642043245502</v>
      </c>
      <c r="T5" s="65">
        <f t="shared" si="6"/>
        <v>473226.2057635783</v>
      </c>
      <c r="U5" s="69">
        <f>MIN(I5-J5,MAX(Controls!$B$101-SUM($U$2:U4),0))</f>
        <v>0</v>
      </c>
      <c r="V5" s="69">
        <f>MIN(I5-J5-U5,MAX(Controls!$B$104-SUM($V$2:V4),0))</f>
        <v>158986.83319444957</v>
      </c>
      <c r="W5" s="69">
        <f>(Y4+U5/2)*Controls!$B$102/12</f>
        <v>1998.3045762792406</v>
      </c>
      <c r="X5" s="69">
        <f>IF(AND(Controls!$B$107=1,A5&gt;=Controls!$B$108),0,(Z4+V5/2)*Controls!$B$105/12)</f>
        <v>1535.3596280453096</v>
      </c>
      <c r="Y5" s="69">
        <f>Y4+U5+IF(A5&lt;=Controls!$B$109,W5,0)</f>
        <v>241794.8537297881</v>
      </c>
      <c r="Z5" s="69">
        <f>IF(AND(Controls!$B$107=1,A5&gt;=Controls!$B$108),0,Z4+V5+IF(A5&lt;=Controls!$B$109,X5,0))</f>
        <v>231431.35203379023</v>
      </c>
      <c r="AA5" s="12"/>
      <c r="AB5" s="70" t="str">
        <f>IF(A5=Controls!$B$103,"◀ Antalpha bullet due: R"&amp;TEXT(Y5,"#,##0")&amp;"k - refinance/convert",IF(AND(Controls!$B$107=1,A5&gt;=Controls!$B$108)*( A5=Controls!$B$108 ),"◀ DMTN converts to equity",""))</f>
        <v/>
      </c>
      <c r="AC5" s="71">
        <f>G5+IF(A5=36,Controls!$B$113,0)</f>
        <v>-158986.83319444957</v>
      </c>
      <c r="AD5" s="71">
        <f>-J5+IF(A5=36,Q5+Controls!$B$113-T5,0)</f>
        <v>0</v>
      </c>
    </row>
    <row r="6" spans="1:30" ht="15" customHeight="1" x14ac:dyDescent="0.3">
      <c r="A6" s="41">
        <v>5</v>
      </c>
      <c r="B6" s="41" t="str">
        <f>Monthly_Deployment!C6</f>
        <v>Nov-26</v>
      </c>
      <c r="C6" s="65">
        <f>Revenue_36M!P6</f>
        <v>23938.311510860371</v>
      </c>
      <c r="D6" s="65">
        <f>Opex_36M!P6</f>
        <v>12353.016666666666</v>
      </c>
      <c r="E6" s="65">
        <f t="shared" si="0"/>
        <v>11585.294844193704</v>
      </c>
      <c r="F6" s="65">
        <f>Capex_36M!O6</f>
        <v>0</v>
      </c>
      <c r="G6" s="65">
        <f t="shared" si="1"/>
        <v>11585.294844193704</v>
      </c>
      <c r="H6" s="65">
        <f t="shared" si="7"/>
        <v>32212.5</v>
      </c>
      <c r="I6" s="65">
        <f>MAX(Controls!$B$22+Controls!$B$111-(H6+G6),0)+IF(A6=1,Controls!$B$21*(Controls!$B$101+Controls!$B$104),0)</f>
        <v>0</v>
      </c>
      <c r="J6" s="65">
        <f>MIN(I6,MAX(Controls!$B$100-SUM($J$2:J5),0))</f>
        <v>0</v>
      </c>
      <c r="K6" s="65">
        <f t="shared" si="2"/>
        <v>0</v>
      </c>
      <c r="L6" s="65">
        <f>IF(A6=1,Controls!$B$21*(Controls!$B$101+Controls!$B$104),0)</f>
        <v>0</v>
      </c>
      <c r="M6" s="65">
        <f t="shared" si="3"/>
        <v>0</v>
      </c>
      <c r="N6" s="65">
        <f t="shared" si="4"/>
        <v>4377.4854997598432</v>
      </c>
      <c r="O6" s="65">
        <f>0</f>
        <v>0</v>
      </c>
      <c r="P6" s="65">
        <f>IF(A6&lt;=Controls!$B$109,0,N6+O6)</f>
        <v>0</v>
      </c>
      <c r="Q6" s="65">
        <f t="shared" si="5"/>
        <v>43797.794844193704</v>
      </c>
      <c r="R6" s="65">
        <f t="shared" si="8"/>
        <v>473226.2057635783</v>
      </c>
      <c r="S6" s="65">
        <f>IF(A6&lt;=Controls!$B$109,N6,0)</f>
        <v>4377.4854997598432</v>
      </c>
      <c r="T6" s="65">
        <f t="shared" si="6"/>
        <v>477603.6912633382</v>
      </c>
      <c r="U6" s="69">
        <f>MIN(I6-J6,MAX(Controls!$B$101-SUM($U$2:U5),0))</f>
        <v>0</v>
      </c>
      <c r="V6" s="69">
        <f>MIN(I6-J6-U6,MAX(Controls!$B$104-SUM($V$2:V5),0))</f>
        <v>0</v>
      </c>
      <c r="W6" s="69">
        <f>(Y5+U6/2)*Controls!$B$102/12</f>
        <v>2014.9571144149011</v>
      </c>
      <c r="X6" s="69">
        <f>IF(AND(Controls!$B$107=1,A6&gt;=Controls!$B$108),0,(Z5+V6/2)*Controls!$B$105/12)</f>
        <v>2362.5283853449419</v>
      </c>
      <c r="Y6" s="69">
        <f>Y5+U6+IF(A6&lt;=Controls!$B$109,W6,0)</f>
        <v>243809.81084420299</v>
      </c>
      <c r="Z6" s="69">
        <f>IF(AND(Controls!$B$107=1,A6&gt;=Controls!$B$108),0,Z5+V6+IF(A6&lt;=Controls!$B$109,X6,0))</f>
        <v>233793.88041913518</v>
      </c>
      <c r="AA6" s="12"/>
      <c r="AB6" s="70" t="str">
        <f>IF(A6=Controls!$B$103,"◀ Antalpha bullet due: R"&amp;TEXT(Y6,"#,##0")&amp;"k - refinance/convert",IF(AND(Controls!$B$107=1,A6&gt;=Controls!$B$108)*( A6=Controls!$B$108 ),"◀ DMTN converts to equity",""))</f>
        <v/>
      </c>
      <c r="AC6" s="71">
        <f>G6+IF(A6=36,Controls!$B$113,0)</f>
        <v>11585.294844193704</v>
      </c>
      <c r="AD6" s="71">
        <f>-J6+IF(A6=36,Q6+Controls!$B$113-T6,0)</f>
        <v>0</v>
      </c>
    </row>
    <row r="7" spans="1:30" ht="15" customHeight="1" x14ac:dyDescent="0.3">
      <c r="A7" s="41">
        <v>6</v>
      </c>
      <c r="B7" s="41" t="str">
        <f>Monthly_Deployment!C7</f>
        <v>Dec-26</v>
      </c>
      <c r="C7" s="65">
        <f>Revenue_36M!P7</f>
        <v>24516.646113020674</v>
      </c>
      <c r="D7" s="65">
        <f>Opex_36M!P7</f>
        <v>12687.096666666666</v>
      </c>
      <c r="E7" s="65">
        <f t="shared" si="0"/>
        <v>11829.549446354007</v>
      </c>
      <c r="F7" s="65">
        <f>Capex_36M!O7</f>
        <v>0</v>
      </c>
      <c r="G7" s="65">
        <f t="shared" si="1"/>
        <v>11829.549446354007</v>
      </c>
      <c r="H7" s="65">
        <f t="shared" si="7"/>
        <v>43797.794844193704</v>
      </c>
      <c r="I7" s="65">
        <f>MAX(Controls!$B$22+Controls!$B$111-(H7+G7),0)+IF(A7=1,Controls!$B$21*(Controls!$B$101+Controls!$B$104),0)</f>
        <v>0</v>
      </c>
      <c r="J7" s="65">
        <f>MIN(I7,MAX(Controls!$B$100-SUM($J$2:J6),0))</f>
        <v>0</v>
      </c>
      <c r="K7" s="65">
        <f t="shared" si="2"/>
        <v>0</v>
      </c>
      <c r="L7" s="65">
        <f>IF(A7=1,Controls!$B$21*(Controls!$B$101+Controls!$B$104),0)</f>
        <v>0</v>
      </c>
      <c r="M7" s="65">
        <f t="shared" si="3"/>
        <v>0</v>
      </c>
      <c r="N7" s="65">
        <f t="shared" si="4"/>
        <v>4418.3942863136972</v>
      </c>
      <c r="O7" s="65">
        <f>0</f>
        <v>0</v>
      </c>
      <c r="P7" s="65">
        <f>IF(A7&lt;=Controls!$B$109,0,N7+O7)</f>
        <v>0</v>
      </c>
      <c r="Q7" s="65">
        <f t="shared" si="5"/>
        <v>55627.344290547713</v>
      </c>
      <c r="R7" s="65">
        <f t="shared" si="8"/>
        <v>477603.6912633382</v>
      </c>
      <c r="S7" s="65">
        <f>IF(A7&lt;=Controls!$B$109,N7,0)</f>
        <v>4418.3942863136972</v>
      </c>
      <c r="T7" s="65">
        <f t="shared" si="6"/>
        <v>482022.08554965188</v>
      </c>
      <c r="U7" s="69">
        <f>MIN(I7-J7,MAX(Controls!$B$101-SUM($U$2:U6),0))</f>
        <v>0</v>
      </c>
      <c r="V7" s="69">
        <f>MIN(I7-J7-U7,MAX(Controls!$B$104-SUM($V$2:V6),0))</f>
        <v>0</v>
      </c>
      <c r="W7" s="69">
        <f>(Y6+U7/2)*Controls!$B$102/12</f>
        <v>2031.7484237016918</v>
      </c>
      <c r="X7" s="69">
        <f>IF(AND(Controls!$B$107=1,A7&gt;=Controls!$B$108),0,(Z6+V7/2)*Controls!$B$105/12)</f>
        <v>2386.6458626120052</v>
      </c>
      <c r="Y7" s="69">
        <f>Y6+U7+IF(A7&lt;=Controls!$B$109,W7,0)</f>
        <v>245841.5592679047</v>
      </c>
      <c r="Z7" s="69">
        <f>IF(AND(Controls!$B$107=1,A7&gt;=Controls!$B$108),0,Z6+V7+IF(A7&lt;=Controls!$B$109,X7,0))</f>
        <v>236180.52628174718</v>
      </c>
      <c r="AA7" s="12"/>
      <c r="AB7" s="70" t="str">
        <f>IF(A7=Controls!$B$103,"◀ Antalpha bullet due: R"&amp;TEXT(Y7,"#,##0")&amp;"k - refinance/convert",IF(AND(Controls!$B$107=1,A7&gt;=Controls!$B$108)*( A7=Controls!$B$108 ),"◀ DMTN converts to equity",""))</f>
        <v/>
      </c>
      <c r="AC7" s="71">
        <f>G7+IF(A7=36,Controls!$B$113,0)</f>
        <v>11829.549446354007</v>
      </c>
      <c r="AD7" s="71">
        <f>-J7+IF(A7=36,Q7+Controls!$B$113-T7,0)</f>
        <v>0</v>
      </c>
    </row>
    <row r="8" spans="1:30" ht="15" customHeight="1" x14ac:dyDescent="0.3">
      <c r="A8" s="41">
        <v>7</v>
      </c>
      <c r="B8" s="41" t="str">
        <f>Monthly_Deployment!C8</f>
        <v>Jan-27</v>
      </c>
      <c r="C8" s="65">
        <f>Revenue_36M!P8</f>
        <v>24298.868282643478</v>
      </c>
      <c r="D8" s="65">
        <f>Opex_36M!P8</f>
        <v>12687.096666666666</v>
      </c>
      <c r="E8" s="65">
        <f t="shared" si="0"/>
        <v>11611.771615976812</v>
      </c>
      <c r="F8" s="65">
        <f>Capex_36M!O8</f>
        <v>0</v>
      </c>
      <c r="G8" s="65">
        <f t="shared" si="1"/>
        <v>11611.771615976812</v>
      </c>
      <c r="H8" s="65">
        <f t="shared" si="7"/>
        <v>55627.344290547713</v>
      </c>
      <c r="I8" s="65">
        <f>MAX(Controls!$B$22+Controls!$B$111-(H8+G8),0)+IF(A8=1,Controls!$B$21*(Controls!$B$101+Controls!$B$104),0)</f>
        <v>0</v>
      </c>
      <c r="J8" s="65">
        <f>MIN(I8,MAX(Controls!$B$100-SUM($J$2:J7),0))</f>
        <v>0</v>
      </c>
      <c r="K8" s="65">
        <f t="shared" si="2"/>
        <v>0</v>
      </c>
      <c r="L8" s="65">
        <f>IF(A8=1,Controls!$B$21*(Controls!$B$101+Controls!$B$104),0)</f>
        <v>0</v>
      </c>
      <c r="M8" s="65">
        <f t="shared" si="3"/>
        <v>0</v>
      </c>
      <c r="N8" s="65">
        <f t="shared" si="4"/>
        <v>4459.6891996920413</v>
      </c>
      <c r="O8" s="65">
        <f>0</f>
        <v>0</v>
      </c>
      <c r="P8" s="65">
        <f>IF(A8&lt;=Controls!$B$109,0,N8+O8)</f>
        <v>4459.6891996920413</v>
      </c>
      <c r="Q8" s="65">
        <f t="shared" si="5"/>
        <v>62779.426706832492</v>
      </c>
      <c r="R8" s="65">
        <f t="shared" si="8"/>
        <v>482022.08554965188</v>
      </c>
      <c r="S8" s="65">
        <f>IF(A8&lt;=Controls!$B$109,N8,0)</f>
        <v>0</v>
      </c>
      <c r="T8" s="65">
        <f t="shared" si="6"/>
        <v>482022.08554965188</v>
      </c>
      <c r="U8" s="69">
        <f>MIN(I8-J8,MAX(Controls!$B$101-SUM($U$2:U7),0))</f>
        <v>0</v>
      </c>
      <c r="V8" s="69">
        <f>MIN(I8-J8-U8,MAX(Controls!$B$104-SUM($V$2:V7),0))</f>
        <v>0</v>
      </c>
      <c r="W8" s="69">
        <f>(Y7+U8/2)*Controls!$B$102/12</f>
        <v>2048.6796605658724</v>
      </c>
      <c r="X8" s="69">
        <f>IF(AND(Controls!$B$107=1,A8&gt;=Controls!$B$108),0,(Z7+V8/2)*Controls!$B$105/12)</f>
        <v>2411.0095391261689</v>
      </c>
      <c r="Y8" s="69">
        <f>Y7+U8+IF(A8&lt;=Controls!$B$109,W8,0)</f>
        <v>245841.5592679047</v>
      </c>
      <c r="Z8" s="69">
        <f>IF(AND(Controls!$B$107=1,A8&gt;=Controls!$B$108),0,Z7+V8+IF(A8&lt;=Controls!$B$109,X8,0))</f>
        <v>236180.52628174718</v>
      </c>
      <c r="AA8" s="12"/>
      <c r="AB8" s="70" t="str">
        <f>IF(A8=Controls!$B$103,"◀ Antalpha bullet due: R"&amp;TEXT(Y8,"#,##0")&amp;"k - refinance/convert",IF(AND(Controls!$B$107=1,A8&gt;=Controls!$B$108)*( A8=Controls!$B$108 ),"◀ DMTN converts to equity",""))</f>
        <v/>
      </c>
      <c r="AC8" s="71">
        <f>G8+IF(A8=36,Controls!$B$113,0)</f>
        <v>11611.771615976812</v>
      </c>
      <c r="AD8" s="71">
        <f>-J8+IF(A8=36,Q8+Controls!$B$113-T8,0)</f>
        <v>0</v>
      </c>
    </row>
    <row r="9" spans="1:30" ht="15" customHeight="1" x14ac:dyDescent="0.3">
      <c r="A9" s="41">
        <v>8</v>
      </c>
      <c r="B9" s="41" t="str">
        <f>Monthly_Deployment!C9</f>
        <v>Feb-27</v>
      </c>
      <c r="C9" s="65">
        <f>Revenue_36M!P9</f>
        <v>21752.304089618956</v>
      </c>
      <c r="D9" s="65">
        <f>Opex_36M!P9</f>
        <v>11684.856666666667</v>
      </c>
      <c r="E9" s="65">
        <f t="shared" si="0"/>
        <v>10067.447422952289</v>
      </c>
      <c r="F9" s="65">
        <f>Capex_36M!O9</f>
        <v>0</v>
      </c>
      <c r="G9" s="65">
        <f t="shared" si="1"/>
        <v>10067.447422952289</v>
      </c>
      <c r="H9" s="65">
        <f t="shared" si="7"/>
        <v>62779.426706832492</v>
      </c>
      <c r="I9" s="65">
        <f>MAX(Controls!$B$22+Controls!$B$111-(H9+G9),0)+IF(A9=1,Controls!$B$21*(Controls!$B$101+Controls!$B$104),0)</f>
        <v>0</v>
      </c>
      <c r="J9" s="65">
        <f>MIN(I9,MAX(Controls!$B$100-SUM($J$2:J8),0))</f>
        <v>0</v>
      </c>
      <c r="K9" s="65">
        <f t="shared" si="2"/>
        <v>0</v>
      </c>
      <c r="L9" s="65">
        <f>IF(A9=1,Controls!$B$21*(Controls!$B$101+Controls!$B$104),0)</f>
        <v>0</v>
      </c>
      <c r="M9" s="65">
        <f t="shared" si="3"/>
        <v>0</v>
      </c>
      <c r="N9" s="65">
        <f t="shared" si="4"/>
        <v>4459.6891996920413</v>
      </c>
      <c r="O9" s="65">
        <f>0</f>
        <v>0</v>
      </c>
      <c r="P9" s="65">
        <f>IF(A9&lt;=Controls!$B$109,0,N9+O9)</f>
        <v>4459.6891996920413</v>
      </c>
      <c r="Q9" s="65">
        <f t="shared" si="5"/>
        <v>68387.184930092742</v>
      </c>
      <c r="R9" s="65">
        <f t="shared" si="8"/>
        <v>482022.08554965188</v>
      </c>
      <c r="S9" s="65">
        <f>IF(A9&lt;=Controls!$B$109,N9,0)</f>
        <v>0</v>
      </c>
      <c r="T9" s="65">
        <f t="shared" si="6"/>
        <v>482022.08554965188</v>
      </c>
      <c r="U9" s="69">
        <f>MIN(I9-J9,MAX(Controls!$B$101-SUM($U$2:U8),0))</f>
        <v>0</v>
      </c>
      <c r="V9" s="69">
        <f>MIN(I9-J9-U9,MAX(Controls!$B$104-SUM($V$2:V8),0))</f>
        <v>0</v>
      </c>
      <c r="W9" s="69">
        <f>(Y8+U9/2)*Controls!$B$102/12</f>
        <v>2048.6796605658724</v>
      </c>
      <c r="X9" s="69">
        <f>IF(AND(Controls!$B$107=1,A9&gt;=Controls!$B$108),0,(Z8+V9/2)*Controls!$B$105/12)</f>
        <v>2411.0095391261689</v>
      </c>
      <c r="Y9" s="69">
        <f>Y8+U9+IF(A9&lt;=Controls!$B$109,W9,0)</f>
        <v>245841.5592679047</v>
      </c>
      <c r="Z9" s="69">
        <f>IF(AND(Controls!$B$107=1,A9&gt;=Controls!$B$108),0,Z8+V9+IF(A9&lt;=Controls!$B$109,X9,0))</f>
        <v>236180.52628174718</v>
      </c>
      <c r="AA9" s="12"/>
      <c r="AB9" s="70" t="str">
        <f>IF(A9=Controls!$B$103,"◀ Antalpha bullet due: R"&amp;TEXT(Y9,"#,##0")&amp;"k - refinance/convert",IF(AND(Controls!$B$107=1,A9&gt;=Controls!$B$108)*( A9=Controls!$B$108 ),"◀ DMTN converts to equity",""))</f>
        <v/>
      </c>
      <c r="AC9" s="71">
        <f>G9+IF(A9=36,Controls!$B$113,0)</f>
        <v>10067.447422952289</v>
      </c>
      <c r="AD9" s="71">
        <f>-J9+IF(A9=36,Q9+Controls!$B$113-T9,0)</f>
        <v>0</v>
      </c>
    </row>
    <row r="10" spans="1:30" ht="15" customHeight="1" x14ac:dyDescent="0.3">
      <c r="A10" s="41">
        <v>9</v>
      </c>
      <c r="B10" s="41" t="str">
        <f>Monthly_Deployment!C10</f>
        <v>Mar-27</v>
      </c>
      <c r="C10" s="65">
        <f>Revenue_36M!P10</f>
        <v>23868.75200279109</v>
      </c>
      <c r="D10" s="65">
        <f>Opex_36M!P10</f>
        <v>12687.096666666666</v>
      </c>
      <c r="E10" s="65">
        <f t="shared" si="0"/>
        <v>11181.655336124424</v>
      </c>
      <c r="F10" s="65">
        <f>Capex_36M!O10</f>
        <v>0</v>
      </c>
      <c r="G10" s="65">
        <f t="shared" si="1"/>
        <v>11181.655336124424</v>
      </c>
      <c r="H10" s="65">
        <f t="shared" si="7"/>
        <v>68387.184930092742</v>
      </c>
      <c r="I10" s="65">
        <f>MAX(Controls!$B$22+Controls!$B$111-(H10+G10),0)+IF(A10=1,Controls!$B$21*(Controls!$B$101+Controls!$B$104),0)</f>
        <v>0</v>
      </c>
      <c r="J10" s="65">
        <f>MIN(I10,MAX(Controls!$B$100-SUM($J$2:J9),0))</f>
        <v>0</v>
      </c>
      <c r="K10" s="65">
        <f t="shared" si="2"/>
        <v>0</v>
      </c>
      <c r="L10" s="65">
        <f>IF(A10=1,Controls!$B$21*(Controls!$B$101+Controls!$B$104),0)</f>
        <v>0</v>
      </c>
      <c r="M10" s="65">
        <f t="shared" si="3"/>
        <v>0</v>
      </c>
      <c r="N10" s="65">
        <f t="shared" si="4"/>
        <v>4459.6891996920413</v>
      </c>
      <c r="O10" s="65">
        <f>0</f>
        <v>0</v>
      </c>
      <c r="P10" s="65">
        <f>IF(A10&lt;=Controls!$B$109,0,N10+O10)</f>
        <v>4459.6891996920413</v>
      </c>
      <c r="Q10" s="65">
        <f t="shared" si="5"/>
        <v>75109.151066525126</v>
      </c>
      <c r="R10" s="65">
        <f t="shared" si="8"/>
        <v>482022.08554965188</v>
      </c>
      <c r="S10" s="65">
        <f>IF(A10&lt;=Controls!$B$109,N10,0)</f>
        <v>0</v>
      </c>
      <c r="T10" s="65">
        <f t="shared" si="6"/>
        <v>482022.08554965188</v>
      </c>
      <c r="U10" s="69">
        <f>MIN(I10-J10,MAX(Controls!$B$101-SUM($U$2:U9),0))</f>
        <v>0</v>
      </c>
      <c r="V10" s="69">
        <f>MIN(I10-J10-U10,MAX(Controls!$B$104-SUM($V$2:V9),0))</f>
        <v>0</v>
      </c>
      <c r="W10" s="69">
        <f>(Y9+U10/2)*Controls!$B$102/12</f>
        <v>2048.6796605658724</v>
      </c>
      <c r="X10" s="69">
        <f>IF(AND(Controls!$B$107=1,A10&gt;=Controls!$B$108),0,(Z9+V10/2)*Controls!$B$105/12)</f>
        <v>2411.0095391261689</v>
      </c>
      <c r="Y10" s="69">
        <f>Y9+U10+IF(A10&lt;=Controls!$B$109,W10,0)</f>
        <v>245841.5592679047</v>
      </c>
      <c r="Z10" s="69">
        <f>IF(AND(Controls!$B$107=1,A10&gt;=Controls!$B$108),0,Z9+V10+IF(A10&lt;=Controls!$B$109,X10,0))</f>
        <v>236180.52628174718</v>
      </c>
      <c r="AA10" s="12"/>
      <c r="AB10" s="70" t="str">
        <f>IF(A10=Controls!$B$103,"◀ Antalpha bullet due: R"&amp;TEXT(Y10,"#,##0")&amp;"k - refinance/convert",IF(AND(Controls!$B$107=1,A10&gt;=Controls!$B$108)*( A10=Controls!$B$108 ),"◀ DMTN converts to equity",""))</f>
        <v/>
      </c>
      <c r="AC10" s="71">
        <f>G10+IF(A10=36,Controls!$B$113,0)</f>
        <v>11181.655336124424</v>
      </c>
      <c r="AD10" s="71">
        <f>-J10+IF(A10=36,Q10+Controls!$B$113-T10,0)</f>
        <v>0</v>
      </c>
    </row>
    <row r="11" spans="1:30" ht="15" customHeight="1" x14ac:dyDescent="0.3">
      <c r="A11" s="41">
        <v>10</v>
      </c>
      <c r="B11" s="41" t="str">
        <f>Monthly_Deployment!C11</f>
        <v>Apr-27</v>
      </c>
      <c r="C11" s="65">
        <f>Revenue_36M!P11</f>
        <v>22893.277268631573</v>
      </c>
      <c r="D11" s="65">
        <f>Opex_36M!P11</f>
        <v>12353.016666666666</v>
      </c>
      <c r="E11" s="65">
        <f t="shared" si="0"/>
        <v>10540.260601964907</v>
      </c>
      <c r="F11" s="65">
        <f>Capex_36M!O11</f>
        <v>0</v>
      </c>
      <c r="G11" s="65">
        <f t="shared" si="1"/>
        <v>10540.260601964907</v>
      </c>
      <c r="H11" s="65">
        <f t="shared" si="7"/>
        <v>75109.151066525126</v>
      </c>
      <c r="I11" s="65">
        <f>MAX(Controls!$B$22+Controls!$B$111-(H11+G11),0)+IF(A11=1,Controls!$B$21*(Controls!$B$101+Controls!$B$104),0)</f>
        <v>0</v>
      </c>
      <c r="J11" s="65">
        <f>MIN(I11,MAX(Controls!$B$100-SUM($J$2:J10),0))</f>
        <v>0</v>
      </c>
      <c r="K11" s="65">
        <f t="shared" si="2"/>
        <v>0</v>
      </c>
      <c r="L11" s="65">
        <f>IF(A11=1,Controls!$B$21*(Controls!$B$101+Controls!$B$104),0)</f>
        <v>0</v>
      </c>
      <c r="M11" s="65">
        <f t="shared" si="3"/>
        <v>0</v>
      </c>
      <c r="N11" s="65">
        <f t="shared" si="4"/>
        <v>4459.6891996920413</v>
      </c>
      <c r="O11" s="65">
        <f>0</f>
        <v>0</v>
      </c>
      <c r="P11" s="65">
        <f>IF(A11&lt;=Controls!$B$109,0,N11+O11)</f>
        <v>4459.6891996920413</v>
      </c>
      <c r="Q11" s="65">
        <f t="shared" si="5"/>
        <v>81189.722468797991</v>
      </c>
      <c r="R11" s="65">
        <f t="shared" si="8"/>
        <v>482022.08554965188</v>
      </c>
      <c r="S11" s="65">
        <f>IF(A11&lt;=Controls!$B$109,N11,0)</f>
        <v>0</v>
      </c>
      <c r="T11" s="65">
        <f t="shared" si="6"/>
        <v>482022.08554965188</v>
      </c>
      <c r="U11" s="69">
        <f>MIN(I11-J11,MAX(Controls!$B$101-SUM($U$2:U10),0))</f>
        <v>0</v>
      </c>
      <c r="V11" s="69">
        <f>MIN(I11-J11-U11,MAX(Controls!$B$104-SUM($V$2:V10),0))</f>
        <v>0</v>
      </c>
      <c r="W11" s="69">
        <f>(Y10+U11/2)*Controls!$B$102/12</f>
        <v>2048.6796605658724</v>
      </c>
      <c r="X11" s="69">
        <f>IF(AND(Controls!$B$107=1,A11&gt;=Controls!$B$108),0,(Z10+V11/2)*Controls!$B$105/12)</f>
        <v>2411.0095391261689</v>
      </c>
      <c r="Y11" s="69">
        <f>Y10+U11+IF(A11&lt;=Controls!$B$109,W11,0)</f>
        <v>245841.5592679047</v>
      </c>
      <c r="Z11" s="69">
        <f>IF(AND(Controls!$B$107=1,A11&gt;=Controls!$B$108),0,Z10+V11+IF(A11&lt;=Controls!$B$109,X11,0))</f>
        <v>236180.52628174718</v>
      </c>
      <c r="AA11" s="12"/>
      <c r="AB11" s="70" t="str">
        <f>IF(A11=Controls!$B$103,"◀ Antalpha bullet due: R"&amp;TEXT(Y11,"#,##0")&amp;"k - refinance/convert",IF(AND(Controls!$B$107=1,A11&gt;=Controls!$B$108)*( A11=Controls!$B$108 ),"◀ DMTN converts to equity",""))</f>
        <v/>
      </c>
      <c r="AC11" s="71">
        <f>G11+IF(A11=36,Controls!$B$113,0)</f>
        <v>10540.260601964907</v>
      </c>
      <c r="AD11" s="71">
        <f>-J11+IF(A11=36,Q11+Controls!$B$113-T11,0)</f>
        <v>0</v>
      </c>
    </row>
    <row r="12" spans="1:30" ht="15" customHeight="1" x14ac:dyDescent="0.3">
      <c r="A12" s="41">
        <v>11</v>
      </c>
      <c r="B12" s="41" t="str">
        <f>Monthly_Deployment!C12</f>
        <v>May-27</v>
      </c>
      <c r="C12" s="65">
        <f>Revenue_36M!P12</f>
        <v>23445.798218643213</v>
      </c>
      <c r="D12" s="65">
        <f>Opex_36M!P12</f>
        <v>12687.096666666666</v>
      </c>
      <c r="E12" s="65">
        <f t="shared" si="0"/>
        <v>10758.701551976546</v>
      </c>
      <c r="F12" s="65">
        <f>Capex_36M!O12</f>
        <v>0</v>
      </c>
      <c r="G12" s="65">
        <f t="shared" si="1"/>
        <v>10758.701551976546</v>
      </c>
      <c r="H12" s="65">
        <f t="shared" si="7"/>
        <v>81189.722468797991</v>
      </c>
      <c r="I12" s="65">
        <f>MAX(Controls!$B$22+Controls!$B$111-(H12+G12),0)+IF(A12=1,Controls!$B$21*(Controls!$B$101+Controls!$B$104),0)</f>
        <v>0</v>
      </c>
      <c r="J12" s="65">
        <f>MIN(I12,MAX(Controls!$B$100-SUM($J$2:J11),0))</f>
        <v>0</v>
      </c>
      <c r="K12" s="65">
        <f t="shared" si="2"/>
        <v>0</v>
      </c>
      <c r="L12" s="65">
        <f>IF(A12=1,Controls!$B$21*(Controls!$B$101+Controls!$B$104),0)</f>
        <v>0</v>
      </c>
      <c r="M12" s="65">
        <f t="shared" si="3"/>
        <v>0</v>
      </c>
      <c r="N12" s="65">
        <f t="shared" si="4"/>
        <v>4459.6891996920413</v>
      </c>
      <c r="O12" s="65">
        <f>0</f>
        <v>0</v>
      </c>
      <c r="P12" s="65">
        <f>IF(A12&lt;=Controls!$B$109,0,N12+O12)</f>
        <v>4459.6891996920413</v>
      </c>
      <c r="Q12" s="65">
        <f t="shared" si="5"/>
        <v>87488.734821082486</v>
      </c>
      <c r="R12" s="65">
        <f t="shared" si="8"/>
        <v>482022.08554965188</v>
      </c>
      <c r="S12" s="65">
        <f>IF(A12&lt;=Controls!$B$109,N12,0)</f>
        <v>0</v>
      </c>
      <c r="T12" s="65">
        <f t="shared" si="6"/>
        <v>482022.08554965188</v>
      </c>
      <c r="U12" s="69">
        <f>MIN(I12-J12,MAX(Controls!$B$101-SUM($U$2:U11),0))</f>
        <v>0</v>
      </c>
      <c r="V12" s="69">
        <f>MIN(I12-J12-U12,MAX(Controls!$B$104-SUM($V$2:V11),0))</f>
        <v>0</v>
      </c>
      <c r="W12" s="69">
        <f>(Y11+U12/2)*Controls!$B$102/12</f>
        <v>2048.6796605658724</v>
      </c>
      <c r="X12" s="69">
        <f>IF(AND(Controls!$B$107=1,A12&gt;=Controls!$B$108),0,(Z11+V12/2)*Controls!$B$105/12)</f>
        <v>2411.0095391261689</v>
      </c>
      <c r="Y12" s="69">
        <f>Y11+U12+IF(A12&lt;=Controls!$B$109,W12,0)</f>
        <v>245841.5592679047</v>
      </c>
      <c r="Z12" s="69">
        <f>IF(AND(Controls!$B$107=1,A12&gt;=Controls!$B$108),0,Z11+V12+IF(A12&lt;=Controls!$B$109,X12,0))</f>
        <v>236180.52628174718</v>
      </c>
      <c r="AA12" s="12"/>
      <c r="AB12" s="70" t="str">
        <f>IF(A12=Controls!$B$103,"◀ Antalpha bullet due: R"&amp;TEXT(Y12,"#,##0")&amp;"k - refinance/convert",IF(AND(Controls!$B$107=1,A12&gt;=Controls!$B$108)*( A12=Controls!$B$108 ),"◀ DMTN converts to equity",""))</f>
        <v/>
      </c>
      <c r="AC12" s="71">
        <f>G12+IF(A12=36,Controls!$B$113,0)</f>
        <v>10758.701551976546</v>
      </c>
      <c r="AD12" s="71">
        <f>-J12+IF(A12=36,Q12+Controls!$B$113-T12,0)</f>
        <v>0</v>
      </c>
    </row>
    <row r="13" spans="1:30" ht="15" customHeight="1" x14ac:dyDescent="0.3">
      <c r="A13" s="41">
        <v>12</v>
      </c>
      <c r="B13" s="41" t="str">
        <f>Monthly_Deployment!C13</f>
        <v>Jun-27</v>
      </c>
      <c r="C13" s="65">
        <f>Revenue_36M!P13</f>
        <v>22487.3939984604</v>
      </c>
      <c r="D13" s="65">
        <f>Opex_36M!P13</f>
        <v>12353.016666666666</v>
      </c>
      <c r="E13" s="65">
        <f t="shared" si="0"/>
        <v>10134.377331793734</v>
      </c>
      <c r="F13" s="65">
        <f>Capex_36M!O13</f>
        <v>0</v>
      </c>
      <c r="G13" s="65">
        <f t="shared" si="1"/>
        <v>10134.377331793734</v>
      </c>
      <c r="H13" s="65">
        <f t="shared" si="7"/>
        <v>87488.734821082486</v>
      </c>
      <c r="I13" s="65">
        <f>MAX(Controls!$B$22+Controls!$B$111-(H13+G13),0)+IF(A13=1,Controls!$B$21*(Controls!$B$101+Controls!$B$104),0)</f>
        <v>0</v>
      </c>
      <c r="J13" s="65">
        <f>MIN(I13,MAX(Controls!$B$100-SUM($J$2:J12),0))</f>
        <v>0</v>
      </c>
      <c r="K13" s="65">
        <f t="shared" si="2"/>
        <v>0</v>
      </c>
      <c r="L13" s="65">
        <f>IF(A13=1,Controls!$B$21*(Controls!$B$101+Controls!$B$104),0)</f>
        <v>0</v>
      </c>
      <c r="M13" s="65">
        <f t="shared" si="3"/>
        <v>0</v>
      </c>
      <c r="N13" s="65">
        <f t="shared" si="4"/>
        <v>4459.6891996920413</v>
      </c>
      <c r="O13" s="65">
        <f>0</f>
        <v>0</v>
      </c>
      <c r="P13" s="65">
        <f>IF(A13&lt;=Controls!$B$109,0,N13+O13)</f>
        <v>4459.6891996920413</v>
      </c>
      <c r="Q13" s="65">
        <f t="shared" si="5"/>
        <v>93163.42295318417</v>
      </c>
      <c r="R13" s="65">
        <f t="shared" si="8"/>
        <v>482022.08554965188</v>
      </c>
      <c r="S13" s="65">
        <f>IF(A13&lt;=Controls!$B$109,N13,0)</f>
        <v>0</v>
      </c>
      <c r="T13" s="65">
        <f t="shared" si="6"/>
        <v>482022.08554965188</v>
      </c>
      <c r="U13" s="69">
        <f>MIN(I13-J13,MAX(Controls!$B$101-SUM($U$2:U12),0))</f>
        <v>0</v>
      </c>
      <c r="V13" s="69">
        <f>MIN(I13-J13-U13,MAX(Controls!$B$104-SUM($V$2:V12),0))</f>
        <v>0</v>
      </c>
      <c r="W13" s="69">
        <f>(Y12+U13/2)*Controls!$B$102/12</f>
        <v>2048.6796605658724</v>
      </c>
      <c r="X13" s="69">
        <f>IF(AND(Controls!$B$107=1,A13&gt;=Controls!$B$108),0,(Z12+V13/2)*Controls!$B$105/12)</f>
        <v>2411.0095391261689</v>
      </c>
      <c r="Y13" s="69">
        <f>Y12+U13+IF(A13&lt;=Controls!$B$109,W13,0)</f>
        <v>245841.5592679047</v>
      </c>
      <c r="Z13" s="69">
        <f>IF(AND(Controls!$B$107=1,A13&gt;=Controls!$B$108),0,Z12+V13+IF(A13&lt;=Controls!$B$109,X13,0))</f>
        <v>236180.52628174718</v>
      </c>
      <c r="AA13" s="12"/>
      <c r="AB13" s="70" t="str">
        <f>IF(A13=Controls!$B$103,"◀ Antalpha bullet due: R"&amp;TEXT(Y13,"#,##0")&amp;"k - refinance/convert",IF(AND(Controls!$B$107=1,A13&gt;=Controls!$B$108)*( A13=Controls!$B$108 ),"◀ DMTN converts to equity",""))</f>
        <v/>
      </c>
      <c r="AC13" s="71">
        <f>G13+IF(A13=36,Controls!$B$113,0)</f>
        <v>10134.377331793734</v>
      </c>
      <c r="AD13" s="71">
        <f>-J13+IF(A13=36,Q13+Controls!$B$113-T13,0)</f>
        <v>0</v>
      </c>
    </row>
    <row r="14" spans="1:30" ht="15" customHeight="1" x14ac:dyDescent="0.3">
      <c r="A14" s="41">
        <v>13</v>
      </c>
      <c r="B14" s="41" t="str">
        <f>Monthly_Deployment!C14</f>
        <v>Jul-27</v>
      </c>
      <c r="C14" s="65">
        <f>Revenue_36M!P14</f>
        <v>23029.899999999998</v>
      </c>
      <c r="D14" s="65">
        <f>Opex_36M!P14</f>
        <v>12687.096666666666</v>
      </c>
      <c r="E14" s="65">
        <f t="shared" si="0"/>
        <v>10342.803333333331</v>
      </c>
      <c r="F14" s="65">
        <f>Capex_36M!O14</f>
        <v>0</v>
      </c>
      <c r="G14" s="65">
        <f t="shared" si="1"/>
        <v>10342.803333333331</v>
      </c>
      <c r="H14" s="65">
        <f t="shared" si="7"/>
        <v>93163.42295318417</v>
      </c>
      <c r="I14" s="65">
        <f>MAX(Controls!$B$22+Controls!$B$111-(H14+G14),0)+IF(A14=1,Controls!$B$21*(Controls!$B$101+Controls!$B$104),0)</f>
        <v>0</v>
      </c>
      <c r="J14" s="65">
        <f>MIN(I14,MAX(Controls!$B$100-SUM($J$2:J13),0))</f>
        <v>0</v>
      </c>
      <c r="K14" s="65">
        <f t="shared" si="2"/>
        <v>0</v>
      </c>
      <c r="L14" s="65">
        <f>IF(A14=1,Controls!$B$21*(Controls!$B$101+Controls!$B$104),0)</f>
        <v>0</v>
      </c>
      <c r="M14" s="65">
        <f t="shared" si="3"/>
        <v>0</v>
      </c>
      <c r="N14" s="65">
        <f t="shared" si="4"/>
        <v>4459.6891996920413</v>
      </c>
      <c r="O14" s="65">
        <f>0</f>
        <v>0</v>
      </c>
      <c r="P14" s="65">
        <f>IF(A14&lt;=Controls!$B$109,0,N14+O14)</f>
        <v>4459.6891996920413</v>
      </c>
      <c r="Q14" s="65">
        <f t="shared" si="5"/>
        <v>99046.537086825454</v>
      </c>
      <c r="R14" s="65">
        <f t="shared" si="8"/>
        <v>482022.08554965188</v>
      </c>
      <c r="S14" s="65">
        <f>IF(A14&lt;=Controls!$B$109,N14,0)</f>
        <v>0</v>
      </c>
      <c r="T14" s="65">
        <f t="shared" si="6"/>
        <v>482022.08554965188</v>
      </c>
      <c r="U14" s="69">
        <f>MIN(I14-J14,MAX(Controls!$B$101-SUM($U$2:U13),0))</f>
        <v>0</v>
      </c>
      <c r="V14" s="69">
        <f>MIN(I14-J14-U14,MAX(Controls!$B$104-SUM($V$2:V13),0))</f>
        <v>0</v>
      </c>
      <c r="W14" s="69">
        <f>(Y13+U14/2)*Controls!$B$102/12</f>
        <v>2048.6796605658724</v>
      </c>
      <c r="X14" s="69">
        <f>IF(AND(Controls!$B$107=1,A14&gt;=Controls!$B$108),0,(Z13+V14/2)*Controls!$B$105/12)</f>
        <v>2411.0095391261689</v>
      </c>
      <c r="Y14" s="69">
        <f>Y13+U14+IF(A14&lt;=Controls!$B$109,W14,0)</f>
        <v>245841.5592679047</v>
      </c>
      <c r="Z14" s="69">
        <f>IF(AND(Controls!$B$107=1,A14&gt;=Controls!$B$108),0,Z13+V14+IF(A14&lt;=Controls!$B$109,X14,0))</f>
        <v>236180.52628174718</v>
      </c>
      <c r="AA14" s="72">
        <f>IF(SUM($P$3:P14)=0,"",SUM($E$3:E14)/SUM($P$3:P14))</f>
        <v>3.5745066339585727</v>
      </c>
      <c r="AB14" s="70" t="str">
        <f>IF(A14=Controls!$B$103,"◀ Antalpha bullet due: R"&amp;TEXT(Y14,"#,##0")&amp;"k - refinance/convert",IF(AND(Controls!$B$107=1,A14&gt;=Controls!$B$108)*( A14=Controls!$B$108 ),"◀ DMTN converts to equity",""))</f>
        <v/>
      </c>
      <c r="AC14" s="71">
        <f>G14+IF(A14=36,Controls!$B$113,0)</f>
        <v>10342.803333333331</v>
      </c>
      <c r="AD14" s="71">
        <f>-J14+IF(A14=36,Q14+Controls!$B$113-T14,0)</f>
        <v>0</v>
      </c>
    </row>
    <row r="15" spans="1:30" ht="15" customHeight="1" x14ac:dyDescent="0.3">
      <c r="A15" s="41">
        <v>14</v>
      </c>
      <c r="B15" s="41" t="str">
        <f>Monthly_Deployment!C15</f>
        <v>Aug-27</v>
      </c>
      <c r="C15" s="65">
        <f>Revenue_36M!P15</f>
        <v>22824.563650456377</v>
      </c>
      <c r="D15" s="65">
        <f>Opex_36M!P15</f>
        <v>12687.096666666666</v>
      </c>
      <c r="E15" s="65">
        <f t="shared" si="0"/>
        <v>10137.466983789711</v>
      </c>
      <c r="F15" s="65">
        <f>Capex_36M!O15</f>
        <v>0</v>
      </c>
      <c r="G15" s="65">
        <f t="shared" si="1"/>
        <v>10137.466983789711</v>
      </c>
      <c r="H15" s="65">
        <f t="shared" si="7"/>
        <v>99046.537086825454</v>
      </c>
      <c r="I15" s="65">
        <f>MAX(Controls!$B$22+Controls!$B$111-(H15+G15),0)+IF(A15=1,Controls!$B$21*(Controls!$B$101+Controls!$B$104),0)</f>
        <v>0</v>
      </c>
      <c r="J15" s="65">
        <f>MIN(I15,MAX(Controls!$B$100-SUM($J$2:J14),0))</f>
        <v>0</v>
      </c>
      <c r="K15" s="65">
        <f t="shared" si="2"/>
        <v>0</v>
      </c>
      <c r="L15" s="65">
        <f>IF(A15=1,Controls!$B$21*(Controls!$B$101+Controls!$B$104),0)</f>
        <v>0</v>
      </c>
      <c r="M15" s="65">
        <f t="shared" si="3"/>
        <v>0</v>
      </c>
      <c r="N15" s="65">
        <f t="shared" si="4"/>
        <v>4459.6891996920413</v>
      </c>
      <c r="O15" s="65">
        <f>0</f>
        <v>0</v>
      </c>
      <c r="P15" s="65">
        <f>IF(A15&lt;=Controls!$B$109,0,N15+O15)</f>
        <v>4459.6891996920413</v>
      </c>
      <c r="Q15" s="65">
        <f t="shared" si="5"/>
        <v>104724.31487092312</v>
      </c>
      <c r="R15" s="65">
        <f t="shared" si="8"/>
        <v>482022.08554965188</v>
      </c>
      <c r="S15" s="65">
        <f>IF(A15&lt;=Controls!$B$109,N15,0)</f>
        <v>0</v>
      </c>
      <c r="T15" s="65">
        <f t="shared" si="6"/>
        <v>482022.08554965188</v>
      </c>
      <c r="U15" s="69">
        <f>MIN(I15-J15,MAX(Controls!$B$101-SUM($U$2:U14),0))</f>
        <v>0</v>
      </c>
      <c r="V15" s="69">
        <f>MIN(I15-J15-U15,MAX(Controls!$B$104-SUM($V$2:V14),0))</f>
        <v>0</v>
      </c>
      <c r="W15" s="69">
        <f>(Y14+U15/2)*Controls!$B$102/12</f>
        <v>2048.6796605658724</v>
      </c>
      <c r="X15" s="69">
        <f>IF(AND(Controls!$B$107=1,A15&gt;=Controls!$B$108),0,(Z14+V15/2)*Controls!$B$105/12)</f>
        <v>2411.0095391261689</v>
      </c>
      <c r="Y15" s="69">
        <f>Y14+U15+IF(A15&lt;=Controls!$B$109,W15,0)</f>
        <v>245841.5592679047</v>
      </c>
      <c r="Z15" s="69">
        <f>IF(AND(Controls!$B$107=1,A15&gt;=Controls!$B$108),0,Z14+V15+IF(A15&lt;=Controls!$B$109,X15,0))</f>
        <v>236180.52628174718</v>
      </c>
      <c r="AA15" s="72">
        <f>IF(SUM($P$4:P15)=0,"",SUM($E$4:E15)/SUM($P$4:P15))</f>
        <v>3.4011254689178165</v>
      </c>
      <c r="AB15" s="70" t="str">
        <f>IF(A15=Controls!$B$103,"◀ Antalpha bullet due: R"&amp;TEXT(Y15,"#,##0")&amp;"k - refinance/convert",IF(AND(Controls!$B$107=1,A15&gt;=Controls!$B$108)*( A15=Controls!$B$108 ),"◀ DMTN converts to equity",""))</f>
        <v/>
      </c>
      <c r="AC15" s="71">
        <f>G15+IF(A15=36,Controls!$B$113,0)</f>
        <v>10137.466983789711</v>
      </c>
      <c r="AD15" s="71">
        <f>-J15+IF(A15=36,Q15+Controls!$B$113-T15,0)</f>
        <v>0</v>
      </c>
    </row>
    <row r="16" spans="1:30" ht="15" customHeight="1" x14ac:dyDescent="0.3">
      <c r="A16" s="41">
        <v>15</v>
      </c>
      <c r="B16" s="41" t="str">
        <f>Monthly_Deployment!C16</f>
        <v>Sept-27</v>
      </c>
      <c r="C16" s="65">
        <f>Revenue_36M!P16</f>
        <v>21891.243536117992</v>
      </c>
      <c r="D16" s="65">
        <f>Opex_36M!P16</f>
        <v>12353.016666666666</v>
      </c>
      <c r="E16" s="65">
        <f t="shared" si="0"/>
        <v>9538.2268694513259</v>
      </c>
      <c r="F16" s="65">
        <f>Capex_36M!O16</f>
        <v>0</v>
      </c>
      <c r="G16" s="65">
        <f t="shared" si="1"/>
        <v>9538.2268694513259</v>
      </c>
      <c r="H16" s="65">
        <f t="shared" si="7"/>
        <v>104724.31487092312</v>
      </c>
      <c r="I16" s="65">
        <f>MAX(Controls!$B$22+Controls!$B$111-(H16+G16),0)+IF(A16=1,Controls!$B$21*(Controls!$B$101+Controls!$B$104),0)</f>
        <v>0</v>
      </c>
      <c r="J16" s="65">
        <f>MIN(I16,MAX(Controls!$B$100-SUM($J$2:J15),0))</f>
        <v>0</v>
      </c>
      <c r="K16" s="65">
        <f t="shared" si="2"/>
        <v>0</v>
      </c>
      <c r="L16" s="65">
        <f>IF(A16=1,Controls!$B$21*(Controls!$B$101+Controls!$B$104),0)</f>
        <v>0</v>
      </c>
      <c r="M16" s="65">
        <f t="shared" si="3"/>
        <v>0</v>
      </c>
      <c r="N16" s="65">
        <f t="shared" si="4"/>
        <v>4459.6891996920413</v>
      </c>
      <c r="O16" s="65">
        <f>0</f>
        <v>0</v>
      </c>
      <c r="P16" s="65">
        <f>IF(A16&lt;=Controls!$B$109,0,N16+O16)</f>
        <v>4459.6891996920413</v>
      </c>
      <c r="Q16" s="65">
        <f t="shared" si="5"/>
        <v>109802.85254068239</v>
      </c>
      <c r="R16" s="65">
        <f t="shared" si="8"/>
        <v>482022.08554965188</v>
      </c>
      <c r="S16" s="65">
        <f>IF(A16&lt;=Controls!$B$109,N16,0)</f>
        <v>0</v>
      </c>
      <c r="T16" s="65">
        <f t="shared" si="6"/>
        <v>482022.08554965188</v>
      </c>
      <c r="U16" s="69">
        <f>MIN(I16-J16,MAX(Controls!$B$101-SUM($U$2:U15),0))</f>
        <v>0</v>
      </c>
      <c r="V16" s="69">
        <f>MIN(I16-J16-U16,MAX(Controls!$B$104-SUM($V$2:V15),0))</f>
        <v>0</v>
      </c>
      <c r="W16" s="69">
        <f>(Y15+U16/2)*Controls!$B$102/12</f>
        <v>2048.6796605658724</v>
      </c>
      <c r="X16" s="69">
        <f>IF(AND(Controls!$B$107=1,A16&gt;=Controls!$B$108),0,(Z15+V16/2)*Controls!$B$105/12)</f>
        <v>2411.0095391261689</v>
      </c>
      <c r="Y16" s="69">
        <f>Y15+U16+IF(A16&lt;=Controls!$B$109,W16,0)</f>
        <v>245841.5592679047</v>
      </c>
      <c r="Z16" s="69">
        <f>IF(AND(Controls!$B$107=1,A16&gt;=Controls!$B$108),0,Z15+V16+IF(A16&lt;=Controls!$B$109,X16,0))</f>
        <v>236180.52628174718</v>
      </c>
      <c r="AA16" s="72">
        <f>IF(SUM($P$5:P16)=0,"",SUM($E$5:E16)/SUM($P$5:P16))</f>
        <v>3.1670477155910173</v>
      </c>
      <c r="AB16" s="70" t="str">
        <f>IF(A16=Controls!$B$103,"◀ Antalpha bullet due: R"&amp;TEXT(Y16,"#,##0")&amp;"k - refinance/convert",IF(AND(Controls!$B$107=1,A16&gt;=Controls!$B$108)*( A16=Controls!$B$108 ),"◀ DMTN converts to equity",""))</f>
        <v/>
      </c>
      <c r="AC16" s="71">
        <f>G16+IF(A16=36,Controls!$B$113,0)</f>
        <v>9538.2268694513259</v>
      </c>
      <c r="AD16" s="71">
        <f>-J16+IF(A16=36,Q16+Controls!$B$113-T16,0)</f>
        <v>0</v>
      </c>
    </row>
    <row r="17" spans="1:30" ht="15" customHeight="1" x14ac:dyDescent="0.3">
      <c r="A17" s="41">
        <v>16</v>
      </c>
      <c r="B17" s="41" t="str">
        <f>Monthly_Deployment!C17</f>
        <v>Oct-27</v>
      </c>
      <c r="C17" s="65">
        <f>Revenue_36M!P17</f>
        <v>22419.050991882246</v>
      </c>
      <c r="D17" s="65">
        <f>Opex_36M!P17</f>
        <v>12687.096666666666</v>
      </c>
      <c r="E17" s="65">
        <f t="shared" si="0"/>
        <v>9731.95432521558</v>
      </c>
      <c r="F17" s="65">
        <f>Capex_36M!O17</f>
        <v>0</v>
      </c>
      <c r="G17" s="65">
        <f t="shared" si="1"/>
        <v>9731.95432521558</v>
      </c>
      <c r="H17" s="65">
        <f t="shared" si="7"/>
        <v>109802.85254068239</v>
      </c>
      <c r="I17" s="65">
        <f>MAX(Controls!$B$22+Controls!$B$111-(H17+G17),0)+IF(A17=1,Controls!$B$21*(Controls!$B$101+Controls!$B$104),0)</f>
        <v>0</v>
      </c>
      <c r="J17" s="65">
        <f>MIN(I17,MAX(Controls!$B$100-SUM($J$2:J16),0))</f>
        <v>0</v>
      </c>
      <c r="K17" s="65">
        <f t="shared" si="2"/>
        <v>0</v>
      </c>
      <c r="L17" s="65">
        <f>IF(A17=1,Controls!$B$21*(Controls!$B$101+Controls!$B$104),0)</f>
        <v>0</v>
      </c>
      <c r="M17" s="65">
        <f t="shared" si="3"/>
        <v>0</v>
      </c>
      <c r="N17" s="65">
        <f t="shared" si="4"/>
        <v>4459.6891996920413</v>
      </c>
      <c r="O17" s="65">
        <f>0</f>
        <v>0</v>
      </c>
      <c r="P17" s="65">
        <f>IF(A17&lt;=Controls!$B$109,0,N17+O17)</f>
        <v>4459.6891996920413</v>
      </c>
      <c r="Q17" s="65">
        <f t="shared" si="5"/>
        <v>115075.11766620593</v>
      </c>
      <c r="R17" s="65">
        <f t="shared" si="8"/>
        <v>482022.08554965188</v>
      </c>
      <c r="S17" s="65">
        <f>IF(A17&lt;=Controls!$B$109,N17,0)</f>
        <v>0</v>
      </c>
      <c r="T17" s="65">
        <f t="shared" si="6"/>
        <v>482022.08554965188</v>
      </c>
      <c r="U17" s="69">
        <f>MIN(I17-J17,MAX(Controls!$B$101-SUM($U$2:U16),0))</f>
        <v>0</v>
      </c>
      <c r="V17" s="69">
        <f>MIN(I17-J17-U17,MAX(Controls!$B$104-SUM($V$2:V16),0))</f>
        <v>0</v>
      </c>
      <c r="W17" s="69">
        <f>(Y16+U17/2)*Controls!$B$102/12</f>
        <v>2048.6796605658724</v>
      </c>
      <c r="X17" s="69">
        <f>IF(AND(Controls!$B$107=1,A17&gt;=Controls!$B$108),0,(Z16+V17/2)*Controls!$B$105/12)</f>
        <v>2411.0095391261689</v>
      </c>
      <c r="Y17" s="69">
        <f>Y16+U17+IF(A17&lt;=Controls!$B$109,W17,0)</f>
        <v>245841.5592679047</v>
      </c>
      <c r="Z17" s="69">
        <f>IF(AND(Controls!$B$107=1,A17&gt;=Controls!$B$108),0,Z16+V17+IF(A17&lt;=Controls!$B$109,X17,0))</f>
        <v>236180.52628174718</v>
      </c>
      <c r="AA17" s="72">
        <f>IF(SUM($P$6:P17)=0,"",SUM($E$6:E17)/SUM($P$6:P17))</f>
        <v>2.8580357050874294</v>
      </c>
      <c r="AB17" s="70" t="str">
        <f>IF(A17=Controls!$B$103,"◀ Antalpha bullet due: R"&amp;TEXT(Y17,"#,##0")&amp;"k - refinance/convert",IF(AND(Controls!$B$107=1,A17&gt;=Controls!$B$108)*( A17=Controls!$B$108 ),"◀ DMTN converts to equity",""))</f>
        <v/>
      </c>
      <c r="AC17" s="71">
        <f>G17+IF(A17=36,Controls!$B$113,0)</f>
        <v>9731.95432521558</v>
      </c>
      <c r="AD17" s="71">
        <f>-J17+IF(A17=36,Q17+Controls!$B$113-T17,0)</f>
        <v>0</v>
      </c>
    </row>
    <row r="18" spans="1:30" ht="15" customHeight="1" x14ac:dyDescent="0.3">
      <c r="A18" s="41">
        <v>17</v>
      </c>
      <c r="B18" s="41" t="str">
        <f>Monthly_Deployment!C18</f>
        <v>Nov-27</v>
      </c>
      <c r="C18" s="65">
        <f>Revenue_36M!P18</f>
        <v>21502.11166683476</v>
      </c>
      <c r="D18" s="65">
        <f>Opex_36M!P18</f>
        <v>12353.016666666666</v>
      </c>
      <c r="E18" s="65">
        <f t="shared" si="0"/>
        <v>9149.095000168094</v>
      </c>
      <c r="F18" s="65">
        <f>Capex_36M!O18</f>
        <v>0</v>
      </c>
      <c r="G18" s="65">
        <f t="shared" si="1"/>
        <v>9149.095000168094</v>
      </c>
      <c r="H18" s="65">
        <f t="shared" si="7"/>
        <v>115075.11766620593</v>
      </c>
      <c r="I18" s="65">
        <f>MAX(Controls!$B$22+Controls!$B$111-(H18+G18),0)+IF(A18=1,Controls!$B$21*(Controls!$B$101+Controls!$B$104),0)</f>
        <v>0</v>
      </c>
      <c r="J18" s="65">
        <f>MIN(I18,MAX(Controls!$B$100-SUM($J$2:J17),0))</f>
        <v>0</v>
      </c>
      <c r="K18" s="65">
        <f t="shared" si="2"/>
        <v>0</v>
      </c>
      <c r="L18" s="65">
        <f>IF(A18=1,Controls!$B$21*(Controls!$B$101+Controls!$B$104),0)</f>
        <v>0</v>
      </c>
      <c r="M18" s="65">
        <f t="shared" si="3"/>
        <v>0</v>
      </c>
      <c r="N18" s="65">
        <f t="shared" si="4"/>
        <v>4459.6891996920413</v>
      </c>
      <c r="O18" s="65">
        <f>0</f>
        <v>0</v>
      </c>
      <c r="P18" s="65">
        <f>IF(A18&lt;=Controls!$B$109,0,N18+O18)</f>
        <v>4459.6891996920413</v>
      </c>
      <c r="Q18" s="65">
        <f t="shared" si="5"/>
        <v>119764.52346668197</v>
      </c>
      <c r="R18" s="65">
        <f t="shared" si="8"/>
        <v>482022.08554965188</v>
      </c>
      <c r="S18" s="65">
        <f>IF(A18&lt;=Controls!$B$109,N18,0)</f>
        <v>0</v>
      </c>
      <c r="T18" s="65">
        <f t="shared" si="6"/>
        <v>482022.08554965188</v>
      </c>
      <c r="U18" s="69">
        <f>MIN(I18-J18,MAX(Controls!$B$101-SUM($U$2:U17),0))</f>
        <v>0</v>
      </c>
      <c r="V18" s="69">
        <f>MIN(I18-J18-U18,MAX(Controls!$B$104-SUM($V$2:V17),0))</f>
        <v>0</v>
      </c>
      <c r="W18" s="69">
        <f>(Y17+U18/2)*Controls!$B$102/12</f>
        <v>2048.6796605658724</v>
      </c>
      <c r="X18" s="69">
        <f>IF(AND(Controls!$B$107=1,A18&gt;=Controls!$B$108),0,(Z17+V18/2)*Controls!$B$105/12)</f>
        <v>2411.0095391261689</v>
      </c>
      <c r="Y18" s="69">
        <f>Y17+U18+IF(A18&lt;=Controls!$B$109,W18,0)</f>
        <v>245841.5592679047</v>
      </c>
      <c r="Z18" s="69">
        <f>IF(AND(Controls!$B$107=1,A18&gt;=Controls!$B$108),0,Z17+V18+IF(A18&lt;=Controls!$B$109,X18,0))</f>
        <v>236180.52628174718</v>
      </c>
      <c r="AA18" s="72">
        <f>IF(SUM($P$7:P18)=0,"",SUM($E$7:E18)/SUM($P$7:P18))</f>
        <v>2.5485532576765482</v>
      </c>
      <c r="AB18" s="70" t="str">
        <f>IF(A18=Controls!$B$103,"◀ Antalpha bullet due: R"&amp;TEXT(Y18,"#,##0")&amp;"k - refinance/convert",IF(AND(Controls!$B$107=1,A18&gt;=Controls!$B$108)*( A18=Controls!$B$108 ),"◀ DMTN converts to equity",""))</f>
        <v/>
      </c>
      <c r="AC18" s="71">
        <f>G18+IF(A18=36,Controls!$B$113,0)</f>
        <v>9149.095000168094</v>
      </c>
      <c r="AD18" s="71">
        <f>-J18+IF(A18=36,Q18+Controls!$B$113-T18,0)</f>
        <v>0</v>
      </c>
    </row>
    <row r="19" spans="1:30" ht="15" customHeight="1" x14ac:dyDescent="0.3">
      <c r="A19" s="41">
        <v>18</v>
      </c>
      <c r="B19" s="41" t="str">
        <f>Monthly_Deployment!C19</f>
        <v>Dec-27</v>
      </c>
      <c r="C19" s="65">
        <f>Revenue_36M!P19</f>
        <v>22020.331980651841</v>
      </c>
      <c r="D19" s="65">
        <f>Opex_36M!P19</f>
        <v>12687.096666666666</v>
      </c>
      <c r="E19" s="65">
        <f t="shared" si="0"/>
        <v>9333.2353139851748</v>
      </c>
      <c r="F19" s="65">
        <f>Capex_36M!O19</f>
        <v>0</v>
      </c>
      <c r="G19" s="65">
        <f t="shared" si="1"/>
        <v>9333.2353139851748</v>
      </c>
      <c r="H19" s="65">
        <f t="shared" si="7"/>
        <v>119764.52346668197</v>
      </c>
      <c r="I19" s="65">
        <f>MAX(Controls!$B$22+Controls!$B$111-(H19+G19),0)+IF(A19=1,Controls!$B$21*(Controls!$B$101+Controls!$B$104),0)</f>
        <v>0</v>
      </c>
      <c r="J19" s="65">
        <f>MIN(I19,MAX(Controls!$B$100-SUM($J$2:J18),0))</f>
        <v>0</v>
      </c>
      <c r="K19" s="65">
        <f t="shared" si="2"/>
        <v>0</v>
      </c>
      <c r="L19" s="65">
        <f>IF(A19=1,Controls!$B$21*(Controls!$B$101+Controls!$B$104),0)</f>
        <v>0</v>
      </c>
      <c r="M19" s="65">
        <f t="shared" si="3"/>
        <v>0</v>
      </c>
      <c r="N19" s="65">
        <f t="shared" si="4"/>
        <v>4459.6891996920413</v>
      </c>
      <c r="O19" s="65">
        <f>0</f>
        <v>0</v>
      </c>
      <c r="P19" s="65">
        <f>IF(A19&lt;=Controls!$B$109,0,N19+O19)</f>
        <v>4459.6891996920413</v>
      </c>
      <c r="Q19" s="65">
        <f t="shared" si="5"/>
        <v>124638.06958097511</v>
      </c>
      <c r="R19" s="65">
        <f t="shared" si="8"/>
        <v>482022.08554965188</v>
      </c>
      <c r="S19" s="65">
        <f>IF(A19&lt;=Controls!$B$109,N19,0)</f>
        <v>0</v>
      </c>
      <c r="T19" s="65">
        <f t="shared" si="6"/>
        <v>482022.08554965188</v>
      </c>
      <c r="U19" s="69">
        <f>MIN(I19-J19,MAX(Controls!$B$101-SUM($U$2:U18),0))</f>
        <v>0</v>
      </c>
      <c r="V19" s="69">
        <f>MIN(I19-J19-U19,MAX(Controls!$B$104-SUM($V$2:V18),0))</f>
        <v>0</v>
      </c>
      <c r="W19" s="69">
        <f>(Y18+U19/2)*Controls!$B$102/12</f>
        <v>2048.6796605658724</v>
      </c>
      <c r="X19" s="69">
        <f>IF(AND(Controls!$B$107=1,A19&gt;=Controls!$B$108),0,(Z18+V19/2)*Controls!$B$105/12)</f>
        <v>2411.0095391261689</v>
      </c>
      <c r="Y19" s="69">
        <f>Y18+U19+IF(A19&lt;=Controls!$B$109,W19,0)</f>
        <v>245841.5592679047</v>
      </c>
      <c r="Z19" s="69">
        <f>IF(AND(Controls!$B$107=1,A19&gt;=Controls!$B$108),0,Z18+V19+IF(A19&lt;=Controls!$B$109,X19,0))</f>
        <v>236180.52628174718</v>
      </c>
      <c r="AA19" s="72">
        <f>IF(SUM($P$8:P19)=0,"",SUM($E$8:E19)/SUM($P$8:P19))</f>
        <v>2.2895279282241039</v>
      </c>
      <c r="AB19" s="70" t="str">
        <f>IF(A19=Controls!$B$103,"◀ Antalpha bullet due: R"&amp;TEXT(Y19,"#,##0")&amp;"k - refinance/convert",IF(AND(Controls!$B$107=1,A19&gt;=Controls!$B$108)*( A19=Controls!$B$108 ),"◀ DMTN converts to equity",""))</f>
        <v/>
      </c>
      <c r="AC19" s="71">
        <f>G19+IF(A19=36,Controls!$B$113,0)</f>
        <v>9333.2353139851748</v>
      </c>
      <c r="AD19" s="71">
        <f>-J19+IF(A19=36,Q19+Controls!$B$113-T19,0)</f>
        <v>0</v>
      </c>
    </row>
    <row r="20" spans="1:30" ht="15" customHeight="1" x14ac:dyDescent="0.3">
      <c r="A20" s="41">
        <v>19</v>
      </c>
      <c r="B20" s="41" t="str">
        <f>Monthly_Deployment!C20</f>
        <v>Jan-28</v>
      </c>
      <c r="C20" s="65">
        <f>Revenue_36M!P20</f>
        <v>21823.487978519552</v>
      </c>
      <c r="D20" s="65">
        <f>Opex_36M!P20</f>
        <v>7508.8566666666675</v>
      </c>
      <c r="E20" s="65">
        <f t="shared" si="0"/>
        <v>14314.631311852885</v>
      </c>
      <c r="F20" s="65">
        <f>Capex_36M!O20</f>
        <v>0</v>
      </c>
      <c r="G20" s="65">
        <f t="shared" si="1"/>
        <v>14314.631311852885</v>
      </c>
      <c r="H20" s="65">
        <f t="shared" si="7"/>
        <v>124638.06958097511</v>
      </c>
      <c r="I20" s="65">
        <f>MAX(Controls!$B$22+Controls!$B$111-(H20+G20),0)+IF(A20=1,Controls!$B$21*(Controls!$B$101+Controls!$B$104),0)</f>
        <v>0</v>
      </c>
      <c r="J20" s="65">
        <f>MIN(I20,MAX(Controls!$B$100-SUM($J$2:J19),0))</f>
        <v>0</v>
      </c>
      <c r="K20" s="65">
        <f t="shared" si="2"/>
        <v>0</v>
      </c>
      <c r="L20" s="65">
        <f>IF(A20=1,Controls!$B$21*(Controls!$B$101+Controls!$B$104),0)</f>
        <v>0</v>
      </c>
      <c r="M20" s="65">
        <f t="shared" si="3"/>
        <v>0</v>
      </c>
      <c r="N20" s="65">
        <f t="shared" si="4"/>
        <v>4459.6891996920413</v>
      </c>
      <c r="O20" s="65">
        <f>0</f>
        <v>0</v>
      </c>
      <c r="P20" s="65">
        <f>IF(A20&lt;=Controls!$B$109,0,N20+O20)</f>
        <v>4459.6891996920413</v>
      </c>
      <c r="Q20" s="65">
        <f t="shared" si="5"/>
        <v>134493.01169313595</v>
      </c>
      <c r="R20" s="65">
        <f t="shared" si="8"/>
        <v>482022.08554965188</v>
      </c>
      <c r="S20" s="65">
        <f>IF(A20&lt;=Controls!$B$109,N20,0)</f>
        <v>0</v>
      </c>
      <c r="T20" s="65">
        <f t="shared" si="6"/>
        <v>482022.08554965188</v>
      </c>
      <c r="U20" s="69">
        <f>MIN(I20-J20,MAX(Controls!$B$101-SUM($U$2:U19),0))</f>
        <v>0</v>
      </c>
      <c r="V20" s="69">
        <f>MIN(I20-J20-U20,MAX(Controls!$B$104-SUM($V$2:V19),0))</f>
        <v>0</v>
      </c>
      <c r="W20" s="69">
        <f>(Y19+U20/2)*Controls!$B$102/12</f>
        <v>2048.6796605658724</v>
      </c>
      <c r="X20" s="69">
        <f>IF(AND(Controls!$B$107=1,A20&gt;=Controls!$B$108),0,(Z19+V20/2)*Controls!$B$105/12)</f>
        <v>2411.0095391261689</v>
      </c>
      <c r="Y20" s="69">
        <f>Y19+U20+IF(A20&lt;=Controls!$B$109,W20,0)</f>
        <v>245841.5592679047</v>
      </c>
      <c r="Z20" s="69">
        <f>IF(AND(Controls!$B$107=1,A20&gt;=Controls!$B$108),0,Z19+V20+IF(A20&lt;=Controls!$B$109,X20,0))</f>
        <v>236180.52628174718</v>
      </c>
      <c r="AA20" s="72">
        <f>IF(SUM($P$9:P20)=0,"",SUM($E$9:E20)/SUM($P$9:P20))</f>
        <v>2.3400333105285984</v>
      </c>
      <c r="AB20" s="70" t="str">
        <f>IF(A20=Controls!$B$103,"◀ Antalpha bullet due: R"&amp;TEXT(Y20,"#,##0")&amp;"k - refinance/convert",IF(AND(Controls!$B$107=1,A20&gt;=Controls!$B$108)*( A20=Controls!$B$108 ),"◀ DMTN converts to equity",""))</f>
        <v/>
      </c>
      <c r="AC20" s="71">
        <f>G20+IF(A20=36,Controls!$B$113,0)</f>
        <v>14314.631311852885</v>
      </c>
      <c r="AD20" s="71">
        <f>-J20+IF(A20=36,Q20+Controls!$B$113-T20,0)</f>
        <v>0</v>
      </c>
    </row>
    <row r="21" spans="1:30" ht="15" customHeight="1" x14ac:dyDescent="0.3">
      <c r="A21" s="41">
        <v>20</v>
      </c>
      <c r="B21" s="41" t="str">
        <f>Monthly_Deployment!C21</f>
        <v>Feb-28</v>
      </c>
      <c r="C21" s="65">
        <f>Revenue_36M!P21</f>
        <v>20232.929552589936</v>
      </c>
      <c r="D21" s="65">
        <f>Opex_36M!P21</f>
        <v>7174.7766666666676</v>
      </c>
      <c r="E21" s="65">
        <f t="shared" si="0"/>
        <v>13058.152885923268</v>
      </c>
      <c r="F21" s="65">
        <f>Capex_36M!O21</f>
        <v>0</v>
      </c>
      <c r="G21" s="65">
        <f t="shared" si="1"/>
        <v>13058.152885923268</v>
      </c>
      <c r="H21" s="65">
        <f t="shared" si="7"/>
        <v>134493.01169313595</v>
      </c>
      <c r="I21" s="65">
        <f>MAX(Controls!$B$22+Controls!$B$111-(H21+G21),0)+IF(A21=1,Controls!$B$21*(Controls!$B$101+Controls!$B$104),0)</f>
        <v>0</v>
      </c>
      <c r="J21" s="65">
        <f>MIN(I21,MAX(Controls!$B$100-SUM($J$2:J20),0))</f>
        <v>0</v>
      </c>
      <c r="K21" s="65">
        <f t="shared" si="2"/>
        <v>0</v>
      </c>
      <c r="L21" s="65">
        <f>IF(A21=1,Controls!$B$21*(Controls!$B$101+Controls!$B$104),0)</f>
        <v>0</v>
      </c>
      <c r="M21" s="65">
        <f t="shared" si="3"/>
        <v>0</v>
      </c>
      <c r="N21" s="65">
        <f t="shared" si="4"/>
        <v>4459.6891996920413</v>
      </c>
      <c r="O21" s="65">
        <f>0</f>
        <v>0</v>
      </c>
      <c r="P21" s="65">
        <f>IF(A21&lt;=Controls!$B$109,0,N21+O21)</f>
        <v>4459.6891996920413</v>
      </c>
      <c r="Q21" s="65">
        <f t="shared" si="5"/>
        <v>143091.47537936718</v>
      </c>
      <c r="R21" s="65">
        <f t="shared" si="8"/>
        <v>482022.08554965188</v>
      </c>
      <c r="S21" s="65">
        <f>IF(A21&lt;=Controls!$B$109,N21,0)</f>
        <v>0</v>
      </c>
      <c r="T21" s="65">
        <f t="shared" si="6"/>
        <v>482022.08554965188</v>
      </c>
      <c r="U21" s="69">
        <f>MIN(I21-J21,MAX(Controls!$B$101-SUM($U$2:U20),0))</f>
        <v>0</v>
      </c>
      <c r="V21" s="69">
        <f>MIN(I21-J21-U21,MAX(Controls!$B$104-SUM($V$2:V20),0))</f>
        <v>0</v>
      </c>
      <c r="W21" s="69">
        <f>(Y20+U21/2)*Controls!$B$102/12</f>
        <v>2048.6796605658724</v>
      </c>
      <c r="X21" s="69">
        <f>IF(AND(Controls!$B$107=1,A21&gt;=Controls!$B$108),0,(Z20+V21/2)*Controls!$B$105/12)</f>
        <v>2411.0095391261689</v>
      </c>
      <c r="Y21" s="69">
        <f>Y20+U21+IF(A21&lt;=Controls!$B$109,W21,0)</f>
        <v>245841.5592679047</v>
      </c>
      <c r="Z21" s="69">
        <f>IF(AND(Controls!$B$107=1,A21&gt;=Controls!$B$108),0,Z20+V21+IF(A21&lt;=Controls!$B$109,X21,0))</f>
        <v>236180.52628174718</v>
      </c>
      <c r="AA21" s="72">
        <f>IF(SUM($P$10:P21)=0,"",SUM($E$10:E21)/SUM($P$10:P21))</f>
        <v>2.3959173517897678</v>
      </c>
      <c r="AB21" s="70" t="str">
        <f>IF(A21=Controls!$B$103,"◀ Antalpha bullet due: R"&amp;TEXT(Y21,"#,##0")&amp;"k - refinance/convert",IF(AND(Controls!$B$107=1,A21&gt;=Controls!$B$108)*( A21=Controls!$B$108 ),"◀ DMTN converts to equity",""))</f>
        <v/>
      </c>
      <c r="AC21" s="71">
        <f>G21+IF(A21=36,Controls!$B$113,0)</f>
        <v>13058.152885923268</v>
      </c>
      <c r="AD21" s="71">
        <f>-J21+IF(A21=36,Q21+Controls!$B$113-T21,0)</f>
        <v>0</v>
      </c>
    </row>
    <row r="22" spans="1:30" ht="15" customHeight="1" x14ac:dyDescent="0.3">
      <c r="A22" s="41">
        <v>21</v>
      </c>
      <c r="B22" s="41" t="str">
        <f>Monthly_Deployment!C22</f>
        <v>Mar-28</v>
      </c>
      <c r="C22" s="65">
        <f>Revenue_36M!P22</f>
        <v>21434.767423559111</v>
      </c>
      <c r="D22" s="65">
        <f>Opex_36M!P22</f>
        <v>7508.8566666666675</v>
      </c>
      <c r="E22" s="65">
        <f t="shared" si="0"/>
        <v>13925.910756892445</v>
      </c>
      <c r="F22" s="65">
        <f>Capex_36M!O22</f>
        <v>0</v>
      </c>
      <c r="G22" s="65">
        <f t="shared" si="1"/>
        <v>13925.910756892445</v>
      </c>
      <c r="H22" s="65">
        <f t="shared" si="7"/>
        <v>143091.47537936718</v>
      </c>
      <c r="I22" s="65">
        <f>MAX(Controls!$B$22+Controls!$B$111-(H22+G22),0)+IF(A22=1,Controls!$B$21*(Controls!$B$101+Controls!$B$104),0)</f>
        <v>0</v>
      </c>
      <c r="J22" s="65">
        <f>MIN(I22,MAX(Controls!$B$100-SUM($J$2:J21),0))</f>
        <v>0</v>
      </c>
      <c r="K22" s="65">
        <f t="shared" si="2"/>
        <v>0</v>
      </c>
      <c r="L22" s="65">
        <f>IF(A22=1,Controls!$B$21*(Controls!$B$101+Controls!$B$104),0)</f>
        <v>0</v>
      </c>
      <c r="M22" s="65">
        <f t="shared" si="3"/>
        <v>0</v>
      </c>
      <c r="N22" s="65">
        <f t="shared" si="4"/>
        <v>4459.6891996920413</v>
      </c>
      <c r="O22" s="65">
        <f>0</f>
        <v>0</v>
      </c>
      <c r="P22" s="65">
        <f>IF(A22&lt;=Controls!$B$109,0,N22+O22)</f>
        <v>4459.6891996920413</v>
      </c>
      <c r="Q22" s="65">
        <f t="shared" si="5"/>
        <v>152557.69693656758</v>
      </c>
      <c r="R22" s="65">
        <f t="shared" si="8"/>
        <v>482022.08554965188</v>
      </c>
      <c r="S22" s="65">
        <f>IF(A22&lt;=Controls!$B$109,N22,0)</f>
        <v>0</v>
      </c>
      <c r="T22" s="65">
        <f t="shared" si="6"/>
        <v>482022.08554965188</v>
      </c>
      <c r="U22" s="69">
        <f>MIN(I22-J22,MAX(Controls!$B$101-SUM($U$2:U21),0))</f>
        <v>0</v>
      </c>
      <c r="V22" s="69">
        <f>MIN(I22-J22-U22,MAX(Controls!$B$104-SUM($V$2:V21),0))</f>
        <v>0</v>
      </c>
      <c r="W22" s="69">
        <f>(Y21+U22/2)*Controls!$B$102/12</f>
        <v>2048.6796605658724</v>
      </c>
      <c r="X22" s="69">
        <f>IF(AND(Controls!$B$107=1,A22&gt;=Controls!$B$108),0,(Z21+V22/2)*Controls!$B$105/12)</f>
        <v>2411.0095391261689</v>
      </c>
      <c r="Y22" s="69">
        <f>Y21+U22+IF(A22&lt;=Controls!$B$109,W22,0)</f>
        <v>245841.5592679047</v>
      </c>
      <c r="Z22" s="69">
        <f>IF(AND(Controls!$B$107=1,A22&gt;=Controls!$B$108),0,Z21+V22+IF(A22&lt;=Controls!$B$109,X22,0))</f>
        <v>236180.52628174718</v>
      </c>
      <c r="AA22" s="72">
        <f>IF(SUM($P$11:P22)=0,"",SUM($E$11:E22)/SUM($P$11:P22))</f>
        <v>2.4471962507198683</v>
      </c>
      <c r="AB22" s="70" t="str">
        <f>IF(A22=Controls!$B$103,"◀ Antalpha bullet due: R"&amp;TEXT(Y22,"#,##0")&amp;"k - refinance/convert",IF(AND(Controls!$B$107=1,A22&gt;=Controls!$B$108)*( A22=Controls!$B$108 ),"◀ DMTN converts to equity",""))</f>
        <v/>
      </c>
      <c r="AC22" s="71">
        <f>G22+IF(A22=36,Controls!$B$113,0)</f>
        <v>13925.910756892445</v>
      </c>
      <c r="AD22" s="71">
        <f>-J22+IF(A22=36,Q22+Controls!$B$113-T22,0)</f>
        <v>0</v>
      </c>
    </row>
    <row r="23" spans="1:30" ht="15" customHeight="1" x14ac:dyDescent="0.3">
      <c r="A23" s="41">
        <v>22</v>
      </c>
      <c r="B23" s="41" t="str">
        <f>Monthly_Deployment!C23</f>
        <v>Apr-28</v>
      </c>
      <c r="C23" s="65">
        <f>Revenue_36M!P23</f>
        <v>20557.611945546349</v>
      </c>
      <c r="D23" s="65">
        <f>Opex_36M!P23</f>
        <v>7341.8166666666675</v>
      </c>
      <c r="E23" s="65">
        <f t="shared" si="0"/>
        <v>13215.795278879681</v>
      </c>
      <c r="F23" s="65">
        <f>Capex_36M!O23</f>
        <v>0</v>
      </c>
      <c r="G23" s="65">
        <f t="shared" si="1"/>
        <v>13215.795278879681</v>
      </c>
      <c r="H23" s="65">
        <f t="shared" si="7"/>
        <v>152557.69693656758</v>
      </c>
      <c r="I23" s="65">
        <f>MAX(Controls!$B$22+Controls!$B$111-(H23+G23),0)+IF(A23=1,Controls!$B$21*(Controls!$B$101+Controls!$B$104),0)</f>
        <v>0</v>
      </c>
      <c r="J23" s="65">
        <f>MIN(I23,MAX(Controls!$B$100-SUM($J$2:J22),0))</f>
        <v>0</v>
      </c>
      <c r="K23" s="65">
        <f t="shared" si="2"/>
        <v>0</v>
      </c>
      <c r="L23" s="65">
        <f>IF(A23=1,Controls!$B$21*(Controls!$B$101+Controls!$B$104),0)</f>
        <v>0</v>
      </c>
      <c r="M23" s="65">
        <f t="shared" si="3"/>
        <v>0</v>
      </c>
      <c r="N23" s="65">
        <f t="shared" si="4"/>
        <v>4459.6891996920413</v>
      </c>
      <c r="O23" s="65">
        <f>0</f>
        <v>0</v>
      </c>
      <c r="P23" s="65">
        <f>IF(A23&lt;=Controls!$B$109,0,N23+O23)</f>
        <v>4459.6891996920413</v>
      </c>
      <c r="Q23" s="65">
        <f t="shared" si="5"/>
        <v>161313.8030157552</v>
      </c>
      <c r="R23" s="65">
        <f t="shared" si="8"/>
        <v>482022.08554965188</v>
      </c>
      <c r="S23" s="65">
        <f>IF(A23&lt;=Controls!$B$109,N23,0)</f>
        <v>0</v>
      </c>
      <c r="T23" s="65">
        <f t="shared" si="6"/>
        <v>482022.08554965188</v>
      </c>
      <c r="U23" s="69">
        <f>MIN(I23-J23,MAX(Controls!$B$101-SUM($U$2:U22),0))</f>
        <v>0</v>
      </c>
      <c r="V23" s="69">
        <f>MIN(I23-J23-U23,MAX(Controls!$B$104-SUM($V$2:V22),0))</f>
        <v>0</v>
      </c>
      <c r="W23" s="69">
        <f>(Y22+U23/2)*Controls!$B$102/12</f>
        <v>2048.6796605658724</v>
      </c>
      <c r="X23" s="69">
        <f>IF(AND(Controls!$B$107=1,A23&gt;=Controls!$B$108),0,(Z22+V23/2)*Controls!$B$105/12)</f>
        <v>2411.0095391261689</v>
      </c>
      <c r="Y23" s="69">
        <f>Y22+U23+IF(A23&lt;=Controls!$B$109,W23,0)</f>
        <v>245841.5592679047</v>
      </c>
      <c r="Z23" s="69">
        <f>IF(AND(Controls!$B$107=1,A23&gt;=Controls!$B$108),0,Z22+V23+IF(A23&lt;=Controls!$B$109,X23,0))</f>
        <v>236180.52628174718</v>
      </c>
      <c r="AA23" s="72">
        <f>IF(SUM($P$12:P23)=0,"",SUM($E$12:E23)/SUM($P$12:P23))</f>
        <v>2.4971910402876314</v>
      </c>
      <c r="AB23" s="70" t="str">
        <f>IF(A23=Controls!$B$103,"◀ Antalpha bullet due: R"&amp;TEXT(Y23,"#,##0")&amp;"k - refinance/convert",IF(AND(Controls!$B$107=1,A23&gt;=Controls!$B$108)*( A23=Controls!$B$108 ),"◀ DMTN converts to equity",""))</f>
        <v/>
      </c>
      <c r="AC23" s="71">
        <f>G23+IF(A23=36,Controls!$B$113,0)</f>
        <v>13215.795278879681</v>
      </c>
      <c r="AD23" s="71">
        <f>-J23+IF(A23=36,Q23+Controls!$B$113-T23,0)</f>
        <v>0</v>
      </c>
    </row>
    <row r="24" spans="1:30" ht="15" customHeight="1" x14ac:dyDescent="0.3">
      <c r="A24" s="41">
        <v>23</v>
      </c>
      <c r="B24" s="41" t="str">
        <f>Monthly_Deployment!C24</f>
        <v>May-28</v>
      </c>
      <c r="C24" s="65">
        <f>Revenue_36M!P24</f>
        <v>10526.293141284958</v>
      </c>
      <c r="D24" s="65">
        <f>Opex_36M!P24</f>
        <v>7508.8566666666675</v>
      </c>
      <c r="E24" s="65">
        <f t="shared" si="0"/>
        <v>3017.43647461829</v>
      </c>
      <c r="F24" s="65">
        <f>Capex_36M!O24</f>
        <v>0</v>
      </c>
      <c r="G24" s="65">
        <f t="shared" si="1"/>
        <v>3017.43647461829</v>
      </c>
      <c r="H24" s="65">
        <f t="shared" si="7"/>
        <v>161313.8030157552</v>
      </c>
      <c r="I24" s="65">
        <f>MAX(Controls!$B$22+Controls!$B$111-(H24+G24),0)+IF(A24=1,Controls!$B$21*(Controls!$B$101+Controls!$B$104),0)</f>
        <v>0</v>
      </c>
      <c r="J24" s="65">
        <f>MIN(I24,MAX(Controls!$B$100-SUM($J$2:J23),0))</f>
        <v>0</v>
      </c>
      <c r="K24" s="65">
        <f t="shared" si="2"/>
        <v>0</v>
      </c>
      <c r="L24" s="65">
        <f>IF(A24=1,Controls!$B$21*(Controls!$B$101+Controls!$B$104),0)</f>
        <v>0</v>
      </c>
      <c r="M24" s="65">
        <f t="shared" si="3"/>
        <v>0</v>
      </c>
      <c r="N24" s="65">
        <f t="shared" si="4"/>
        <v>4459.6891996920413</v>
      </c>
      <c r="O24" s="65">
        <f>0</f>
        <v>0</v>
      </c>
      <c r="P24" s="65">
        <f>IF(A24&lt;=Controls!$B$109,0,N24+O24)</f>
        <v>4459.6891996920413</v>
      </c>
      <c r="Q24" s="65">
        <f t="shared" si="5"/>
        <v>159871.55029068145</v>
      </c>
      <c r="R24" s="65">
        <f t="shared" si="8"/>
        <v>482022.08554965188</v>
      </c>
      <c r="S24" s="65">
        <f>IF(A24&lt;=Controls!$B$109,N24,0)</f>
        <v>0</v>
      </c>
      <c r="T24" s="65">
        <f t="shared" si="6"/>
        <v>482022.08554965188</v>
      </c>
      <c r="U24" s="69">
        <f>MIN(I24-J24,MAX(Controls!$B$101-SUM($U$2:U23),0))</f>
        <v>0</v>
      </c>
      <c r="V24" s="69">
        <f>MIN(I24-J24-U24,MAX(Controls!$B$104-SUM($V$2:V23),0))</f>
        <v>0</v>
      </c>
      <c r="W24" s="69">
        <f>(Y23+U24/2)*Controls!$B$102/12</f>
        <v>2048.6796605658724</v>
      </c>
      <c r="X24" s="69">
        <f>IF(AND(Controls!$B$107=1,A24&gt;=Controls!$B$108),0,(Z23+V24/2)*Controls!$B$105/12)</f>
        <v>2411.0095391261689</v>
      </c>
      <c r="Y24" s="69">
        <f>Y23+U24+IF(A24&lt;=Controls!$B$109,W24,0)</f>
        <v>245841.5592679047</v>
      </c>
      <c r="Z24" s="69">
        <f>IF(AND(Controls!$B$107=1,A24&gt;=Controls!$B$108),0,Z23+V24+IF(A24&lt;=Controls!$B$109,X24,0))</f>
        <v>236180.52628174718</v>
      </c>
      <c r="AA24" s="72">
        <f>IF(SUM($P$13:P24)=0,"",SUM($E$13:E24)/SUM($P$13:P24))</f>
        <v>2.352538488455604</v>
      </c>
      <c r="AB24" s="70" t="str">
        <f>IF(A24=Controls!$B$103,"◀ Antalpha bullet due: R"&amp;TEXT(Y24,"#,##0")&amp;"k - refinance/convert",IF(AND(Controls!$B$107=1,A24&gt;=Controls!$B$108)*( A24=Controls!$B$108 ),"◀ DMTN converts to equity",""))</f>
        <v/>
      </c>
      <c r="AC24" s="71">
        <f>G24+IF(A24=36,Controls!$B$113,0)</f>
        <v>3017.43647461829</v>
      </c>
      <c r="AD24" s="71">
        <f>-J24+IF(A24=36,Q24+Controls!$B$113-T24,0)</f>
        <v>0</v>
      </c>
    </row>
    <row r="25" spans="1:30" ht="15" customHeight="1" x14ac:dyDescent="0.3">
      <c r="A25" s="41">
        <v>24</v>
      </c>
      <c r="B25" s="41" t="str">
        <f>Monthly_Deployment!C25</f>
        <v>Jun-28</v>
      </c>
      <c r="C25" s="65">
        <f>Revenue_36M!P25</f>
        <v>10095.443629210778</v>
      </c>
      <c r="D25" s="65">
        <f>Opex_36M!P25</f>
        <v>7341.8166666666675</v>
      </c>
      <c r="E25" s="65">
        <f t="shared" si="0"/>
        <v>2753.6269625441109</v>
      </c>
      <c r="F25" s="65">
        <f>Capex_36M!O25</f>
        <v>0</v>
      </c>
      <c r="G25" s="65">
        <f t="shared" si="1"/>
        <v>2753.6269625441109</v>
      </c>
      <c r="H25" s="65">
        <f t="shared" si="7"/>
        <v>159871.55029068145</v>
      </c>
      <c r="I25" s="65">
        <f>MAX(Controls!$B$22+Controls!$B$111-(H25+G25),0)+IF(A25=1,Controls!$B$21*(Controls!$B$101+Controls!$B$104),0)</f>
        <v>0</v>
      </c>
      <c r="J25" s="65">
        <f>MIN(I25,MAX(Controls!$B$100-SUM($J$2:J24),0))</f>
        <v>0</v>
      </c>
      <c r="K25" s="65">
        <f t="shared" si="2"/>
        <v>0</v>
      </c>
      <c r="L25" s="65">
        <f>IF(A25=1,Controls!$B$21*(Controls!$B$101+Controls!$B$104),0)</f>
        <v>0</v>
      </c>
      <c r="M25" s="65">
        <f t="shared" si="3"/>
        <v>0</v>
      </c>
      <c r="N25" s="65">
        <f t="shared" si="4"/>
        <v>4459.6891996920413</v>
      </c>
      <c r="O25" s="65">
        <f>0</f>
        <v>0</v>
      </c>
      <c r="P25" s="65">
        <f>IF(A25&lt;=Controls!$B$109,0,N25+O25)</f>
        <v>4459.6891996920413</v>
      </c>
      <c r="Q25" s="65">
        <f t="shared" si="5"/>
        <v>158165.48805353351</v>
      </c>
      <c r="R25" s="65">
        <f t="shared" si="8"/>
        <v>482022.08554965188</v>
      </c>
      <c r="S25" s="65">
        <f>IF(A25&lt;=Controls!$B$109,N25,0)</f>
        <v>0</v>
      </c>
      <c r="T25" s="65">
        <f t="shared" si="6"/>
        <v>482022.08554965188</v>
      </c>
      <c r="U25" s="69">
        <f>MIN(I25-J25,MAX(Controls!$B$101-SUM($U$2:U24),0))</f>
        <v>0</v>
      </c>
      <c r="V25" s="69">
        <f>MIN(I25-J25-U25,MAX(Controls!$B$104-SUM($V$2:V24),0))</f>
        <v>0</v>
      </c>
      <c r="W25" s="69">
        <f>(Y24+U25/2)*Controls!$B$102/12</f>
        <v>2048.6796605658724</v>
      </c>
      <c r="X25" s="69">
        <f>IF(AND(Controls!$B$107=1,A25&gt;=Controls!$B$108),0,(Z24+V25/2)*Controls!$B$105/12)</f>
        <v>2411.0095391261689</v>
      </c>
      <c r="Y25" s="69">
        <f>Y24+U25+IF(A25&lt;=Controls!$B$109,W25,0)</f>
        <v>245841.5592679047</v>
      </c>
      <c r="Z25" s="69">
        <f>IF(AND(Controls!$B$107=1,A25&gt;=Controls!$B$108),0,Z24+V25+IF(A25&lt;=Controls!$B$109,X25,0))</f>
        <v>236180.52628174718</v>
      </c>
      <c r="AA25" s="72">
        <f>IF(SUM($P$14:P25)=0,"",SUM($E$14:E25)/SUM($P$14:P25))</f>
        <v>2.214622480583738</v>
      </c>
      <c r="AB25" s="70" t="str">
        <f>IF(A25=Controls!$B$103,"◀ Antalpha bullet due: R"&amp;TEXT(Y25,"#,##0")&amp;"k - refinance/convert",IF(AND(Controls!$B$107=1,A25&gt;=Controls!$B$108)*( A25=Controls!$B$108 ),"◀ DMTN converts to equity",""))</f>
        <v>◀ Antalpha bullet due: R245,842k - refinance/convert</v>
      </c>
      <c r="AC25" s="71">
        <f>G25+IF(A25=36,Controls!$B$113,0)</f>
        <v>2753.6269625441109</v>
      </c>
      <c r="AD25" s="71">
        <f>-J25+IF(A25=36,Q25+Controls!$B$113-T25,0)</f>
        <v>0</v>
      </c>
    </row>
    <row r="26" spans="1:30" ht="15" customHeight="1" x14ac:dyDescent="0.3">
      <c r="A26" s="41">
        <v>25</v>
      </c>
      <c r="B26" s="41" t="str">
        <f>Monthly_Deployment!C26</f>
        <v>Jul-28</v>
      </c>
      <c r="C26" s="65">
        <f>Revenue_36M!P26</f>
        <v>10338.422500000001</v>
      </c>
      <c r="D26" s="65">
        <f>Opex_36M!P26</f>
        <v>7508.8566666666675</v>
      </c>
      <c r="E26" s="65">
        <f t="shared" si="0"/>
        <v>2829.5658333333331</v>
      </c>
      <c r="F26" s="65">
        <f>Capex_36M!O26</f>
        <v>0</v>
      </c>
      <c r="G26" s="65">
        <f t="shared" si="1"/>
        <v>2829.5658333333331</v>
      </c>
      <c r="H26" s="65">
        <f t="shared" si="7"/>
        <v>158165.48805353351</v>
      </c>
      <c r="I26" s="65">
        <f>MAX(Controls!$B$22+Controls!$B$111-(H26+G26),0)+IF(A26=1,Controls!$B$21*(Controls!$B$101+Controls!$B$104),0)</f>
        <v>0</v>
      </c>
      <c r="J26" s="65">
        <f>MIN(I26,MAX(Controls!$B$100-SUM($J$2:J25),0))</f>
        <v>0</v>
      </c>
      <c r="K26" s="65">
        <f t="shared" si="2"/>
        <v>0</v>
      </c>
      <c r="L26" s="65">
        <f>IF(A26=1,Controls!$B$21*(Controls!$B$101+Controls!$B$104),0)</f>
        <v>0</v>
      </c>
      <c r="M26" s="65">
        <f t="shared" si="3"/>
        <v>0</v>
      </c>
      <c r="N26" s="65">
        <f t="shared" si="4"/>
        <v>4459.6891996920413</v>
      </c>
      <c r="O26" s="65">
        <f>0</f>
        <v>0</v>
      </c>
      <c r="P26" s="65">
        <f>IF(A26&lt;=Controls!$B$109,0,N26+O26)</f>
        <v>4459.6891996920413</v>
      </c>
      <c r="Q26" s="65">
        <f t="shared" si="5"/>
        <v>156535.36468717479</v>
      </c>
      <c r="R26" s="65">
        <f t="shared" si="8"/>
        <v>482022.08554965188</v>
      </c>
      <c r="S26" s="65">
        <f>IF(A26&lt;=Controls!$B$109,N26,0)</f>
        <v>0</v>
      </c>
      <c r="T26" s="65">
        <f t="shared" si="6"/>
        <v>482022.08554965188</v>
      </c>
      <c r="U26" s="69">
        <f>MIN(I26-J26,MAX(Controls!$B$101-SUM($U$2:U25),0))</f>
        <v>0</v>
      </c>
      <c r="V26" s="69">
        <f>MIN(I26-J26-U26,MAX(Controls!$B$104-SUM($V$2:V25),0))</f>
        <v>0</v>
      </c>
      <c r="W26" s="69">
        <f>(Y25+U26/2)*Controls!$B$102/12</f>
        <v>2048.6796605658724</v>
      </c>
      <c r="X26" s="69">
        <f>IF(AND(Controls!$B$107=1,A26&gt;=Controls!$B$108),0,(Z25+V26/2)*Controls!$B$105/12)</f>
        <v>2411.0095391261689</v>
      </c>
      <c r="Y26" s="69">
        <f>Y25+U26+IF(A26&lt;=Controls!$B$109,W26,0)</f>
        <v>245841.5592679047</v>
      </c>
      <c r="Z26" s="69">
        <f>IF(AND(Controls!$B$107=1,A26&gt;=Controls!$B$108),0,Z25+V26+IF(A26&lt;=Controls!$B$109,X26,0))</f>
        <v>236180.52628174718</v>
      </c>
      <c r="AA26" s="72">
        <f>IF(SUM($P$15:P26)=0,"",SUM($E$15:E26)/SUM($P$15:P26))</f>
        <v>2.0742308306357469</v>
      </c>
      <c r="AB26" s="70" t="str">
        <f>IF(A26=Controls!$B$103,"◀ Antalpha bullet due: R"&amp;TEXT(Y26,"#,##0")&amp;"k - refinance/convert",IF(AND(Controls!$B$107=1,A26&gt;=Controls!$B$108)*( A26=Controls!$B$108 ),"◀ DMTN converts to equity",""))</f>
        <v/>
      </c>
      <c r="AC26" s="71">
        <f>G26+IF(A26=36,Controls!$B$113,0)</f>
        <v>2829.5658333333331</v>
      </c>
      <c r="AD26" s="71">
        <f>-J26+IF(A26=36,Q26+Controls!$B$113-T26,0)</f>
        <v>0</v>
      </c>
    </row>
    <row r="27" spans="1:30" ht="15" customHeight="1" x14ac:dyDescent="0.3">
      <c r="A27" s="41">
        <v>26</v>
      </c>
      <c r="B27" s="41" t="str">
        <f>Monthly_Deployment!C27</f>
        <v>Aug-28</v>
      </c>
      <c r="C27" s="65">
        <f>Revenue_36M!P27</f>
        <v>10245.679263375958</v>
      </c>
      <c r="D27" s="65">
        <f>Opex_36M!P27</f>
        <v>7508.8566666666675</v>
      </c>
      <c r="E27" s="65">
        <f t="shared" si="0"/>
        <v>2736.8225967092903</v>
      </c>
      <c r="F27" s="65">
        <f>Capex_36M!O27</f>
        <v>0</v>
      </c>
      <c r="G27" s="65">
        <f t="shared" si="1"/>
        <v>2736.8225967092903</v>
      </c>
      <c r="H27" s="65">
        <f t="shared" si="7"/>
        <v>156535.36468717479</v>
      </c>
      <c r="I27" s="65">
        <f>MAX(Controls!$B$22+Controls!$B$111-(H27+G27),0)+IF(A27=1,Controls!$B$21*(Controls!$B$101+Controls!$B$104),0)</f>
        <v>0</v>
      </c>
      <c r="J27" s="65">
        <f>MIN(I27,MAX(Controls!$B$100-SUM($J$2:J26),0))</f>
        <v>0</v>
      </c>
      <c r="K27" s="65">
        <f t="shared" si="2"/>
        <v>0</v>
      </c>
      <c r="L27" s="65">
        <f>IF(A27=1,Controls!$B$21*(Controls!$B$101+Controls!$B$104),0)</f>
        <v>0</v>
      </c>
      <c r="M27" s="65">
        <f t="shared" si="3"/>
        <v>0</v>
      </c>
      <c r="N27" s="65">
        <f t="shared" si="4"/>
        <v>4459.6891996920413</v>
      </c>
      <c r="O27" s="65">
        <f>0</f>
        <v>0</v>
      </c>
      <c r="P27" s="65">
        <f>IF(A27&lt;=Controls!$B$109,0,N27+O27)</f>
        <v>4459.6891996920413</v>
      </c>
      <c r="Q27" s="65">
        <f t="shared" si="5"/>
        <v>154812.49808419205</v>
      </c>
      <c r="R27" s="65">
        <f t="shared" si="8"/>
        <v>482022.08554965188</v>
      </c>
      <c r="S27" s="65">
        <f>IF(A27&lt;=Controls!$B$109,N27,0)</f>
        <v>0</v>
      </c>
      <c r="T27" s="65">
        <f t="shared" si="6"/>
        <v>482022.08554965188</v>
      </c>
      <c r="U27" s="69">
        <f>MIN(I27-J27,MAX(Controls!$B$101-SUM($U$2:U26),0))</f>
        <v>0</v>
      </c>
      <c r="V27" s="69">
        <f>MIN(I27-J27-U27,MAX(Controls!$B$104-SUM($V$2:V26),0))</f>
        <v>0</v>
      </c>
      <c r="W27" s="69">
        <f>(Y26+U27/2)*Controls!$B$102/12</f>
        <v>2048.6796605658724</v>
      </c>
      <c r="X27" s="69">
        <f>IF(AND(Controls!$B$107=1,A27&gt;=Controls!$B$108),0,(Z26+V27/2)*Controls!$B$105/12)</f>
        <v>2411.0095391261689</v>
      </c>
      <c r="Y27" s="69">
        <f>Y26+U27+IF(A27&lt;=Controls!$B$109,W27,0)</f>
        <v>245841.5592679047</v>
      </c>
      <c r="Z27" s="69">
        <f>IF(AND(Controls!$B$107=1,A27&gt;=Controls!$B$108),0,Z26+V27+IF(A27&lt;=Controls!$B$109,X27,0))</f>
        <v>236180.52628174718</v>
      </c>
      <c r="AA27" s="72">
        <f>IF(SUM($P$16:P27)=0,"",SUM($E$16:E27)/SUM($P$16:P27))</f>
        <v>1.9359430850160249</v>
      </c>
      <c r="AB27" s="70" t="str">
        <f>IF(A27=Controls!$B$103,"◀ Antalpha bullet due: R"&amp;TEXT(Y27,"#,##0")&amp;"k - refinance/convert",IF(AND(Controls!$B$107=1,A27&gt;=Controls!$B$108)*( A27=Controls!$B$108 ),"◀ DMTN converts to equity",""))</f>
        <v/>
      </c>
      <c r="AC27" s="71">
        <f>G27+IF(A27=36,Controls!$B$113,0)</f>
        <v>2736.8225967092903</v>
      </c>
      <c r="AD27" s="71">
        <f>-J27+IF(A27=36,Q27+Controls!$B$113-T27,0)</f>
        <v>0</v>
      </c>
    </row>
    <row r="28" spans="1:30" ht="15" customHeight="1" x14ac:dyDescent="0.3">
      <c r="A28" s="41">
        <v>27</v>
      </c>
      <c r="B28" s="41" t="str">
        <f>Monthly_Deployment!C28</f>
        <v>Sept-28</v>
      </c>
      <c r="C28" s="65">
        <f>Revenue_36M!P28</f>
        <v>9826.1831781438741</v>
      </c>
      <c r="D28" s="65">
        <f>Opex_36M!P28</f>
        <v>7341.8166666666675</v>
      </c>
      <c r="E28" s="65">
        <f t="shared" si="0"/>
        <v>2484.3665114772066</v>
      </c>
      <c r="F28" s="65">
        <f>Capex_36M!O28</f>
        <v>0</v>
      </c>
      <c r="G28" s="65">
        <f t="shared" si="1"/>
        <v>2484.3665114772066</v>
      </c>
      <c r="H28" s="65">
        <f t="shared" si="7"/>
        <v>154812.49808419205</v>
      </c>
      <c r="I28" s="65">
        <f>MAX(Controls!$B$22+Controls!$B$111-(H28+G28),0)+IF(A28=1,Controls!$B$21*(Controls!$B$101+Controls!$B$104),0)</f>
        <v>0</v>
      </c>
      <c r="J28" s="65">
        <f>MIN(I28,MAX(Controls!$B$100-SUM($J$2:J27),0))</f>
        <v>0</v>
      </c>
      <c r="K28" s="65">
        <f t="shared" si="2"/>
        <v>0</v>
      </c>
      <c r="L28" s="65">
        <f>IF(A28=1,Controls!$B$21*(Controls!$B$101+Controls!$B$104),0)</f>
        <v>0</v>
      </c>
      <c r="M28" s="65">
        <f t="shared" si="3"/>
        <v>0</v>
      </c>
      <c r="N28" s="65">
        <f t="shared" si="4"/>
        <v>4459.6891996920413</v>
      </c>
      <c r="O28" s="65">
        <f>0</f>
        <v>0</v>
      </c>
      <c r="P28" s="65">
        <f>IF(A28&lt;=Controls!$B$109,0,N28+O28)</f>
        <v>4459.6891996920413</v>
      </c>
      <c r="Q28" s="65">
        <f t="shared" si="5"/>
        <v>152837.17539597722</v>
      </c>
      <c r="R28" s="65">
        <f t="shared" si="8"/>
        <v>482022.08554965188</v>
      </c>
      <c r="S28" s="65">
        <f>IF(A28&lt;=Controls!$B$109,N28,0)</f>
        <v>0</v>
      </c>
      <c r="T28" s="65">
        <f t="shared" si="6"/>
        <v>482022.08554965188</v>
      </c>
      <c r="U28" s="69">
        <f>MIN(I28-J28,MAX(Controls!$B$101-SUM($U$2:U27),0))</f>
        <v>0</v>
      </c>
      <c r="V28" s="69">
        <f>MIN(I28-J28-U28,MAX(Controls!$B$104-SUM($V$2:V27),0))</f>
        <v>0</v>
      </c>
      <c r="W28" s="69">
        <f>(Y27+U28/2)*Controls!$B$102/12</f>
        <v>2048.6796605658724</v>
      </c>
      <c r="X28" s="69">
        <f>IF(AND(Controls!$B$107=1,A28&gt;=Controls!$B$108),0,(Z27+V28/2)*Controls!$B$105/12)</f>
        <v>2411.0095391261689</v>
      </c>
      <c r="Y28" s="69">
        <f>Y27+U28+IF(A28&lt;=Controls!$B$109,W28,0)</f>
        <v>245841.5592679047</v>
      </c>
      <c r="Z28" s="69">
        <f>IF(AND(Controls!$B$107=1,A28&gt;=Controls!$B$108),0,Z27+V28+IF(A28&lt;=Controls!$B$109,X28,0))</f>
        <v>236180.52628174718</v>
      </c>
      <c r="AA28" s="72">
        <f>IF(SUM($P$17:P28)=0,"",SUM($E$17:E28)/SUM($P$17:P28))</f>
        <v>1.8041353131788227</v>
      </c>
      <c r="AB28" s="70" t="str">
        <f>IF(A28=Controls!$B$103,"◀ Antalpha bullet due: R"&amp;TEXT(Y28,"#,##0")&amp;"k - refinance/convert",IF(AND(Controls!$B$107=1,A28&gt;=Controls!$B$108)*( A28=Controls!$B$108 ),"◀ DMTN converts to equity",""))</f>
        <v/>
      </c>
      <c r="AC28" s="71">
        <f>G28+IF(A28=36,Controls!$B$113,0)</f>
        <v>2484.3665114772066</v>
      </c>
      <c r="AD28" s="71">
        <f>-J28+IF(A28=36,Q28+Controls!$B$113-T28,0)</f>
        <v>0</v>
      </c>
    </row>
    <row r="29" spans="1:30" ht="15" customHeight="1" x14ac:dyDescent="0.3">
      <c r="A29" s="41">
        <v>28</v>
      </c>
      <c r="B29" s="41" t="str">
        <f>Monthly_Deployment!C29</f>
        <v>Oct-28</v>
      </c>
      <c r="C29" s="65">
        <f>Revenue_36M!P29</f>
        <v>10062.546510260327</v>
      </c>
      <c r="D29" s="65">
        <f>Opex_36M!P29</f>
        <v>7508.8566666666675</v>
      </c>
      <c r="E29" s="65">
        <f t="shared" si="0"/>
        <v>2553.6898435936591</v>
      </c>
      <c r="F29" s="65">
        <f>Capex_36M!O29</f>
        <v>0</v>
      </c>
      <c r="G29" s="65">
        <f t="shared" si="1"/>
        <v>2553.6898435936591</v>
      </c>
      <c r="H29" s="65">
        <f t="shared" si="7"/>
        <v>152837.17539597722</v>
      </c>
      <c r="I29" s="65">
        <f>MAX(Controls!$B$22+Controls!$B$111-(H29+G29),0)+IF(A29=1,Controls!$B$21*(Controls!$B$101+Controls!$B$104),0)</f>
        <v>0</v>
      </c>
      <c r="J29" s="65">
        <f>MIN(I29,MAX(Controls!$B$100-SUM($J$2:J28),0))</f>
        <v>0</v>
      </c>
      <c r="K29" s="65">
        <f t="shared" si="2"/>
        <v>0</v>
      </c>
      <c r="L29" s="65">
        <f>IF(A29=1,Controls!$B$21*(Controls!$B$101+Controls!$B$104),0)</f>
        <v>0</v>
      </c>
      <c r="M29" s="65">
        <f t="shared" si="3"/>
        <v>0</v>
      </c>
      <c r="N29" s="65">
        <f t="shared" si="4"/>
        <v>4459.6891996920413</v>
      </c>
      <c r="O29" s="65">
        <f>0</f>
        <v>0</v>
      </c>
      <c r="P29" s="65">
        <f>IF(A29&lt;=Controls!$B$109,0,N29+O29)</f>
        <v>4459.6891996920413</v>
      </c>
      <c r="Q29" s="65">
        <f t="shared" si="5"/>
        <v>150931.17603987883</v>
      </c>
      <c r="R29" s="65">
        <f t="shared" si="8"/>
        <v>482022.08554965188</v>
      </c>
      <c r="S29" s="65">
        <f>IF(A29&lt;=Controls!$B$109,N29,0)</f>
        <v>0</v>
      </c>
      <c r="T29" s="65">
        <f t="shared" si="6"/>
        <v>482022.08554965188</v>
      </c>
      <c r="U29" s="69">
        <f>MIN(I29-J29,MAX(Controls!$B$101-SUM($U$2:U28),0))</f>
        <v>0</v>
      </c>
      <c r="V29" s="69">
        <f>MIN(I29-J29-U29,MAX(Controls!$B$104-SUM($V$2:V28),0))</f>
        <v>0</v>
      </c>
      <c r="W29" s="69">
        <f>(Y28+U29/2)*Controls!$B$102/12</f>
        <v>2048.6796605658724</v>
      </c>
      <c r="X29" s="69">
        <f>IF(AND(Controls!$B$107=1,A29&gt;=Controls!$B$108),0,(Z28+V29/2)*Controls!$B$105/12)</f>
        <v>2411.0095391261689</v>
      </c>
      <c r="Y29" s="69">
        <f>Y28+U29+IF(A29&lt;=Controls!$B$109,W29,0)</f>
        <v>245841.5592679047</v>
      </c>
      <c r="Z29" s="69">
        <f>IF(AND(Controls!$B$107=1,A29&gt;=Controls!$B$108),0,Z28+V29+IF(A29&lt;=Controls!$B$109,X29,0))</f>
        <v>236180.52628174718</v>
      </c>
      <c r="AA29" s="72">
        <f>IF(SUM($P$18:P29)=0,"",SUM($E$18:E29)/SUM($P$18:P29))</f>
        <v>1.6700029375766987</v>
      </c>
      <c r="AB29" s="70" t="str">
        <f>IF(A29=Controls!$B$103,"◀ Antalpha bullet due: R"&amp;TEXT(Y29,"#,##0")&amp;"k - refinance/convert",IF(AND(Controls!$B$107=1,A29&gt;=Controls!$B$108)*( A29=Controls!$B$108 ),"◀ DMTN converts to equity",""))</f>
        <v/>
      </c>
      <c r="AC29" s="71">
        <f>G29+IF(A29=36,Controls!$B$113,0)</f>
        <v>2553.6898435936591</v>
      </c>
      <c r="AD29" s="71">
        <f>-J29+IF(A29=36,Q29+Controls!$B$113-T29,0)</f>
        <v>0</v>
      </c>
    </row>
    <row r="30" spans="1:30" ht="15" customHeight="1" x14ac:dyDescent="0.3">
      <c r="A30" s="41">
        <v>29</v>
      </c>
      <c r="B30" s="41" t="str">
        <f>Monthly_Deployment!C30</f>
        <v>Nov-28</v>
      </c>
      <c r="C30" s="65">
        <f>Revenue_36M!P30</f>
        <v>9650.4628332291832</v>
      </c>
      <c r="D30" s="65">
        <f>Opex_36M!P30</f>
        <v>7341.8166666666675</v>
      </c>
      <c r="E30" s="65">
        <f t="shared" si="0"/>
        <v>2308.6461665625156</v>
      </c>
      <c r="F30" s="65">
        <f>Capex_36M!O30</f>
        <v>0</v>
      </c>
      <c r="G30" s="65">
        <f t="shared" si="1"/>
        <v>2308.6461665625156</v>
      </c>
      <c r="H30" s="65">
        <f t="shared" si="7"/>
        <v>150931.17603987883</v>
      </c>
      <c r="I30" s="65">
        <f>MAX(Controls!$B$22+Controls!$B$111-(H30+G30),0)+IF(A30=1,Controls!$B$21*(Controls!$B$101+Controls!$B$104),0)</f>
        <v>0</v>
      </c>
      <c r="J30" s="65">
        <f>MIN(I30,MAX(Controls!$B$100-SUM($J$2:J29),0))</f>
        <v>0</v>
      </c>
      <c r="K30" s="65">
        <f t="shared" si="2"/>
        <v>0</v>
      </c>
      <c r="L30" s="65">
        <f>IF(A30=1,Controls!$B$21*(Controls!$B$101+Controls!$B$104),0)</f>
        <v>0</v>
      </c>
      <c r="M30" s="65">
        <f t="shared" si="3"/>
        <v>0</v>
      </c>
      <c r="N30" s="65">
        <f t="shared" si="4"/>
        <v>4459.6891996920413</v>
      </c>
      <c r="O30" s="65">
        <f>0</f>
        <v>0</v>
      </c>
      <c r="P30" s="65">
        <f>IF(A30&lt;=Controls!$B$109,0,N30+O30)</f>
        <v>4459.6891996920413</v>
      </c>
      <c r="Q30" s="65">
        <f t="shared" si="5"/>
        <v>148780.1330067493</v>
      </c>
      <c r="R30" s="65">
        <f t="shared" si="8"/>
        <v>482022.08554965188</v>
      </c>
      <c r="S30" s="65">
        <f>IF(A30&lt;=Controls!$B$109,N30,0)</f>
        <v>0</v>
      </c>
      <c r="T30" s="65">
        <f t="shared" si="6"/>
        <v>482022.08554965188</v>
      </c>
      <c r="U30" s="69">
        <f>MIN(I30-J30,MAX(Controls!$B$101-SUM($U$2:U29),0))</f>
        <v>0</v>
      </c>
      <c r="V30" s="69">
        <f>MIN(I30-J30-U30,MAX(Controls!$B$104-SUM($V$2:V29),0))</f>
        <v>0</v>
      </c>
      <c r="W30" s="69">
        <f>(Y29+U30/2)*Controls!$B$102/12</f>
        <v>2048.6796605658724</v>
      </c>
      <c r="X30" s="69">
        <f>IF(AND(Controls!$B$107=1,A30&gt;=Controls!$B$108),0,(Z29+V30/2)*Controls!$B$105/12)</f>
        <v>2411.0095391261689</v>
      </c>
      <c r="Y30" s="69">
        <f>Y29+U30+IF(A30&lt;=Controls!$B$109,W30,0)</f>
        <v>245841.5592679047</v>
      </c>
      <c r="Z30" s="69">
        <f>IF(AND(Controls!$B$107=1,A30&gt;=Controls!$B$108),0,Z29+V30+IF(A30&lt;=Controls!$B$109,X30,0))</f>
        <v>236180.52628174718</v>
      </c>
      <c r="AA30" s="72">
        <f>IF(SUM($P$19:P30)=0,"",SUM($E$19:E30)/SUM($P$19:P30))</f>
        <v>1.5421829534307572</v>
      </c>
      <c r="AB30" s="70" t="str">
        <f>IF(A30=Controls!$B$103,"◀ Antalpha bullet due: R"&amp;TEXT(Y30,"#,##0")&amp;"k - refinance/convert",IF(AND(Controls!$B$107=1,A30&gt;=Controls!$B$108)*( A30=Controls!$B$108 ),"◀ DMTN converts to equity",""))</f>
        <v/>
      </c>
      <c r="AC30" s="71">
        <f>G30+IF(A30=36,Controls!$B$113,0)</f>
        <v>2308.6461665625156</v>
      </c>
      <c r="AD30" s="71">
        <f>-J30+IF(A30=36,Q30+Controls!$B$113-T30,0)</f>
        <v>0</v>
      </c>
    </row>
    <row r="31" spans="1:30" ht="15" customHeight="1" x14ac:dyDescent="0.3">
      <c r="A31" s="41">
        <v>30</v>
      </c>
      <c r="B31" s="41" t="str">
        <f>Monthly_Deployment!C31</f>
        <v>Dec-28</v>
      </c>
      <c r="C31" s="65">
        <f>Revenue_36M!P31</f>
        <v>9882.5118929296405</v>
      </c>
      <c r="D31" s="65">
        <f>Opex_36M!P31</f>
        <v>7508.8566666666675</v>
      </c>
      <c r="E31" s="65">
        <f t="shared" si="0"/>
        <v>2373.655226262973</v>
      </c>
      <c r="F31" s="65">
        <f>Capex_36M!O31</f>
        <v>0</v>
      </c>
      <c r="G31" s="65">
        <f t="shared" si="1"/>
        <v>2373.655226262973</v>
      </c>
      <c r="H31" s="65">
        <f t="shared" si="7"/>
        <v>148780.1330067493</v>
      </c>
      <c r="I31" s="65">
        <f>MAX(Controls!$B$22+Controls!$B$111-(H31+G31),0)+IF(A31=1,Controls!$B$21*(Controls!$B$101+Controls!$B$104),0)</f>
        <v>0</v>
      </c>
      <c r="J31" s="65">
        <f>MIN(I31,MAX(Controls!$B$100-SUM($J$2:J30),0))</f>
        <v>0</v>
      </c>
      <c r="K31" s="65">
        <f t="shared" si="2"/>
        <v>0</v>
      </c>
      <c r="L31" s="65">
        <f>IF(A31=1,Controls!$B$21*(Controls!$B$101+Controls!$B$104),0)</f>
        <v>0</v>
      </c>
      <c r="M31" s="65">
        <f t="shared" si="3"/>
        <v>0</v>
      </c>
      <c r="N31" s="65">
        <f t="shared" si="4"/>
        <v>4459.6891996920413</v>
      </c>
      <c r="O31" s="65">
        <f>0</f>
        <v>0</v>
      </c>
      <c r="P31" s="65">
        <f>IF(A31&lt;=Controls!$B$109,0,N31+O31)</f>
        <v>4459.6891996920413</v>
      </c>
      <c r="Q31" s="65">
        <f t="shared" si="5"/>
        <v>146694.09903332024</v>
      </c>
      <c r="R31" s="65">
        <f t="shared" si="8"/>
        <v>482022.08554965188</v>
      </c>
      <c r="S31" s="65">
        <f>IF(A31&lt;=Controls!$B$109,N31,0)</f>
        <v>0</v>
      </c>
      <c r="T31" s="65">
        <f t="shared" si="6"/>
        <v>482022.08554965188</v>
      </c>
      <c r="U31" s="69">
        <f>MIN(I31-J31,MAX(Controls!$B$101-SUM($U$2:U30),0))</f>
        <v>0</v>
      </c>
      <c r="V31" s="69">
        <f>MIN(I31-J31-U31,MAX(Controls!$B$104-SUM($V$2:V30),0))</f>
        <v>0</v>
      </c>
      <c r="W31" s="69">
        <f>(Y30+U31/2)*Controls!$B$102/12</f>
        <v>2048.6796605658724</v>
      </c>
      <c r="X31" s="69">
        <f>IF(AND(Controls!$B$107=1,A31&gt;=Controls!$B$108),0,(Z30+V31/2)*Controls!$B$105/12)</f>
        <v>2411.0095391261689</v>
      </c>
      <c r="Y31" s="69">
        <f>Y30+U31+IF(A31&lt;=Controls!$B$109,W31,0)</f>
        <v>245841.5592679047</v>
      </c>
      <c r="Z31" s="69">
        <f>IF(AND(Controls!$B$107=1,A31&gt;=Controls!$B$108),0,Z30+V31+IF(A31&lt;=Controls!$B$109,X31,0))</f>
        <v>236180.52628174718</v>
      </c>
      <c r="AA31" s="72">
        <f>IF(SUM($P$20:P31)=0,"",SUM($E$20:E31)/SUM($P$20:P31))</f>
        <v>1.4121368938644914</v>
      </c>
      <c r="AB31" s="70" t="str">
        <f>IF(A31=Controls!$B$103,"◀ Antalpha bullet due: R"&amp;TEXT(Y31,"#,##0")&amp;"k - refinance/convert",IF(AND(Controls!$B$107=1,A31&gt;=Controls!$B$108)*( A31=Controls!$B$108 ),"◀ DMTN converts to equity",""))</f>
        <v/>
      </c>
      <c r="AC31" s="71">
        <f>G31+IF(A31=36,Controls!$B$113,0)</f>
        <v>2373.655226262973</v>
      </c>
      <c r="AD31" s="71">
        <f>-J31+IF(A31=36,Q31+Controls!$B$113-T31,0)</f>
        <v>0</v>
      </c>
    </row>
    <row r="32" spans="1:30" ht="15" customHeight="1" x14ac:dyDescent="0.3">
      <c r="A32" s="41">
        <v>31</v>
      </c>
      <c r="B32" s="41" t="str">
        <f>Monthly_Deployment!C32</f>
        <v>Jan-29</v>
      </c>
      <c r="C32" s="65">
        <f>Revenue_36M!P32</f>
        <v>9793.6414667551562</v>
      </c>
      <c r="D32" s="65">
        <f>Opex_36M!P32</f>
        <v>7508.8566666666675</v>
      </c>
      <c r="E32" s="65">
        <f t="shared" si="0"/>
        <v>2284.7848000884887</v>
      </c>
      <c r="F32" s="65">
        <f>Capex_36M!O32</f>
        <v>0</v>
      </c>
      <c r="G32" s="65">
        <f t="shared" si="1"/>
        <v>2284.7848000884887</v>
      </c>
      <c r="H32" s="65">
        <f t="shared" si="7"/>
        <v>146694.09903332024</v>
      </c>
      <c r="I32" s="65">
        <f>MAX(Controls!$B$22+Controls!$B$111-(H32+G32),0)+IF(A32=1,Controls!$B$21*(Controls!$B$101+Controls!$B$104),0)</f>
        <v>0</v>
      </c>
      <c r="J32" s="65">
        <f>MIN(I32,MAX(Controls!$B$100-SUM($J$2:J31),0))</f>
        <v>0</v>
      </c>
      <c r="K32" s="65">
        <f t="shared" si="2"/>
        <v>0</v>
      </c>
      <c r="L32" s="65">
        <f>IF(A32=1,Controls!$B$21*(Controls!$B$101+Controls!$B$104),0)</f>
        <v>0</v>
      </c>
      <c r="M32" s="65">
        <f t="shared" si="3"/>
        <v>0</v>
      </c>
      <c r="N32" s="65">
        <f t="shared" si="4"/>
        <v>4459.6891996920413</v>
      </c>
      <c r="O32" s="65">
        <f>0</f>
        <v>0</v>
      </c>
      <c r="P32" s="65">
        <f>IF(A32&lt;=Controls!$B$109,0,N32+O32)</f>
        <v>4459.6891996920413</v>
      </c>
      <c r="Q32" s="65">
        <f t="shared" si="5"/>
        <v>144519.19463371669</v>
      </c>
      <c r="R32" s="65">
        <f t="shared" si="8"/>
        <v>482022.08554965188</v>
      </c>
      <c r="S32" s="65">
        <f>IF(A32&lt;=Controls!$B$109,N32,0)</f>
        <v>0</v>
      </c>
      <c r="T32" s="65">
        <f t="shared" si="6"/>
        <v>482022.08554965188</v>
      </c>
      <c r="U32" s="69">
        <f>MIN(I32-J32,MAX(Controls!$B$101-SUM($U$2:U31),0))</f>
        <v>0</v>
      </c>
      <c r="V32" s="69">
        <f>MIN(I32-J32-U32,MAX(Controls!$B$104-SUM($V$2:V31),0))</f>
        <v>0</v>
      </c>
      <c r="W32" s="69">
        <f>(Y31+U32/2)*Controls!$B$102/12</f>
        <v>2048.6796605658724</v>
      </c>
      <c r="X32" s="69">
        <f>IF(AND(Controls!$B$107=1,A32&gt;=Controls!$B$108),0,(Z31+V32/2)*Controls!$B$105/12)</f>
        <v>2411.0095391261689</v>
      </c>
      <c r="Y32" s="69">
        <f>Y31+U32+IF(A32&lt;=Controls!$B$109,W32,0)</f>
        <v>245841.5592679047</v>
      </c>
      <c r="Z32" s="69">
        <f>IF(AND(Controls!$B$107=1,A32&gt;=Controls!$B$108),0,Z31+V32+IF(A32&lt;=Controls!$B$109,X32,0))</f>
        <v>236180.52628174718</v>
      </c>
      <c r="AA32" s="72">
        <f>IF(SUM($P$21:P32)=0,"",SUM($E$21:E32)/SUM($P$21:P32))</f>
        <v>1.1873483123232207</v>
      </c>
      <c r="AB32" s="70" t="str">
        <f>IF(A32=Controls!$B$103,"◀ Antalpha bullet due: R"&amp;TEXT(Y32,"#,##0")&amp;"k - refinance/convert",IF(AND(Controls!$B$107=1,A32&gt;=Controls!$B$108)*( A32=Controls!$B$108 ),"◀ DMTN converts to equity",""))</f>
        <v/>
      </c>
      <c r="AC32" s="71">
        <f>G32+IF(A32=36,Controls!$B$113,0)</f>
        <v>2284.7848000884887</v>
      </c>
      <c r="AD32" s="71">
        <f>-J32+IF(A32=36,Q32+Controls!$B$113-T32,0)</f>
        <v>0</v>
      </c>
    </row>
    <row r="33" spans="1:30" ht="15" customHeight="1" x14ac:dyDescent="0.3">
      <c r="A33" s="41">
        <v>32</v>
      </c>
      <c r="B33" s="41" t="str">
        <f>Monthly_Deployment!C33</f>
        <v>Feb-29</v>
      </c>
      <c r="C33" s="65">
        <f>Revenue_36M!P33</f>
        <v>8766.2831265014847</v>
      </c>
      <c r="D33" s="65">
        <f>Opex_36M!P33</f>
        <v>7007.7366666666676</v>
      </c>
      <c r="E33" s="65">
        <f t="shared" si="0"/>
        <v>1758.5464598348171</v>
      </c>
      <c r="F33" s="65">
        <f>Capex_36M!O33</f>
        <v>0</v>
      </c>
      <c r="G33" s="65">
        <f t="shared" si="1"/>
        <v>1758.5464598348171</v>
      </c>
      <c r="H33" s="65">
        <f t="shared" si="7"/>
        <v>144519.19463371669</v>
      </c>
      <c r="I33" s="65">
        <f>MAX(Controls!$B$22+Controls!$B$111-(H33+G33),0)+IF(A33=1,Controls!$B$21*(Controls!$B$101+Controls!$B$104),0)</f>
        <v>0</v>
      </c>
      <c r="J33" s="65">
        <f>MIN(I33,MAX(Controls!$B$100-SUM($J$2:J32),0))</f>
        <v>0</v>
      </c>
      <c r="K33" s="65">
        <f t="shared" si="2"/>
        <v>0</v>
      </c>
      <c r="L33" s="65">
        <f>IF(A33=1,Controls!$B$21*(Controls!$B$101+Controls!$B$104),0)</f>
        <v>0</v>
      </c>
      <c r="M33" s="65">
        <f t="shared" si="3"/>
        <v>0</v>
      </c>
      <c r="N33" s="65">
        <f t="shared" si="4"/>
        <v>4459.6891996920413</v>
      </c>
      <c r="O33" s="65">
        <f>0</f>
        <v>0</v>
      </c>
      <c r="P33" s="65">
        <f>IF(A33&lt;=Controls!$B$109,0,N33+O33)</f>
        <v>4459.6891996920413</v>
      </c>
      <c r="Q33" s="65">
        <f t="shared" si="5"/>
        <v>141818.05189385946</v>
      </c>
      <c r="R33" s="65">
        <f t="shared" si="8"/>
        <v>482022.08554965188</v>
      </c>
      <c r="S33" s="65">
        <f>IF(A33&lt;=Controls!$B$109,N33,0)</f>
        <v>0</v>
      </c>
      <c r="T33" s="65">
        <f t="shared" si="6"/>
        <v>482022.08554965188</v>
      </c>
      <c r="U33" s="69">
        <f>MIN(I33-J33,MAX(Controls!$B$101-SUM($U$2:U32),0))</f>
        <v>0</v>
      </c>
      <c r="V33" s="69">
        <f>MIN(I33-J33-U33,MAX(Controls!$B$104-SUM($V$2:V32),0))</f>
        <v>0</v>
      </c>
      <c r="W33" s="69">
        <f>(Y32+U33/2)*Controls!$B$102/12</f>
        <v>2048.6796605658724</v>
      </c>
      <c r="X33" s="69">
        <f>IF(AND(Controls!$B$107=1,A33&gt;=Controls!$B$108),0,(Z32+V33/2)*Controls!$B$105/12)</f>
        <v>2411.0095391261689</v>
      </c>
      <c r="Y33" s="69">
        <f>Y32+U33+IF(A33&lt;=Controls!$B$109,W33,0)</f>
        <v>245841.5592679047</v>
      </c>
      <c r="Z33" s="69">
        <f>IF(AND(Controls!$B$107=1,A33&gt;=Controls!$B$108),0,Z32+V33+IF(A33&lt;=Controls!$B$109,X33,0))</f>
        <v>236180.52628174718</v>
      </c>
      <c r="AA33" s="72">
        <f>IF(SUM($P$22:P33)=0,"",SUM($E$22:E33)/SUM($P$22:P33))</f>
        <v>0.97620492840630391</v>
      </c>
      <c r="AB33" s="70" t="str">
        <f>IF(A33=Controls!$B$103,"◀ Antalpha bullet due: R"&amp;TEXT(Y33,"#,##0")&amp;"k - refinance/convert",IF(AND(Controls!$B$107=1,A33&gt;=Controls!$B$108)*( A33=Controls!$B$108 ),"◀ DMTN converts to equity",""))</f>
        <v/>
      </c>
      <c r="AC33" s="71">
        <f>G33+IF(A33=36,Controls!$B$113,0)</f>
        <v>1758.5464598348171</v>
      </c>
      <c r="AD33" s="71">
        <f>-J33+IF(A33=36,Q33+Controls!$B$113-T33,0)</f>
        <v>0</v>
      </c>
    </row>
    <row r="34" spans="1:30" ht="15" customHeight="1" x14ac:dyDescent="0.3">
      <c r="A34" s="41">
        <v>33</v>
      </c>
      <c r="B34" s="41" t="str">
        <f>Monthly_Deployment!C34</f>
        <v>Mar-29</v>
      </c>
      <c r="C34" s="65">
        <f>Revenue_36M!P34</f>
        <v>9618.1648695457552</v>
      </c>
      <c r="D34" s="65">
        <f>Opex_36M!P34</f>
        <v>7508.8566666666675</v>
      </c>
      <c r="E34" s="65">
        <f t="shared" si="0"/>
        <v>2109.3082028790877</v>
      </c>
      <c r="F34" s="65">
        <f>Capex_36M!O34</f>
        <v>0</v>
      </c>
      <c r="G34" s="65">
        <f t="shared" si="1"/>
        <v>2109.3082028790877</v>
      </c>
      <c r="H34" s="65">
        <f t="shared" si="7"/>
        <v>141818.05189385946</v>
      </c>
      <c r="I34" s="65">
        <f>MAX(Controls!$B$22+Controls!$B$111-(H34+G34),0)+IF(A34=1,Controls!$B$21*(Controls!$B$101+Controls!$B$104),0)</f>
        <v>0</v>
      </c>
      <c r="J34" s="65">
        <f>MIN(I34,MAX(Controls!$B$100-SUM($J$2:J33),0))</f>
        <v>0</v>
      </c>
      <c r="K34" s="65">
        <f t="shared" si="2"/>
        <v>0</v>
      </c>
      <c r="L34" s="65">
        <f>IF(A34=1,Controls!$B$21*(Controls!$B$101+Controls!$B$104),0)</f>
        <v>0</v>
      </c>
      <c r="M34" s="65">
        <f t="shared" si="3"/>
        <v>0</v>
      </c>
      <c r="N34" s="65">
        <f t="shared" si="4"/>
        <v>4459.6891996920413</v>
      </c>
      <c r="O34" s="65">
        <f>0</f>
        <v>0</v>
      </c>
      <c r="P34" s="65">
        <f>IF(A34&lt;=Controls!$B$109,0,N34+O34)</f>
        <v>4459.6891996920413</v>
      </c>
      <c r="Q34" s="65">
        <f t="shared" si="5"/>
        <v>139467.67089704651</v>
      </c>
      <c r="R34" s="65">
        <f t="shared" si="8"/>
        <v>482022.08554965188</v>
      </c>
      <c r="S34" s="65">
        <f>IF(A34&lt;=Controls!$B$109,N34,0)</f>
        <v>0</v>
      </c>
      <c r="T34" s="65">
        <f t="shared" si="6"/>
        <v>482022.08554965188</v>
      </c>
      <c r="U34" s="69">
        <f>MIN(I34-J34,MAX(Controls!$B$101-SUM($U$2:U33),0))</f>
        <v>0</v>
      </c>
      <c r="V34" s="69">
        <f>MIN(I34-J34-U34,MAX(Controls!$B$104-SUM($V$2:V33),0))</f>
        <v>0</v>
      </c>
      <c r="W34" s="69">
        <f>(Y33+U34/2)*Controls!$B$102/12</f>
        <v>2048.6796605658724</v>
      </c>
      <c r="X34" s="69">
        <f>IF(AND(Controls!$B$107=1,A34&gt;=Controls!$B$108),0,(Z33+V34/2)*Controls!$B$105/12)</f>
        <v>2411.0095391261689</v>
      </c>
      <c r="Y34" s="69">
        <f>Y33+U34+IF(A34&lt;=Controls!$B$109,W34,0)</f>
        <v>245841.5592679047</v>
      </c>
      <c r="Z34" s="69">
        <f>IF(AND(Controls!$B$107=1,A34&gt;=Controls!$B$108),0,Z33+V34+IF(A34&lt;=Controls!$B$109,X34,0))</f>
        <v>236180.52628174718</v>
      </c>
      <c r="AA34" s="72">
        <f>IF(SUM($P$23:P34)=0,"",SUM($E$23:E34)/SUM($P$23:P34))</f>
        <v>0.75540100342222372</v>
      </c>
      <c r="AB34" s="70" t="str">
        <f>IF(A34=Controls!$B$103,"◀ Antalpha bullet due: R"&amp;TEXT(Y34,"#,##0")&amp;"k - refinance/convert",IF(AND(Controls!$B$107=1,A34&gt;=Controls!$B$108)*( A34=Controls!$B$108 ),"◀ DMTN converts to equity",""))</f>
        <v/>
      </c>
      <c r="AC34" s="71">
        <f>G34+IF(A34=36,Controls!$B$113,0)</f>
        <v>2109.3082028790877</v>
      </c>
      <c r="AD34" s="71">
        <f>-J34+IF(A34=36,Q34+Controls!$B$113-T34,0)</f>
        <v>0</v>
      </c>
    </row>
    <row r="35" spans="1:30" ht="15" customHeight="1" x14ac:dyDescent="0.3">
      <c r="A35" s="41">
        <v>34</v>
      </c>
      <c r="B35" s="41" t="str">
        <f>Monthly_Deployment!C35</f>
        <v>Apr-29</v>
      </c>
      <c r="C35" s="65">
        <f>Revenue_36M!P35</f>
        <v>9224.0777479550361</v>
      </c>
      <c r="D35" s="65">
        <f>Opex_36M!P35</f>
        <v>7341.8166666666675</v>
      </c>
      <c r="E35" s="65">
        <f t="shared" si="0"/>
        <v>1882.2610812883686</v>
      </c>
      <c r="F35" s="65">
        <f>Capex_36M!O35</f>
        <v>0</v>
      </c>
      <c r="G35" s="65">
        <f t="shared" si="1"/>
        <v>1882.2610812883686</v>
      </c>
      <c r="H35" s="65">
        <f t="shared" si="7"/>
        <v>139467.67089704651</v>
      </c>
      <c r="I35" s="65">
        <f>MAX(Controls!$B$22+Controls!$B$111-(H35+G35),0)+IF(A35=1,Controls!$B$21*(Controls!$B$101+Controls!$B$104),0)</f>
        <v>0</v>
      </c>
      <c r="J35" s="65">
        <f>MIN(I35,MAX(Controls!$B$100-SUM($J$2:J34),0))</f>
        <v>0</v>
      </c>
      <c r="K35" s="65">
        <f t="shared" si="2"/>
        <v>0</v>
      </c>
      <c r="L35" s="65">
        <f>IF(A35=1,Controls!$B$21*(Controls!$B$101+Controls!$B$104),0)</f>
        <v>0</v>
      </c>
      <c r="M35" s="65">
        <f t="shared" si="3"/>
        <v>0</v>
      </c>
      <c r="N35" s="65">
        <f t="shared" si="4"/>
        <v>4459.6891996920413</v>
      </c>
      <c r="O35" s="65">
        <f>0</f>
        <v>0</v>
      </c>
      <c r="P35" s="65">
        <f>IF(A35&lt;=Controls!$B$109,0,N35+O35)</f>
        <v>4459.6891996920413</v>
      </c>
      <c r="Q35" s="65">
        <f t="shared" si="5"/>
        <v>136890.24277864283</v>
      </c>
      <c r="R35" s="65">
        <f t="shared" si="8"/>
        <v>482022.08554965188</v>
      </c>
      <c r="S35" s="65">
        <f>IF(A35&lt;=Controls!$B$109,N35,0)</f>
        <v>0</v>
      </c>
      <c r="T35" s="65">
        <f t="shared" si="6"/>
        <v>482022.08554965188</v>
      </c>
      <c r="U35" s="69">
        <f>MIN(I35-J35,MAX(Controls!$B$101-SUM($U$2:U34),0))</f>
        <v>0</v>
      </c>
      <c r="V35" s="69">
        <f>MIN(I35-J35-U35,MAX(Controls!$B$104-SUM($V$2:V34),0))</f>
        <v>0</v>
      </c>
      <c r="W35" s="69">
        <f>(Y34+U35/2)*Controls!$B$102/12</f>
        <v>2048.6796605658724</v>
      </c>
      <c r="X35" s="69">
        <f>IF(AND(Controls!$B$107=1,A35&gt;=Controls!$B$108),0,(Z34+V35/2)*Controls!$B$105/12)</f>
        <v>2411.0095391261689</v>
      </c>
      <c r="Y35" s="69">
        <f>Y34+U35+IF(A35&lt;=Controls!$B$109,W35,0)</f>
        <v>245841.5592679047</v>
      </c>
      <c r="Z35" s="69">
        <f>IF(AND(Controls!$B$107=1,A35&gt;=Controls!$B$108),0,Z34+V35+IF(A35&lt;=Controls!$B$109,X35,0))</f>
        <v>236180.52628174718</v>
      </c>
      <c r="AA35" s="72">
        <f>IF(SUM($P$24:P35)=0,"",SUM($E$24:E35)/SUM($P$24:P35))</f>
        <v>0.54362364835500776</v>
      </c>
      <c r="AB35" s="70" t="str">
        <f>IF(A35=Controls!$B$103,"◀ Antalpha bullet due: R"&amp;TEXT(Y35,"#,##0")&amp;"k - refinance/convert",IF(AND(Controls!$B$107=1,A35&gt;=Controls!$B$108)*( A35=Controls!$B$108 ),"◀ DMTN converts to equity",""))</f>
        <v/>
      </c>
      <c r="AC35" s="71">
        <f>G35+IF(A35=36,Controls!$B$113,0)</f>
        <v>1882.2610812883686</v>
      </c>
      <c r="AD35" s="71">
        <f>-J35+IF(A35=36,Q35+Controls!$B$113-T35,0)</f>
        <v>0</v>
      </c>
    </row>
    <row r="36" spans="1:30" ht="15" customHeight="1" x14ac:dyDescent="0.3">
      <c r="A36" s="41">
        <v>35</v>
      </c>
      <c r="B36" s="41" t="str">
        <f>Monthly_Deployment!C36</f>
        <v>May-29</v>
      </c>
      <c r="C36" s="65">
        <f>Revenue_36M!P36</f>
        <v>9445.6683666743229</v>
      </c>
      <c r="D36" s="65">
        <f>Opex_36M!P36</f>
        <v>7508.8566666666675</v>
      </c>
      <c r="E36" s="65">
        <f t="shared" si="0"/>
        <v>1936.8117000076554</v>
      </c>
      <c r="F36" s="65">
        <f>Capex_36M!O36</f>
        <v>0</v>
      </c>
      <c r="G36" s="65">
        <f t="shared" si="1"/>
        <v>1936.8117000076554</v>
      </c>
      <c r="H36" s="65">
        <f t="shared" si="7"/>
        <v>136890.24277864283</v>
      </c>
      <c r="I36" s="65">
        <f>MAX(Controls!$B$22+Controls!$B$111-(H36+G36),0)+IF(A36=1,Controls!$B$21*(Controls!$B$101+Controls!$B$104),0)</f>
        <v>0</v>
      </c>
      <c r="J36" s="65">
        <f>MIN(I36,MAX(Controls!$B$100-SUM($J$2:J35),0))</f>
        <v>0</v>
      </c>
      <c r="K36" s="65">
        <f t="shared" si="2"/>
        <v>0</v>
      </c>
      <c r="L36" s="65">
        <f>IF(A36=1,Controls!$B$21*(Controls!$B$101+Controls!$B$104),0)</f>
        <v>0</v>
      </c>
      <c r="M36" s="65">
        <f t="shared" si="3"/>
        <v>0</v>
      </c>
      <c r="N36" s="65">
        <f t="shared" si="4"/>
        <v>4459.6891996920413</v>
      </c>
      <c r="O36" s="65">
        <f>0</f>
        <v>0</v>
      </c>
      <c r="P36" s="65">
        <f>IF(A36&lt;=Controls!$B$109,0,N36+O36)</f>
        <v>4459.6891996920413</v>
      </c>
      <c r="Q36" s="65">
        <f t="shared" si="5"/>
        <v>134367.36527895843</v>
      </c>
      <c r="R36" s="65">
        <f t="shared" si="8"/>
        <v>482022.08554965188</v>
      </c>
      <c r="S36" s="65">
        <f>IF(A36&lt;=Controls!$B$109,N36,0)</f>
        <v>0</v>
      </c>
      <c r="T36" s="65">
        <f t="shared" si="6"/>
        <v>482022.08554965188</v>
      </c>
      <c r="U36" s="69">
        <f>MIN(I36-J36,MAX(Controls!$B$101-SUM($U$2:U35),0))</f>
        <v>0</v>
      </c>
      <c r="V36" s="69">
        <f>MIN(I36-J36-U36,MAX(Controls!$B$104-SUM($V$2:V35),0))</f>
        <v>0</v>
      </c>
      <c r="W36" s="69">
        <f>(Y35+U36/2)*Controls!$B$102/12</f>
        <v>2048.6796605658724</v>
      </c>
      <c r="X36" s="69">
        <f>IF(AND(Controls!$B$107=1,A36&gt;=Controls!$B$108),0,(Z35+V36/2)*Controls!$B$105/12)</f>
        <v>2411.0095391261689</v>
      </c>
      <c r="Y36" s="69">
        <f>Y35+U36+IF(A36&lt;=Controls!$B$109,W36,0)</f>
        <v>245841.5592679047</v>
      </c>
      <c r="Z36" s="69">
        <f>IF(AND(Controls!$B$107=1,A36&gt;=Controls!$B$108),0,Z35+V36+IF(A36&lt;=Controls!$B$109,X36,0))</f>
        <v>236180.52628174718</v>
      </c>
      <c r="AA36" s="72">
        <f>IF(SUM($P$25:P36)=0,"",SUM($E$25:E36)/SUM($P$25:P36))</f>
        <v>0.5234311953569144</v>
      </c>
      <c r="AB36" s="70" t="str">
        <f>IF(A36=Controls!$B$103,"◀ Antalpha bullet due: R"&amp;TEXT(Y36,"#,##0")&amp;"k - refinance/convert",IF(AND(Controls!$B$107=1,A36&gt;=Controls!$B$108)*( A36=Controls!$B$108 ),"◀ DMTN converts to equity",""))</f>
        <v/>
      </c>
      <c r="AC36" s="71">
        <f>G36+IF(A36=36,Controls!$B$113,0)</f>
        <v>1936.8117000076554</v>
      </c>
      <c r="AD36" s="71">
        <f>-J36+IF(A36=36,Q36+Controls!$B$113-T36,0)</f>
        <v>0</v>
      </c>
    </row>
    <row r="37" spans="1:30" ht="15" customHeight="1" x14ac:dyDescent="0.3">
      <c r="A37" s="41">
        <v>36</v>
      </c>
      <c r="B37" s="41" t="str">
        <f>Monthly_Deployment!C37</f>
        <v>Jun-29</v>
      </c>
      <c r="C37" s="65">
        <f>Revenue_36M!P37</f>
        <v>9058.5708360832377</v>
      </c>
      <c r="D37" s="65">
        <f>Opex_36M!P37</f>
        <v>7341.8166666666675</v>
      </c>
      <c r="E37" s="65">
        <f t="shared" si="0"/>
        <v>1716.7541694165702</v>
      </c>
      <c r="F37" s="65">
        <f>Capex_36M!O37</f>
        <v>0</v>
      </c>
      <c r="G37" s="65">
        <f t="shared" si="1"/>
        <v>1716.7541694165702</v>
      </c>
      <c r="H37" s="65">
        <f t="shared" si="7"/>
        <v>134367.36527895843</v>
      </c>
      <c r="I37" s="65">
        <f>MAX(Controls!$B$22+Controls!$B$111-(H37+G37),0)+IF(A37=1,Controls!$B$21*(Controls!$B$101+Controls!$B$104),0)</f>
        <v>0</v>
      </c>
      <c r="J37" s="65">
        <f>MIN(I37,MAX(Controls!$B$100-SUM($J$2:J36),0))</f>
        <v>0</v>
      </c>
      <c r="K37" s="65">
        <f t="shared" si="2"/>
        <v>0</v>
      </c>
      <c r="L37" s="65">
        <f>IF(A37=1,Controls!$B$21*(Controls!$B$101+Controls!$B$104),0)</f>
        <v>0</v>
      </c>
      <c r="M37" s="65">
        <f t="shared" si="3"/>
        <v>0</v>
      </c>
      <c r="N37" s="65">
        <f t="shared" si="4"/>
        <v>4459.6891996920413</v>
      </c>
      <c r="O37" s="65">
        <f>0</f>
        <v>0</v>
      </c>
      <c r="P37" s="65">
        <f>IF(A37&lt;=Controls!$B$109,0,N37+O37)</f>
        <v>4459.6891996920413</v>
      </c>
      <c r="Q37" s="65">
        <f t="shared" si="5"/>
        <v>131624.43024868297</v>
      </c>
      <c r="R37" s="65">
        <f t="shared" si="8"/>
        <v>482022.08554965188</v>
      </c>
      <c r="S37" s="65">
        <f>IF(A37&lt;=Controls!$B$109,N37,0)</f>
        <v>0</v>
      </c>
      <c r="T37" s="65">
        <f t="shared" si="6"/>
        <v>482022.08554965188</v>
      </c>
      <c r="U37" s="69">
        <f>MIN(I37-J37,MAX(Controls!$B$101-SUM($U$2:U36),0))</f>
        <v>0</v>
      </c>
      <c r="V37" s="69">
        <f>MIN(I37-J37-U37,MAX(Controls!$B$104-SUM($V$2:V36),0))</f>
        <v>0</v>
      </c>
      <c r="W37" s="69">
        <f>(Y36+U37/2)*Controls!$B$102/12</f>
        <v>2048.6796605658724</v>
      </c>
      <c r="X37" s="69">
        <f>IF(AND(Controls!$B$107=1,A37&gt;=Controls!$B$108),0,(Z36+V37/2)*Controls!$B$105/12)</f>
        <v>2411.0095391261689</v>
      </c>
      <c r="Y37" s="69">
        <f>Y36+U37+IF(A37&lt;=Controls!$B$109,W37,0)</f>
        <v>245841.5592679047</v>
      </c>
      <c r="Z37" s="69">
        <f>IF(AND(Controls!$B$107=1,A37&gt;=Controls!$B$108),0,Z36+V37+IF(A37&lt;=Controls!$B$109,X37,0))</f>
        <v>236180.52628174718</v>
      </c>
      <c r="AA37" s="72">
        <f>IF(SUM($P$26:P37)=0,"",SUM($E$26:E37)/SUM($P$26:P37))</f>
        <v>0.5040562877736845</v>
      </c>
      <c r="AB37" s="70" t="str">
        <f>IF(A37=Controls!$B$103,"◀ Antalpha bullet due: R"&amp;TEXT(Y37,"#,##0")&amp;"k - refinance/convert",IF(AND(Controls!$B$107=1,A37&gt;=Controls!$B$108)*( A37=Controls!$B$108 ),"◀ DMTN converts to equity",""))</f>
        <v/>
      </c>
      <c r="AC37" s="71">
        <f>G37+IF(A37=36,Controls!$B$113,0)</f>
        <v>501716.75416941656</v>
      </c>
      <c r="AD37" s="71">
        <f>-J37+IF(A37=36,Q37+Controls!$B$113-T37,0)</f>
        <v>149602.34469903109</v>
      </c>
    </row>
    <row r="38" spans="1:30" ht="15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64"/>
      <c r="AB38" s="64"/>
      <c r="AC38" s="64"/>
      <c r="AD38" s="64"/>
    </row>
    <row r="39" spans="1:30" ht="1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64"/>
      <c r="AB39" s="64"/>
      <c r="AC39" s="64"/>
      <c r="AD39" s="64"/>
    </row>
    <row r="40" spans="1:30" ht="15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64"/>
      <c r="AB40" s="64"/>
      <c r="AC40" s="64"/>
      <c r="AD40" s="64"/>
    </row>
    <row r="41" spans="1:30" ht="15" customHeight="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64"/>
      <c r="AB41" s="64"/>
      <c r="AC41" s="64"/>
      <c r="AD41" s="64"/>
    </row>
    <row r="42" spans="1:30" ht="15" customHeigh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64"/>
      <c r="AB42" s="64"/>
      <c r="AC42" s="64"/>
      <c r="AD42" s="64"/>
    </row>
    <row r="43" spans="1:30" ht="15" customHeight="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64"/>
      <c r="AB43" s="64"/>
      <c r="AC43" s="64"/>
      <c r="AD43" s="64"/>
    </row>
    <row r="44" spans="1:30" ht="15" customHeight="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64"/>
      <c r="AB44" s="64"/>
      <c r="AC44" s="64"/>
      <c r="AD44" s="64"/>
    </row>
    <row r="45" spans="1:30" ht="15" customHeigh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64"/>
      <c r="AB45" s="64"/>
      <c r="AC45" s="64"/>
      <c r="AD45" s="64"/>
    </row>
    <row r="46" spans="1:30" ht="15" customHeight="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64"/>
      <c r="AB46" s="64"/>
      <c r="AC46" s="64"/>
      <c r="AD46" s="64"/>
    </row>
    <row r="47" spans="1:30" ht="15" customHeight="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64"/>
      <c r="AB47" s="64"/>
      <c r="AC47" s="64"/>
      <c r="AD47" s="64"/>
    </row>
    <row r="48" spans="1:30" ht="1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64"/>
      <c r="AB48" s="64"/>
      <c r="AC48" s="64"/>
      <c r="AD48" s="64"/>
    </row>
    <row r="49" spans="1:30" ht="1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64"/>
      <c r="AB49" s="64"/>
      <c r="AC49" s="64"/>
      <c r="AD49" s="64"/>
    </row>
    <row r="50" spans="1:30" ht="15" customHeight="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64"/>
      <c r="AB50" s="64"/>
      <c r="AC50" s="64"/>
      <c r="AD50" s="64"/>
    </row>
    <row r="51" spans="1:30" ht="15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64"/>
      <c r="AB51" s="64"/>
      <c r="AC51" s="64"/>
      <c r="AD51" s="64"/>
    </row>
    <row r="52" spans="1:30" ht="15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64"/>
      <c r="AB52" s="64"/>
      <c r="AC52" s="64"/>
      <c r="AD52" s="64"/>
    </row>
    <row r="53" spans="1:30" ht="15" customHeight="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64"/>
      <c r="AB53" s="64"/>
      <c r="AC53" s="64"/>
      <c r="AD53" s="64"/>
    </row>
    <row r="54" spans="1:30" ht="1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64"/>
      <c r="AB54" s="64"/>
      <c r="AC54" s="64"/>
      <c r="AD54" s="64"/>
    </row>
    <row r="55" spans="1:30" ht="15" customHeigh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64"/>
      <c r="AB55" s="64"/>
      <c r="AC55" s="64"/>
      <c r="AD55" s="64"/>
    </row>
    <row r="56" spans="1:30" ht="15" customHeight="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64"/>
      <c r="AB56" s="64"/>
      <c r="AC56" s="64"/>
      <c r="AD56" s="64"/>
    </row>
    <row r="57" spans="1:30" ht="15" customHeigh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64"/>
      <c r="AB57" s="64"/>
      <c r="AC57" s="64"/>
      <c r="AD57" s="64"/>
    </row>
    <row r="58" spans="1:30" ht="15" customHeight="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64"/>
      <c r="AB58" s="64"/>
      <c r="AC58" s="64"/>
      <c r="AD58" s="64"/>
    </row>
    <row r="59" spans="1:30" ht="15" customHeight="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64"/>
      <c r="AB59" s="64"/>
      <c r="AC59" s="64"/>
      <c r="AD59" s="64"/>
    </row>
    <row r="60" spans="1:30" ht="15" customHeigh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64"/>
      <c r="AB60" s="64"/>
      <c r="AC60" s="64"/>
      <c r="AD60" s="64"/>
    </row>
    <row r="61" spans="1:30" ht="15" customHeight="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64"/>
      <c r="AB61" s="64"/>
      <c r="AC61" s="64"/>
      <c r="AD61" s="64"/>
    </row>
    <row r="62" spans="1:30" ht="15" customHeigh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64"/>
      <c r="AB62" s="64"/>
      <c r="AC62" s="64"/>
      <c r="AD62" s="64"/>
    </row>
    <row r="63" spans="1:30" ht="15" customHeigh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64"/>
      <c r="AB63" s="64"/>
      <c r="AC63" s="64"/>
      <c r="AD63" s="64"/>
    </row>
    <row r="64" spans="1:30" ht="15" customHeight="1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64"/>
      <c r="AB64" s="64"/>
      <c r="AC64" s="64"/>
      <c r="AD64" s="64"/>
    </row>
    <row r="65" spans="1:30" ht="15" customHeigh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64"/>
      <c r="AB65" s="64"/>
      <c r="AC65" s="64"/>
      <c r="AD65" s="64"/>
    </row>
    <row r="66" spans="1:30" ht="15" customHeigh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64"/>
      <c r="AB66" s="64"/>
      <c r="AC66" s="64"/>
      <c r="AD66" s="64"/>
    </row>
    <row r="67" spans="1:30" ht="15" customHeight="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64"/>
      <c r="AB67" s="64"/>
      <c r="AC67" s="64"/>
      <c r="AD67" s="64"/>
    </row>
    <row r="68" spans="1:30" ht="15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64"/>
      <c r="AB68" s="64"/>
      <c r="AC68" s="64"/>
      <c r="AD68" s="64"/>
    </row>
    <row r="69" spans="1:30" ht="15" customHeight="1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64"/>
      <c r="AB69" s="64"/>
      <c r="AC69" s="64"/>
      <c r="AD69" s="64"/>
    </row>
    <row r="70" spans="1:30" ht="15" customHeight="1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64"/>
      <c r="AB70" s="64"/>
      <c r="AC70" s="64"/>
      <c r="AD70" s="64"/>
    </row>
    <row r="71" spans="1:30" ht="15" customHeight="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64"/>
      <c r="AB71" s="64"/>
      <c r="AC71" s="64"/>
      <c r="AD71" s="64"/>
    </row>
    <row r="72" spans="1:30" ht="15" customHeigh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64"/>
      <c r="AB72" s="64"/>
      <c r="AC72" s="64"/>
      <c r="AD72" s="64"/>
    </row>
    <row r="73" spans="1:30" ht="15" customHeight="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64"/>
      <c r="AB73" s="64"/>
      <c r="AC73" s="64"/>
      <c r="AD73" s="64"/>
    </row>
    <row r="74" spans="1:30" ht="15" customHeight="1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64"/>
      <c r="AB74" s="64"/>
      <c r="AC74" s="64"/>
      <c r="AD74" s="64"/>
    </row>
    <row r="75" spans="1:30" ht="15" customHeight="1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64"/>
      <c r="AB75" s="64"/>
      <c r="AC75" s="64"/>
      <c r="AD75" s="64"/>
    </row>
    <row r="76" spans="1:30" ht="15" customHeight="1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64"/>
      <c r="AB76" s="64"/>
      <c r="AC76" s="64"/>
      <c r="AD76" s="64"/>
    </row>
    <row r="77" spans="1:30" ht="15" customHeight="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64"/>
      <c r="AB77" s="64"/>
      <c r="AC77" s="64"/>
      <c r="AD77" s="64"/>
    </row>
    <row r="78" spans="1:30" ht="15" customHeight="1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64"/>
      <c r="AB78" s="64"/>
      <c r="AC78" s="64"/>
      <c r="AD78" s="64"/>
    </row>
    <row r="79" spans="1:30" ht="15" customHeight="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64"/>
      <c r="AB79" s="64"/>
      <c r="AC79" s="64"/>
      <c r="AD79" s="64"/>
    </row>
    <row r="80" spans="1:30" ht="15" customHeight="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64"/>
      <c r="AB80" s="64"/>
      <c r="AC80" s="64"/>
      <c r="AD80" s="64"/>
    </row>
    <row r="81" spans="1:30" ht="15" customHeight="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64"/>
      <c r="AB81" s="64"/>
      <c r="AC81" s="64"/>
      <c r="AD81" s="64"/>
    </row>
    <row r="82" spans="1:30" ht="15" customHeight="1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64"/>
      <c r="AB82" s="64"/>
      <c r="AC82" s="64"/>
      <c r="AD82" s="64"/>
    </row>
    <row r="83" spans="1:30" ht="15" customHeight="1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64"/>
      <c r="AB83" s="64"/>
      <c r="AC83" s="64"/>
      <c r="AD83" s="64"/>
    </row>
    <row r="84" spans="1:30" ht="15" customHeight="1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64"/>
      <c r="AB84" s="64"/>
      <c r="AC84" s="64"/>
      <c r="AD84" s="64"/>
    </row>
    <row r="85" spans="1:30" ht="15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64"/>
      <c r="AB85" s="64"/>
      <c r="AC85" s="64"/>
      <c r="AD85" s="64"/>
    </row>
    <row r="86" spans="1:30" ht="15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64"/>
      <c r="AB86" s="64"/>
      <c r="AC86" s="64"/>
      <c r="AD86" s="64"/>
    </row>
    <row r="87" spans="1:30" ht="15" customHeight="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64"/>
      <c r="AB87" s="64"/>
      <c r="AC87" s="64"/>
      <c r="AD87" s="64"/>
    </row>
    <row r="88" spans="1:30" ht="15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64"/>
      <c r="AB88" s="64"/>
      <c r="AC88" s="64"/>
      <c r="AD88" s="64"/>
    </row>
    <row r="89" spans="1:30" ht="15" customHeight="1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64"/>
      <c r="AB89" s="64"/>
      <c r="AC89" s="64"/>
      <c r="AD89" s="64"/>
    </row>
    <row r="90" spans="1:30" ht="15" customHeight="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64"/>
      <c r="AB90" s="64"/>
      <c r="AC90" s="64"/>
      <c r="AD90" s="64"/>
    </row>
    <row r="91" spans="1:30" ht="15" customHeight="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64"/>
      <c r="AB91" s="64"/>
      <c r="AC91" s="64"/>
      <c r="AD91" s="64"/>
    </row>
    <row r="92" spans="1:30" ht="15" customHeight="1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64"/>
      <c r="AB92" s="64"/>
      <c r="AC92" s="64"/>
      <c r="AD92" s="64"/>
    </row>
    <row r="93" spans="1:30" ht="15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64"/>
      <c r="AB93" s="64"/>
      <c r="AC93" s="64"/>
      <c r="AD93" s="64"/>
    </row>
    <row r="94" spans="1:30" ht="15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64"/>
      <c r="AB94" s="64"/>
      <c r="AC94" s="64"/>
      <c r="AD94" s="64"/>
    </row>
    <row r="95" spans="1:30" ht="15" customHeight="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64"/>
      <c r="AB95" s="64"/>
      <c r="AC95" s="64"/>
      <c r="AD95" s="64"/>
    </row>
    <row r="96" spans="1:30" ht="15" customHeight="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64"/>
      <c r="AB96" s="64"/>
      <c r="AC96" s="64"/>
      <c r="AD96" s="64"/>
    </row>
    <row r="97" spans="1:30" ht="15" customHeight="1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64"/>
      <c r="AB97" s="64"/>
      <c r="AC97" s="64"/>
      <c r="AD97" s="64"/>
    </row>
    <row r="98" spans="1:30" ht="15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64"/>
      <c r="AB98" s="64"/>
      <c r="AC98" s="64"/>
      <c r="AD98" s="64"/>
    </row>
    <row r="99" spans="1:30" ht="15" customHeight="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64"/>
      <c r="AB99" s="64"/>
      <c r="AC99" s="64"/>
      <c r="AD99" s="64"/>
    </row>
    <row r="100" spans="1:30" ht="15" customHeight="1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64"/>
      <c r="AB100" s="64"/>
      <c r="AC100" s="64"/>
      <c r="AD100" s="64"/>
    </row>
  </sheetData>
  <pageMargins left="0.3" right="0.3" top="0.4" bottom="0.4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E293B"/>
    <pageSetUpPr fitToPage="1"/>
  </sheetPr>
  <dimension ref="A1:Z100"/>
  <sheetViews>
    <sheetView zoomScaleNormal="100" workbookViewId="0">
      <selection sqref="A1:E1"/>
    </sheetView>
  </sheetViews>
  <sheetFormatPr defaultColWidth="8.6640625" defaultRowHeight="13.2" x14ac:dyDescent="0.25"/>
  <cols>
    <col min="1" max="1" width="28" customWidth="1"/>
    <col min="2" max="2" width="14" customWidth="1"/>
    <col min="3" max="5" width="16" customWidth="1"/>
  </cols>
  <sheetData>
    <row r="1" spans="1:26" ht="39.75" customHeight="1" x14ac:dyDescent="0.3">
      <c r="A1" s="4" t="s">
        <v>423</v>
      </c>
      <c r="B1" s="4"/>
      <c r="C1" s="4"/>
      <c r="D1" s="4"/>
      <c r="E1" s="4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 x14ac:dyDescent="0.25">
      <c r="A3" s="73" t="s">
        <v>424</v>
      </c>
      <c r="B3" s="73" t="s">
        <v>425</v>
      </c>
      <c r="C3" s="73" t="s">
        <v>426</v>
      </c>
      <c r="D3" s="73" t="s">
        <v>427</v>
      </c>
      <c r="E3" s="73" t="s">
        <v>428</v>
      </c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15" customHeight="1" x14ac:dyDescent="0.3">
      <c r="A4" s="41" t="s">
        <v>429</v>
      </c>
      <c r="B4" s="41" t="s">
        <v>154</v>
      </c>
      <c r="C4" s="68">
        <f>INDEX(Monthly_Deployment!$J$2:$J$37,12)</f>
        <v>20</v>
      </c>
      <c r="D4" s="68">
        <f>INDEX(Monthly_Deployment!$J$2:$J$37,24)</f>
        <v>20</v>
      </c>
      <c r="E4" s="68">
        <f>INDEX(Monthly_Deployment!$J$2:$J$37,36)</f>
        <v>20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" customHeight="1" x14ac:dyDescent="0.3">
      <c r="A5" s="41" t="s">
        <v>430</v>
      </c>
      <c r="B5" s="41" t="s">
        <v>19</v>
      </c>
      <c r="C5" s="68">
        <f>SUM(Revenue_36M!$H$2:$H$13)</f>
        <v>171.32821546821404</v>
      </c>
      <c r="D5" s="68">
        <f>SUM(Revenue_36M!$H$14:$H$25)</f>
        <v>174.52604646729063</v>
      </c>
      <c r="E5" s="68">
        <f>SUM(Revenue_36M!$H$26:$H$37)</f>
        <v>80.686997350382555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" customHeight="1" x14ac:dyDescent="0.3">
      <c r="A6" s="41" t="s">
        <v>431</v>
      </c>
      <c r="B6" s="41" t="s">
        <v>9</v>
      </c>
      <c r="C6" s="65">
        <f>SUM(Revenue_36M!$I$2:$I$13)</f>
        <v>224399.48874118156</v>
      </c>
      <c r="D6" s="65">
        <f>SUM(Revenue_36M!$I$14:$I$25)</f>
        <v>238357.73549665386</v>
      </c>
      <c r="E6" s="65">
        <f>SUM(Revenue_36M!$I$26:$I$37)</f>
        <v>115912.21259145396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" customHeight="1" x14ac:dyDescent="0.3">
      <c r="A7" s="41" t="s">
        <v>432</v>
      </c>
      <c r="B7" s="41" t="s">
        <v>9</v>
      </c>
      <c r="C7" s="65">
        <f>SUM(Revenue_36M!$N$2:$N$13)</f>
        <v>0</v>
      </c>
      <c r="D7" s="65">
        <f>SUM(Revenue_36M!$N$14:$N$25)</f>
        <v>0</v>
      </c>
      <c r="E7" s="65">
        <f>SUM(Revenue_36M!$N$26:$N$37)</f>
        <v>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" customHeight="1" x14ac:dyDescent="0.3">
      <c r="A8" s="41" t="s">
        <v>433</v>
      </c>
      <c r="B8" s="41" t="s">
        <v>9</v>
      </c>
      <c r="C8" s="65">
        <f>SUM(Revenue_36M!$O$2:$O$13)</f>
        <v>0</v>
      </c>
      <c r="D8" s="65">
        <f>SUM(Revenue_36M!$O$14:$O$25)</f>
        <v>0</v>
      </c>
      <c r="E8" s="65">
        <f>SUM(Revenue_36M!$O$26:$O$37)</f>
        <v>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" customHeight="1" x14ac:dyDescent="0.3">
      <c r="A9" s="41" t="s">
        <v>434</v>
      </c>
      <c r="B9" s="41" t="s">
        <v>9</v>
      </c>
      <c r="C9" s="65">
        <f>SUM(Revenue_36M!$P$2:$P$13)</f>
        <v>224399.48874118156</v>
      </c>
      <c r="D9" s="65">
        <f>SUM(Revenue_36M!$P$14:$P$25)</f>
        <v>238357.73549665386</v>
      </c>
      <c r="E9" s="65">
        <f>SUM(Revenue_36M!$P$26:$P$37)</f>
        <v>115912.21259145396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" customHeight="1" x14ac:dyDescent="0.3">
      <c r="A10" s="41" t="s">
        <v>435</v>
      </c>
      <c r="B10" s="41" t="s">
        <v>9</v>
      </c>
      <c r="C10" s="65">
        <f>SUM(Opex_36M!$P$2:$P$13)</f>
        <v>123676.97166666665</v>
      </c>
      <c r="D10" s="65">
        <f>SUM(Opex_36M!$P$14:$P$25)</f>
        <v>119839.40000000002</v>
      </c>
      <c r="E10" s="65">
        <f>SUM(Opex_36M!$P$26:$P$37)</f>
        <v>88937.000000000015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" customHeight="1" x14ac:dyDescent="0.3">
      <c r="A11" s="41" t="s">
        <v>397</v>
      </c>
      <c r="B11" s="41" t="s">
        <v>9</v>
      </c>
      <c r="C11" s="65">
        <f>SUM(Funding_36M!$E$2:$E$13)</f>
        <v>100722.51707451488</v>
      </c>
      <c r="D11" s="65">
        <f>SUM(Funding_36M!$E$14:$E$25)</f>
        <v>118518.33549665389</v>
      </c>
      <c r="E11" s="65">
        <f>SUM(Funding_36M!$E$26:$E$37)</f>
        <v>26975.212591453965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" customHeight="1" x14ac:dyDescent="0.3">
      <c r="A12" s="41" t="s">
        <v>436</v>
      </c>
      <c r="B12" s="41" t="s">
        <v>9</v>
      </c>
      <c r="C12" s="65">
        <f>SUM(Capex_36M!$O$2:$O$13)</f>
        <v>511456.85714285716</v>
      </c>
      <c r="D12" s="65">
        <f>SUM(Capex_36M!$O$14:$O$25)</f>
        <v>0</v>
      </c>
      <c r="E12" s="65">
        <f>SUM(Capex_36M!$O$26:$O$37)</f>
        <v>0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" customHeight="1" x14ac:dyDescent="0.3">
      <c r="A13" s="41" t="s">
        <v>437</v>
      </c>
      <c r="B13" s="41" t="s">
        <v>9</v>
      </c>
      <c r="C13" s="65">
        <f>SUM(Funding_36M!$G$2:$G$13)</f>
        <v>-410734.34006834228</v>
      </c>
      <c r="D13" s="65">
        <f>SUM(Funding_36M!$G$14:$G$25)</f>
        <v>118518.33549665389</v>
      </c>
      <c r="E13" s="65">
        <f>SUM(Funding_36M!$G$26:$G$37)</f>
        <v>26975.212591453965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" customHeight="1" x14ac:dyDescent="0.3">
      <c r="A14" s="41" t="s">
        <v>402</v>
      </c>
      <c r="B14" s="41" t="s">
        <v>9</v>
      </c>
      <c r="C14" s="65">
        <f>SUM(Funding_36M!$J$2:$J$13)</f>
        <v>68000</v>
      </c>
      <c r="D14" s="65">
        <f>SUM(Funding_36M!$J$14:$J$25)</f>
        <v>0</v>
      </c>
      <c r="E14" s="65">
        <f>SUM(Funding_36M!$J$26:$J$37)</f>
        <v>0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" customHeight="1" x14ac:dyDescent="0.3">
      <c r="A15" s="41" t="s">
        <v>438</v>
      </c>
      <c r="B15" s="41" t="s">
        <v>9</v>
      </c>
      <c r="C15" s="65">
        <f>SUM(Funding_36M!$K$2:$K$13)</f>
        <v>467535.89821967867</v>
      </c>
      <c r="D15" s="65">
        <f>SUM(Funding_36M!$K$14:$K$25)</f>
        <v>0</v>
      </c>
      <c r="E15" s="65">
        <f>SUM(Funding_36M!$K$26:$K$37)</f>
        <v>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" customHeight="1" x14ac:dyDescent="0.3">
      <c r="A16" s="41" t="s">
        <v>439</v>
      </c>
      <c r="B16" s="41" t="s">
        <v>9</v>
      </c>
      <c r="C16" s="65">
        <f>INDEX(Funding_36M!$Q$2:$Q$37,12)</f>
        <v>93163.42295318417</v>
      </c>
      <c r="D16" s="65">
        <f>INDEX(Funding_36M!$Q$2:$Q$37,24)</f>
        <v>158165.48805353351</v>
      </c>
      <c r="E16" s="65">
        <f>INDEX(Funding_36M!$Q$2:$Q$37,36)</f>
        <v>131624.43024868297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" customHeight="1" x14ac:dyDescent="0.3">
      <c r="A17" s="41" t="s">
        <v>412</v>
      </c>
      <c r="B17" s="41" t="s">
        <v>9</v>
      </c>
      <c r="C17" s="65">
        <f>INDEX(Funding_36M!$T$2:$T$37,12)</f>
        <v>482022.08554965188</v>
      </c>
      <c r="D17" s="65">
        <f>INDEX(Funding_36M!$T$2:$T$37,24)</f>
        <v>482022.08554965188</v>
      </c>
      <c r="E17" s="65">
        <f>INDEX(Funding_36M!$T$2:$T$37,36)</f>
        <v>482022.08554965188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" customHeight="1" x14ac:dyDescent="0.3">
      <c r="A18" s="41" t="s">
        <v>440</v>
      </c>
      <c r="B18" s="41" t="s">
        <v>441</v>
      </c>
      <c r="C18" s="74">
        <f>IF(SUM(Funding_36M!$P$2:$P$13)=0,0,SUM(Funding_36M!$E$2:$E$13)/SUM(Funding_36M!$P$2:$P$13))</f>
        <v>3.764182979442833</v>
      </c>
      <c r="D18" s="74">
        <f>IF(SUM(Funding_36M!$P$14:$P$25)=0,0,SUM(Funding_36M!$E$14:$E$25)/SUM(Funding_36M!$P$14:$P$25))</f>
        <v>2.214622480583738</v>
      </c>
      <c r="E18" s="74">
        <f>IF(SUM(Funding_36M!$P$26:$P$37)=0,0,SUM(Funding_36M!$E$26:$E$37)/SUM(Funding_36M!$P$26:$P$37))</f>
        <v>0.5040562877736845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" customHeight="1" x14ac:dyDescent="0.3">
      <c r="A19" s="11" t="s">
        <v>442</v>
      </c>
      <c r="B19" s="11" t="s">
        <v>9</v>
      </c>
      <c r="C19" s="69">
        <f>SUM(Funding_36M!$N$2:$N$13)</f>
        <v>41244.322528125464</v>
      </c>
      <c r="D19" s="69">
        <f>SUM(Funding_36M!$N$14:$N$25)</f>
        <v>53516.270396304484</v>
      </c>
      <c r="E19" s="69">
        <f>SUM(Funding_36M!$N$26:$N$37)</f>
        <v>53516.270396304484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" customHeight="1" x14ac:dyDescent="0.3">
      <c r="A20" s="11" t="s">
        <v>443</v>
      </c>
      <c r="B20" s="11" t="s">
        <v>9</v>
      </c>
      <c r="C20" s="69">
        <f>SUM(Funding_36M!$P$2:$P$13)</f>
        <v>26758.135198152249</v>
      </c>
      <c r="D20" s="69">
        <f>SUM(Funding_36M!$P$14:$P$25)</f>
        <v>53516.270396304484</v>
      </c>
      <c r="E20" s="69">
        <f>SUM(Funding_36M!$P$26:$P$37)</f>
        <v>53516.270396304484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" customHeight="1" x14ac:dyDescent="0.3">
      <c r="A21" s="11" t="s">
        <v>444</v>
      </c>
      <c r="B21" s="11" t="s">
        <v>9</v>
      </c>
      <c r="C21" s="69">
        <f>INDEX(Funding_36M!$Y$2:$Y$37,12)</f>
        <v>245841.5592679047</v>
      </c>
      <c r="D21" s="69">
        <f>INDEX(Funding_36M!$Y$2:$Y$37,24)</f>
        <v>245841.5592679047</v>
      </c>
      <c r="E21" s="69">
        <f>INDEX(Funding_36M!$Y$2:$Y$37,36)</f>
        <v>245841.5592679047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" customHeight="1" x14ac:dyDescent="0.3">
      <c r="A22" s="11" t="s">
        <v>445</v>
      </c>
      <c r="B22" s="11" t="s">
        <v>9</v>
      </c>
      <c r="C22" s="69">
        <f>INDEX(Funding_36M!$Z$2:$Z$37,12)</f>
        <v>236180.52628174718</v>
      </c>
      <c r="D22" s="69">
        <f>INDEX(Funding_36M!$Z$2:$Z$37,24)</f>
        <v>236180.52628174718</v>
      </c>
      <c r="E22" s="69">
        <f>INDEX(Funding_36M!$Z$2:$Z$37,36)</f>
        <v>236180.52628174718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" customHeight="1" x14ac:dyDescent="0.3">
      <c r="A24" s="75" t="s">
        <v>446</v>
      </c>
      <c r="B24" s="76"/>
      <c r="C24" s="76"/>
      <c r="D24" s="76"/>
      <c r="E24" s="76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" customHeight="1" x14ac:dyDescent="0.3">
      <c r="A25" s="77" t="s">
        <v>447</v>
      </c>
      <c r="B25" s="78">
        <f>MIN(Funding_36M!$AA$14:$AA$37)</f>
        <v>0.5040562877736845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" customHeight="1" x14ac:dyDescent="0.3">
      <c r="A26" s="77" t="s">
        <v>448</v>
      </c>
      <c r="B26" s="79">
        <v>1.5</v>
      </c>
      <c r="C26" s="80" t="s">
        <v>449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" customHeight="1" x14ac:dyDescent="0.3">
      <c r="A27" s="77" t="s">
        <v>450</v>
      </c>
      <c r="B27" s="81" t="str">
        <f>IF(B25&gt;=B26,"PASS","BELOW COVENANT in stress year")</f>
        <v>BELOW COVENANT in stress year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" customHeight="1" x14ac:dyDescent="0.3">
      <c r="A28" s="77" t="s">
        <v>451</v>
      </c>
      <c r="B28" s="82">
        <f>INDEX(Funding_36M!$Y$2:$Y$37,24)</f>
        <v>245841.5592679047</v>
      </c>
      <c r="C28" s="80" t="s">
        <v>452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" customHeight="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" customHeight="1" x14ac:dyDescent="0.3">
      <c r="A30" s="1" t="s">
        <v>453</v>
      </c>
      <c r="B30" s="1"/>
      <c r="C30" s="1"/>
      <c r="D30" s="1"/>
      <c r="E30" s="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" customHeight="1" x14ac:dyDescent="0.3">
      <c r="A31" s="1"/>
      <c r="B31" s="1"/>
      <c r="C31" s="1"/>
      <c r="D31" s="1"/>
      <c r="E31" s="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" customHeight="1" x14ac:dyDescent="0.3">
      <c r="A32" s="1"/>
      <c r="B32" s="1"/>
      <c r="C32" s="1"/>
      <c r="D32" s="1"/>
      <c r="E32" s="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" customHeight="1" x14ac:dyDescent="0.3">
      <c r="A33" s="1"/>
      <c r="B33" s="1"/>
      <c r="C33" s="1"/>
      <c r="D33" s="1"/>
      <c r="E33" s="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" customHeight="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" customHeight="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" customHeight="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" customHeight="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" customHeight="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" customHeigh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" customHeight="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" customHeight="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" customHeigh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" customHeight="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" customHeight="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" customHeight="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" customHeight="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" customHeigh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" customHeight="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" customHeigh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" customHeight="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" customHeight="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" customHeigh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" customHeight="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" customHeigh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" customHeigh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" customHeight="1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" customHeigh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" customHeigh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" customHeight="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" customHeight="1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" customHeight="1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" customHeight="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" customHeigh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" customHeight="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" customHeight="1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" customHeight="1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" customHeight="1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" customHeight="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" customHeight="1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" customHeight="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" customHeight="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" customHeight="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" customHeight="1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" customHeight="1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" customHeight="1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" customHeight="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" customHeight="1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" customHeight="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" customHeight="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" customHeight="1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" customHeight="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" customHeight="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" customHeight="1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" customHeight="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" customHeight="1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</sheetData>
  <mergeCells count="2">
    <mergeCell ref="A1:E1"/>
    <mergeCell ref="A30:E33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34155"/>
    <pageSetUpPr fitToPage="1"/>
  </sheetPr>
  <dimension ref="A1:Z10"/>
  <sheetViews>
    <sheetView zoomScaleNormal="100" workbookViewId="0">
      <selection sqref="A1:H1"/>
    </sheetView>
  </sheetViews>
  <sheetFormatPr defaultColWidth="8.6640625" defaultRowHeight="13.2" x14ac:dyDescent="0.25"/>
  <cols>
    <col min="1" max="1" width="26" customWidth="1"/>
    <col min="2" max="2" width="18" customWidth="1"/>
    <col min="3" max="3" width="36" customWidth="1"/>
    <col min="4" max="4" width="34" customWidth="1"/>
    <col min="5" max="6" width="18" customWidth="1"/>
    <col min="7" max="7" width="34" customWidth="1"/>
    <col min="8" max="8" width="32" customWidth="1"/>
  </cols>
  <sheetData>
    <row r="1" spans="1:26" ht="39.75" customHeight="1" x14ac:dyDescent="0.3">
      <c r="A1" s="4" t="s">
        <v>454</v>
      </c>
      <c r="B1" s="4"/>
      <c r="C1" s="4"/>
      <c r="D1" s="4"/>
      <c r="E1" s="4"/>
      <c r="F1" s="4"/>
      <c r="G1" s="4"/>
      <c r="H1" s="4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3.8" x14ac:dyDescent="0.3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ht="15.75" customHeight="1" x14ac:dyDescent="0.25">
      <c r="A3" s="73" t="s">
        <v>455</v>
      </c>
      <c r="B3" s="73" t="s">
        <v>456</v>
      </c>
      <c r="C3" s="73" t="s">
        <v>457</v>
      </c>
      <c r="D3" s="73" t="s">
        <v>458</v>
      </c>
      <c r="E3" s="73" t="s">
        <v>459</v>
      </c>
      <c r="F3" s="73" t="s">
        <v>460</v>
      </c>
      <c r="G3" s="73" t="s">
        <v>461</v>
      </c>
      <c r="H3" s="73" t="s">
        <v>462</v>
      </c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27.75" customHeight="1" x14ac:dyDescent="0.3">
      <c r="A4" s="41" t="s">
        <v>463</v>
      </c>
      <c r="B4" s="41" t="s">
        <v>464</v>
      </c>
      <c r="C4" s="41" t="s">
        <v>465</v>
      </c>
      <c r="D4" s="41" t="s">
        <v>466</v>
      </c>
      <c r="E4" s="41" t="s">
        <v>467</v>
      </c>
      <c r="F4" s="41" t="s">
        <v>468</v>
      </c>
      <c r="G4" s="41" t="s">
        <v>469</v>
      </c>
      <c r="H4" s="41" t="s">
        <v>470</v>
      </c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27.75" customHeight="1" x14ac:dyDescent="0.3">
      <c r="A5" s="41" t="s">
        <v>471</v>
      </c>
      <c r="B5" s="41" t="s">
        <v>472</v>
      </c>
      <c r="C5" s="41" t="s">
        <v>473</v>
      </c>
      <c r="D5" s="41" t="s">
        <v>474</v>
      </c>
      <c r="E5" s="41" t="s">
        <v>475</v>
      </c>
      <c r="F5" s="41" t="s">
        <v>476</v>
      </c>
      <c r="G5" s="41" t="s">
        <v>477</v>
      </c>
      <c r="H5" s="41" t="s">
        <v>478</v>
      </c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27.75" customHeight="1" x14ac:dyDescent="0.3">
      <c r="A6" s="41" t="s">
        <v>479</v>
      </c>
      <c r="B6" s="41" t="s">
        <v>480</v>
      </c>
      <c r="C6" s="41" t="s">
        <v>481</v>
      </c>
      <c r="D6" s="41" t="s">
        <v>482</v>
      </c>
      <c r="E6" s="41" t="s">
        <v>475</v>
      </c>
      <c r="F6" s="41" t="s">
        <v>476</v>
      </c>
      <c r="G6" s="41" t="s">
        <v>483</v>
      </c>
      <c r="H6" s="41" t="s">
        <v>484</v>
      </c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27.75" customHeight="1" x14ac:dyDescent="0.3">
      <c r="A7" s="41" t="s">
        <v>485</v>
      </c>
      <c r="B7" s="41" t="s">
        <v>486</v>
      </c>
      <c r="C7" s="41" t="s">
        <v>487</v>
      </c>
      <c r="D7" s="41" t="s">
        <v>488</v>
      </c>
      <c r="E7" s="41" t="s">
        <v>475</v>
      </c>
      <c r="F7" s="41" t="s">
        <v>489</v>
      </c>
      <c r="G7" s="41" t="s">
        <v>490</v>
      </c>
      <c r="H7" s="41" t="s">
        <v>491</v>
      </c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ht="27.75" customHeight="1" x14ac:dyDescent="0.3">
      <c r="A8" s="41" t="s">
        <v>492</v>
      </c>
      <c r="B8" s="41" t="s">
        <v>493</v>
      </c>
      <c r="C8" s="41" t="s">
        <v>494</v>
      </c>
      <c r="D8" s="41" t="s">
        <v>495</v>
      </c>
      <c r="E8" s="41" t="s">
        <v>475</v>
      </c>
      <c r="F8" s="41" t="s">
        <v>496</v>
      </c>
      <c r="G8" s="41" t="s">
        <v>497</v>
      </c>
      <c r="H8" s="41" t="s">
        <v>498</v>
      </c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ht="27.75" customHeight="1" x14ac:dyDescent="0.3">
      <c r="A9" s="41" t="s">
        <v>499</v>
      </c>
      <c r="B9" s="41" t="s">
        <v>500</v>
      </c>
      <c r="C9" s="41" t="s">
        <v>501</v>
      </c>
      <c r="D9" s="41" t="s">
        <v>502</v>
      </c>
      <c r="E9" s="41" t="s">
        <v>503</v>
      </c>
      <c r="F9" s="41" t="s">
        <v>504</v>
      </c>
      <c r="G9" s="41" t="s">
        <v>505</v>
      </c>
      <c r="H9" s="41" t="s">
        <v>506</v>
      </c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27.75" customHeight="1" x14ac:dyDescent="0.3">
      <c r="A10" s="41" t="s">
        <v>507</v>
      </c>
      <c r="B10" s="41" t="s">
        <v>508</v>
      </c>
      <c r="C10" s="41" t="s">
        <v>509</v>
      </c>
      <c r="D10" s="41" t="s">
        <v>510</v>
      </c>
      <c r="E10" s="41" t="s">
        <v>511</v>
      </c>
      <c r="F10" s="41" t="s">
        <v>496</v>
      </c>
      <c r="G10" s="41" t="s">
        <v>512</v>
      </c>
      <c r="H10" s="41" t="s">
        <v>513</v>
      </c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</sheetData>
  <mergeCells count="1">
    <mergeCell ref="A1:H1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34155"/>
    <pageSetUpPr fitToPage="1"/>
  </sheetPr>
  <dimension ref="A1:Z100"/>
  <sheetViews>
    <sheetView zoomScaleNormal="100" workbookViewId="0">
      <selection activeCell="J26" sqref="J26"/>
    </sheetView>
  </sheetViews>
  <sheetFormatPr defaultColWidth="8.6640625" defaultRowHeight="13.2" x14ac:dyDescent="0.25"/>
  <cols>
    <col min="1" max="1" width="34" customWidth="1"/>
    <col min="2" max="2" width="18" customWidth="1"/>
    <col min="3" max="3" width="3" customWidth="1"/>
    <col min="4" max="4" width="18" customWidth="1"/>
    <col min="5" max="10" width="14" customWidth="1"/>
    <col min="11" max="11" width="4" customWidth="1"/>
    <col min="14" max="14" width="6" customWidth="1"/>
    <col min="15" max="16" width="12" customWidth="1"/>
    <col min="17" max="26" width="9" customWidth="1"/>
  </cols>
  <sheetData>
    <row r="1" spans="1:26" ht="39.75" customHeight="1" x14ac:dyDescent="0.3">
      <c r="A1" s="4" t="s">
        <v>514</v>
      </c>
      <c r="B1" s="4"/>
      <c r="C1" s="4"/>
      <c r="D1" s="4"/>
      <c r="E1" s="4"/>
      <c r="F1" s="4"/>
      <c r="G1" s="4"/>
      <c r="H1" s="4"/>
      <c r="I1" s="30"/>
      <c r="J1" s="30"/>
      <c r="K1" s="30"/>
      <c r="L1" s="30"/>
      <c r="M1" s="30"/>
      <c r="N1" s="83" t="s">
        <v>515</v>
      </c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1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85" t="s">
        <v>338</v>
      </c>
      <c r="O2" s="85" t="s">
        <v>516</v>
      </c>
      <c r="P2" s="85" t="s">
        <v>517</v>
      </c>
      <c r="Q2" s="85" t="s">
        <v>518</v>
      </c>
      <c r="R2" s="85" t="s">
        <v>519</v>
      </c>
      <c r="S2" s="85" t="s">
        <v>520</v>
      </c>
      <c r="T2" s="85" t="s">
        <v>521</v>
      </c>
      <c r="U2" s="85" t="s">
        <v>522</v>
      </c>
      <c r="V2" s="85" t="s">
        <v>523</v>
      </c>
      <c r="W2" s="85" t="s">
        <v>524</v>
      </c>
      <c r="X2" s="85" t="s">
        <v>525</v>
      </c>
      <c r="Y2" s="85" t="s">
        <v>526</v>
      </c>
      <c r="Z2" s="85" t="s">
        <v>527</v>
      </c>
    </row>
    <row r="3" spans="1:26" ht="15.75" customHeight="1" x14ac:dyDescent="0.25">
      <c r="A3" s="73" t="s">
        <v>528</v>
      </c>
      <c r="B3" s="73" t="s">
        <v>529</v>
      </c>
      <c r="C3" s="73"/>
      <c r="D3" s="73" t="s">
        <v>530</v>
      </c>
      <c r="E3" s="73"/>
      <c r="F3" s="73"/>
      <c r="G3" s="73"/>
      <c r="H3" s="73"/>
      <c r="I3" s="73"/>
      <c r="J3" s="73"/>
      <c r="K3" s="73"/>
      <c r="L3" s="73"/>
      <c r="M3" s="73"/>
      <c r="N3" s="73">
        <v>1</v>
      </c>
      <c r="O3" s="86">
        <f>Funding_36M!$G2</f>
        <v>-2973</v>
      </c>
      <c r="P3" s="86">
        <f>-Funding_36M!$J2+IF(1=36,Funding_36M!$Q2-Funding_36M!$T2,0)</f>
        <v>-40065.5</v>
      </c>
      <c r="Q3" s="86">
        <f>O3+IF(1=36,0,0)</f>
        <v>-2973</v>
      </c>
      <c r="R3" s="86">
        <f>O3+IF(1=36,250000,0)</f>
        <v>-2973</v>
      </c>
      <c r="S3" s="86">
        <f>O3+IF(1=36,500000,0)</f>
        <v>-2973</v>
      </c>
      <c r="T3" s="86">
        <f>O3+IF(1=36,750000,0)</f>
        <v>-2973</v>
      </c>
      <c r="U3" s="86">
        <f>O3+IF(1=36,1000000,0)</f>
        <v>-2973</v>
      </c>
      <c r="V3" s="86">
        <f>P3+IF(1=36,0,0)</f>
        <v>-40065.5</v>
      </c>
      <c r="W3" s="86">
        <f>P3+IF(1=36,250000,0)</f>
        <v>-40065.5</v>
      </c>
      <c r="X3" s="86">
        <f>P3+IF(1=36,500000,0)</f>
        <v>-40065.5</v>
      </c>
      <c r="Y3" s="86">
        <f>P3+IF(1=36,750000,0)</f>
        <v>-40065.5</v>
      </c>
      <c r="Z3" s="86">
        <f>P3+IF(1=36,1000000,0)</f>
        <v>-40065.5</v>
      </c>
    </row>
    <row r="4" spans="1:26" ht="27.75" customHeight="1" x14ac:dyDescent="0.3">
      <c r="A4" s="41" t="s">
        <v>83</v>
      </c>
      <c r="B4" s="87" t="str">
        <f>Controls!$C$4</f>
        <v>Debt Case</v>
      </c>
      <c r="C4" s="11"/>
      <c r="D4" s="88" t="s">
        <v>531</v>
      </c>
      <c r="E4" s="89">
        <v>0</v>
      </c>
      <c r="F4" s="89">
        <v>0.05</v>
      </c>
      <c r="G4" s="89">
        <v>0.1</v>
      </c>
      <c r="H4" s="89">
        <v>0.15</v>
      </c>
      <c r="I4" s="89">
        <v>0.2</v>
      </c>
      <c r="J4" s="89">
        <v>0.25</v>
      </c>
      <c r="K4" s="11"/>
      <c r="L4" s="11"/>
      <c r="M4" s="11"/>
      <c r="N4" s="90">
        <v>2</v>
      </c>
      <c r="O4" s="91">
        <f>Funding_36M!$G3</f>
        <v>-124119.62705831889</v>
      </c>
      <c r="P4" s="91">
        <f>-Funding_36M!$J3+IF(2=36,Funding_36M!$Q3-Funding_36M!$T3,0)</f>
        <v>-27934.5</v>
      </c>
      <c r="Q4" s="91">
        <f>O4+IF(2=36,0,0)</f>
        <v>-124119.62705831889</v>
      </c>
      <c r="R4" s="91">
        <f>O4+IF(2=36,250000,0)</f>
        <v>-124119.62705831889</v>
      </c>
      <c r="S4" s="91">
        <f>O4+IF(2=36,500000,0)</f>
        <v>-124119.62705831889</v>
      </c>
      <c r="T4" s="91">
        <f>O4+IF(2=36,750000,0)</f>
        <v>-124119.62705831889</v>
      </c>
      <c r="U4" s="91">
        <f>O4+IF(2=36,1000000,0)</f>
        <v>-124119.62705831889</v>
      </c>
      <c r="V4" s="91">
        <f>P4+IF(2=36,0,0)</f>
        <v>-27934.5</v>
      </c>
      <c r="W4" s="91">
        <f>P4+IF(2=36,250000,0)</f>
        <v>-27934.5</v>
      </c>
      <c r="X4" s="91">
        <f>P4+IF(2=36,500000,0)</f>
        <v>-27934.5</v>
      </c>
      <c r="Y4" s="91">
        <f>P4+IF(2=36,750000,0)</f>
        <v>-27934.5</v>
      </c>
      <c r="Z4" s="91">
        <f>P4+IF(2=36,1000000,0)</f>
        <v>-27934.5</v>
      </c>
    </row>
    <row r="5" spans="1:26" ht="15" customHeight="1" x14ac:dyDescent="0.3">
      <c r="A5" s="41" t="s">
        <v>532</v>
      </c>
      <c r="B5" s="92">
        <f>SUM(Funding_36M!$J$2:$J$37)+SUM(Funding_36M!$K$2:$K$37)</f>
        <v>535535.89821967867</v>
      </c>
      <c r="C5" s="11"/>
      <c r="D5" s="89">
        <v>0.1</v>
      </c>
      <c r="E5" s="93">
        <f>SUMPRODUCT(Monthly_Deployment!$T$2:$T$37,Revenue_36M!$G$2:$G$37,(1+E$4)^((Revenue_36M!$A$2:$A$37-1)/12),(1/(1+$D5))^((Revenue_36M!$A$2:$A$37-1)/12))/Controls!$B$26*Controls!$B$24*Controls!$B$25/1000</f>
        <v>608063.18764447188</v>
      </c>
      <c r="F5" s="93">
        <f>SUMPRODUCT(Monthly_Deployment!$T$2:$T$37,Revenue_36M!$G$2:$G$37,(1+F$4)^((Revenue_36M!$A$2:$A$37-1)/12),(1/(1+$D5))^((Revenue_36M!$A$2:$A$37-1)/12))/Controls!$B$26*Controls!$B$24*Controls!$B$25/1000</f>
        <v>648535.46031641657</v>
      </c>
      <c r="G5" s="93">
        <f>SUMPRODUCT(Monthly_Deployment!$T$2:$T$37,Revenue_36M!$G$2:$G$37,(1+G$4)^((Revenue_36M!$A$2:$A$37-1)/12),(1/(1+$D5))^((Revenue_36M!$A$2:$A$37-1)/12))/Controls!$B$26*Controls!$B$24*Controls!$B$25/1000</f>
        <v>690499.71</v>
      </c>
      <c r="H5" s="93">
        <f>SUMPRODUCT(Monthly_Deployment!$T$2:$T$37,Revenue_36M!$G$2:$G$37,(1+H$4)^((Revenue_36M!$A$2:$A$37-1)/12),(1/(1+$D5))^((Revenue_36M!$A$2:$A$37-1)/12))/Controls!$B$26*Controls!$B$24*Controls!$B$25/1000</f>
        <v>733986.20557912905</v>
      </c>
      <c r="I5" s="93">
        <f>SUMPRODUCT(Monthly_Deployment!$T$2:$T$37,Revenue_36M!$G$2:$G$37,(1+I$4)^((Revenue_36M!$A$2:$A$37-1)/12),(1/(1+$D5))^((Revenue_36M!$A$2:$A$37-1)/12))/Controls!$B$26*Controls!$B$24*Controls!$B$25/1000</f>
        <v>779024.51856767619</v>
      </c>
      <c r="J5" s="93">
        <f>SUMPRODUCT(Monthly_Deployment!$T$2:$T$37,Revenue_36M!$G$2:$G$37,(1+J$4)^((Revenue_36M!$A$2:$A$37-1)/12),(1/(1+$D5))^((Revenue_36M!$A$2:$A$37-1)/12))/Controls!$B$26*Controls!$B$24*Controls!$B$25/1000</f>
        <v>825643.60656597151</v>
      </c>
      <c r="K5" s="11"/>
      <c r="L5" s="11"/>
      <c r="M5" s="11"/>
      <c r="N5" s="90">
        <v>3</v>
      </c>
      <c r="O5" s="91">
        <f>Funding_36M!$G4</f>
        <v>-212363.93796691019</v>
      </c>
      <c r="P5" s="91">
        <f>-Funding_36M!$J4+IF(3=36,Funding_36M!$Q4-Funding_36M!$T4,0)</f>
        <v>0</v>
      </c>
      <c r="Q5" s="91">
        <f>O5+IF(3=36,0,0)</f>
        <v>-212363.93796691019</v>
      </c>
      <c r="R5" s="91">
        <f>O5+IF(3=36,250000,0)</f>
        <v>-212363.93796691019</v>
      </c>
      <c r="S5" s="91">
        <f>O5+IF(3=36,500000,0)</f>
        <v>-212363.93796691019</v>
      </c>
      <c r="T5" s="91">
        <f>O5+IF(3=36,750000,0)</f>
        <v>-212363.93796691019</v>
      </c>
      <c r="U5" s="91">
        <f>O5+IF(3=36,1000000,0)</f>
        <v>-212363.93796691019</v>
      </c>
      <c r="V5" s="91">
        <f>P5+IF(3=36,0,0)</f>
        <v>0</v>
      </c>
      <c r="W5" s="91">
        <f>P5+IF(3=36,250000,0)</f>
        <v>0</v>
      </c>
      <c r="X5" s="91">
        <f>P5+IF(3=36,500000,0)</f>
        <v>0</v>
      </c>
      <c r="Y5" s="91">
        <f>P5+IF(3=36,750000,0)</f>
        <v>0</v>
      </c>
      <c r="Z5" s="91">
        <f>P5+IF(3=36,1000000,0)</f>
        <v>0</v>
      </c>
    </row>
    <row r="6" spans="1:26" ht="15" customHeight="1" x14ac:dyDescent="0.3">
      <c r="A6" s="41" t="s">
        <v>533</v>
      </c>
      <c r="B6" s="92">
        <f>SUM(Revenue_36M!$P$2:$P$37)</f>
        <v>578669.43682928919</v>
      </c>
      <c r="C6" s="11"/>
      <c r="D6" s="89">
        <v>0.15</v>
      </c>
      <c r="E6" s="93">
        <f>SUMPRODUCT(Monthly_Deployment!$T$2:$T$37,Revenue_36M!$G$2:$G$37,(1+E$4)^((Revenue_36M!$A$2:$A$37-1)/12),(1/(1+$D6))^((Revenue_36M!$A$2:$A$37-1)/12))/Controls!$B$26*Controls!$B$24*Controls!$B$25/1000</f>
        <v>574058.5336280159</v>
      </c>
      <c r="F6" s="93">
        <f>SUMPRODUCT(Monthly_Deployment!$T$2:$T$37,Revenue_36M!$G$2:$G$37,(1+F$4)^((Revenue_36M!$A$2:$A$37-1)/12),(1/(1+$D6))^((Revenue_36M!$A$2:$A$37-1)/12))/Controls!$B$26*Controls!$B$24*Controls!$B$25/1000</f>
        <v>611524.06839379692</v>
      </c>
      <c r="G6" s="93">
        <f>SUMPRODUCT(Monthly_Deployment!$T$2:$T$37,Revenue_36M!$G$2:$G$37,(1+G$4)^((Revenue_36M!$A$2:$A$37-1)/12),(1/(1+$D6))^((Revenue_36M!$A$2:$A$37-1)/12))/Controls!$B$26*Controls!$B$24*Controls!$B$25/1000</f>
        <v>650328.74722389528</v>
      </c>
      <c r="H6" s="93">
        <f>SUMPRODUCT(Monthly_Deployment!$T$2:$T$37,Revenue_36M!$G$2:$G$37,(1+H$4)^((Revenue_36M!$A$2:$A$37-1)/12),(1/(1+$D6))^((Revenue_36M!$A$2:$A$37-1)/12))/Controls!$B$26*Controls!$B$24*Controls!$B$25/1000</f>
        <v>690499.71</v>
      </c>
      <c r="I6" s="93">
        <f>SUMPRODUCT(Monthly_Deployment!$T$2:$T$37,Revenue_36M!$G$2:$G$37,(1+I$4)^((Revenue_36M!$A$2:$A$37-1)/12),(1/(1+$D6))^((Revenue_36M!$A$2:$A$37-1)/12))/Controls!$B$26*Controls!$B$24*Controls!$B$25/1000</f>
        <v>732063.43156539812</v>
      </c>
      <c r="J6" s="93">
        <f>SUMPRODUCT(Monthly_Deployment!$T$2:$T$37,Revenue_36M!$G$2:$G$37,(1+J$4)^((Revenue_36M!$A$2:$A$37-1)/12),(1/(1+$D6))^((Revenue_36M!$A$2:$A$37-1)/12))/Controls!$B$26*Controls!$B$24*Controls!$B$25/1000</f>
        <v>775045.80321437609</v>
      </c>
      <c r="K6" s="11"/>
      <c r="L6" s="11"/>
      <c r="M6" s="11"/>
      <c r="N6" s="90">
        <v>4</v>
      </c>
      <c r="O6" s="91">
        <f>Funding_36M!$G5</f>
        <v>-158986.83319444957</v>
      </c>
      <c r="P6" s="91">
        <f>-Funding_36M!$J5+IF(4=36,Funding_36M!$Q5-Funding_36M!$T5,0)</f>
        <v>0</v>
      </c>
      <c r="Q6" s="91">
        <f>O6+IF(4=36,0,0)</f>
        <v>-158986.83319444957</v>
      </c>
      <c r="R6" s="91">
        <f>O6+IF(4=36,250000,0)</f>
        <v>-158986.83319444957</v>
      </c>
      <c r="S6" s="91">
        <f>O6+IF(4=36,500000,0)</f>
        <v>-158986.83319444957</v>
      </c>
      <c r="T6" s="91">
        <f>O6+IF(4=36,750000,0)</f>
        <v>-158986.83319444957</v>
      </c>
      <c r="U6" s="91">
        <f>O6+IF(4=36,1000000,0)</f>
        <v>-158986.83319444957</v>
      </c>
      <c r="V6" s="91">
        <f>P6+IF(4=36,0,0)</f>
        <v>0</v>
      </c>
      <c r="W6" s="91">
        <f>P6+IF(4=36,250000,0)</f>
        <v>0</v>
      </c>
      <c r="X6" s="91">
        <f>P6+IF(4=36,500000,0)</f>
        <v>0</v>
      </c>
      <c r="Y6" s="91">
        <f>P6+IF(4=36,750000,0)</f>
        <v>0</v>
      </c>
      <c r="Z6" s="91">
        <f>P6+IF(4=36,1000000,0)</f>
        <v>0</v>
      </c>
    </row>
    <row r="7" spans="1:26" ht="15" customHeight="1" x14ac:dyDescent="0.3">
      <c r="A7" s="41" t="s">
        <v>534</v>
      </c>
      <c r="B7" s="92">
        <f>SUM(Funding_36M!$E$2:$E$37)</f>
        <v>246216.06516262278</v>
      </c>
      <c r="C7" s="11"/>
      <c r="D7" s="89">
        <v>0.2</v>
      </c>
      <c r="E7" s="93">
        <f>SUMPRODUCT(Monthly_Deployment!$T$2:$T$37,Revenue_36M!$G$2:$G$37,(1+E$4)^((Revenue_36M!$A$2:$A$37-1)/12),(1/(1+$D7))^((Revenue_36M!$A$2:$A$37-1)/12))/Controls!$B$26*Controls!$B$24*Controls!$B$25/1000</f>
        <v>543840.10558950622</v>
      </c>
      <c r="F7" s="94">
        <f>SUMPRODUCT(Monthly_Deployment!$T$2:$T$37,Revenue_36M!$G$2:$G$37,(1+F$4)^((Revenue_36M!$A$2:$A$37-1)/12),(1/(1+$D7))^((Revenue_36M!$A$2:$A$37-1)/12))/Controls!$B$26*Controls!$B$24*Controls!$B$25/1000</f>
        <v>578669.43682928919</v>
      </c>
      <c r="G7" s="93">
        <f>SUMPRODUCT(Monthly_Deployment!$T$2:$T$37,Revenue_36M!$G$2:$G$37,(1+G$4)^((Revenue_36M!$A$2:$A$37-1)/12),(1/(1+$D7))^((Revenue_36M!$A$2:$A$37-1)/12))/Controls!$B$26*Controls!$B$24*Controls!$B$25/1000</f>
        <v>614706.26468856167</v>
      </c>
      <c r="H7" s="93">
        <f>SUMPRODUCT(Monthly_Deployment!$T$2:$T$37,Revenue_36M!$G$2:$G$37,(1+H$4)^((Revenue_36M!$A$2:$A$37-1)/12),(1/(1+$D7))^((Revenue_36M!$A$2:$A$37-1)/12))/Controls!$B$26*Controls!$B$24*Controls!$B$25/1000</f>
        <v>651975.07343425858</v>
      </c>
      <c r="I7" s="93">
        <f>SUMPRODUCT(Monthly_Deployment!$T$2:$T$37,Revenue_36M!$G$2:$G$37,(1+I$4)^((Revenue_36M!$A$2:$A$37-1)/12),(1/(1+$D7))^((Revenue_36M!$A$2:$A$37-1)/12))/Controls!$B$26*Controls!$B$24*Controls!$B$25/1000</f>
        <v>690499.71</v>
      </c>
      <c r="J7" s="93">
        <f>SUMPRODUCT(Monthly_Deployment!$T$2:$T$37,Revenue_36M!$G$2:$G$37,(1+J$4)^((Revenue_36M!$A$2:$A$37-1)/12),(1/(1+$D7))^((Revenue_36M!$A$2:$A$37-1)/12))/Controls!$B$26*Controls!$B$24*Controls!$B$25/1000</f>
        <v>730303.4637416586</v>
      </c>
      <c r="K7" s="11"/>
      <c r="L7" s="11"/>
      <c r="M7" s="11"/>
      <c r="N7" s="90">
        <v>5</v>
      </c>
      <c r="O7" s="91">
        <f>Funding_36M!$G6</f>
        <v>11585.294844193704</v>
      </c>
      <c r="P7" s="91">
        <f>-Funding_36M!$J6+IF(5=36,Funding_36M!$Q6-Funding_36M!$T6,0)</f>
        <v>0</v>
      </c>
      <c r="Q7" s="91">
        <f>O7+IF(5=36,0,0)</f>
        <v>11585.294844193704</v>
      </c>
      <c r="R7" s="91">
        <f>O7+IF(5=36,250000,0)</f>
        <v>11585.294844193704</v>
      </c>
      <c r="S7" s="91">
        <f>O7+IF(5=36,500000,0)</f>
        <v>11585.294844193704</v>
      </c>
      <c r="T7" s="91">
        <f>O7+IF(5=36,750000,0)</f>
        <v>11585.294844193704</v>
      </c>
      <c r="U7" s="91">
        <f>O7+IF(5=36,1000000,0)</f>
        <v>11585.294844193704</v>
      </c>
      <c r="V7" s="91">
        <f>P7+IF(5=36,0,0)</f>
        <v>0</v>
      </c>
      <c r="W7" s="91">
        <f>P7+IF(5=36,250000,0)</f>
        <v>0</v>
      </c>
      <c r="X7" s="91">
        <f>P7+IF(5=36,500000,0)</f>
        <v>0</v>
      </c>
      <c r="Y7" s="91">
        <f>P7+IF(5=36,750000,0)</f>
        <v>0</v>
      </c>
      <c r="Z7" s="91">
        <f>P7+IF(5=36,1000000,0)</f>
        <v>0</v>
      </c>
    </row>
    <row r="8" spans="1:26" ht="15" customHeight="1" x14ac:dyDescent="0.3">
      <c r="A8" s="41" t="s">
        <v>535</v>
      </c>
      <c r="B8" s="92">
        <f>SUM(Funding_36M!$G$2:$G$37)</f>
        <v>-265240.79198023438</v>
      </c>
      <c r="C8" s="11"/>
      <c r="D8" s="89">
        <v>0.25</v>
      </c>
      <c r="E8" s="93">
        <f>SUMPRODUCT(Monthly_Deployment!$T$2:$T$37,Revenue_36M!$G$2:$G$37,(1+E$4)^((Revenue_36M!$A$2:$A$37-1)/12),(1/(1+$D8))^((Revenue_36M!$A$2:$A$37-1)/12))/Controls!$B$26*Controls!$B$24*Controls!$B$25/1000</f>
        <v>516829.11822753836</v>
      </c>
      <c r="F8" s="93">
        <f>SUMPRODUCT(Monthly_Deployment!$T$2:$T$37,Revenue_36M!$G$2:$G$37,(1+F$4)^((Revenue_36M!$A$2:$A$37-1)/12),(1/(1+$D8))^((Revenue_36M!$A$2:$A$37-1)/12))/Controls!$B$26*Controls!$B$24*Controls!$B$25/1000</f>
        <v>549332.68471820455</v>
      </c>
      <c r="G8" s="93">
        <f>SUMPRODUCT(Monthly_Deployment!$T$2:$T$37,Revenue_36M!$G$2:$G$37,(1+G$4)^((Revenue_36M!$A$2:$A$37-1)/12),(1/(1+$D8))^((Revenue_36M!$A$2:$A$37-1)/12))/Controls!$B$26*Controls!$B$24*Controls!$B$25/1000</f>
        <v>582929.61132867099</v>
      </c>
      <c r="H8" s="93">
        <f>SUMPRODUCT(Monthly_Deployment!$T$2:$T$37,Revenue_36M!$G$2:$G$37,(1+H$4)^((Revenue_36M!$A$2:$A$37-1)/12),(1/(1+$D8))^((Revenue_36M!$A$2:$A$37-1)/12))/Controls!$B$26*Controls!$B$24*Controls!$B$25/1000</f>
        <v>617642.11274648167</v>
      </c>
      <c r="I8" s="93">
        <f>SUMPRODUCT(Monthly_Deployment!$T$2:$T$37,Revenue_36M!$G$2:$G$37,(1+I$4)^((Revenue_36M!$A$2:$A$37-1)/12),(1/(1+$D8))^((Revenue_36M!$A$2:$A$37-1)/12))/Controls!$B$26*Controls!$B$24*Controls!$B$25/1000</f>
        <v>653491.79026583396</v>
      </c>
      <c r="J8" s="93">
        <f>SUMPRODUCT(Monthly_Deployment!$T$2:$T$37,Revenue_36M!$G$2:$G$37,(1+J$4)^((Revenue_36M!$A$2:$A$37-1)/12),(1/(1+$D8))^((Revenue_36M!$A$2:$A$37-1)/12))/Controls!$B$26*Controls!$B$24*Controls!$B$25/1000</f>
        <v>690499.71</v>
      </c>
      <c r="K8" s="11"/>
      <c r="L8" s="11"/>
      <c r="M8" s="11"/>
      <c r="N8" s="90">
        <v>6</v>
      </c>
      <c r="O8" s="91">
        <f>Funding_36M!$G7</f>
        <v>11829.549446354007</v>
      </c>
      <c r="P8" s="91">
        <f>-Funding_36M!$J7+IF(6=36,Funding_36M!$Q7-Funding_36M!$T7,0)</f>
        <v>0</v>
      </c>
      <c r="Q8" s="91">
        <f>O8+IF(6=36,0,0)</f>
        <v>11829.549446354007</v>
      </c>
      <c r="R8" s="91">
        <f>O8+IF(6=36,250000,0)</f>
        <v>11829.549446354007</v>
      </c>
      <c r="S8" s="91">
        <f>O8+IF(6=36,500000,0)</f>
        <v>11829.549446354007</v>
      </c>
      <c r="T8" s="91">
        <f>O8+IF(6=36,750000,0)</f>
        <v>11829.549446354007</v>
      </c>
      <c r="U8" s="91">
        <f>O8+IF(6=36,1000000,0)</f>
        <v>11829.549446354007</v>
      </c>
      <c r="V8" s="91">
        <f>P8+IF(6=36,0,0)</f>
        <v>0</v>
      </c>
      <c r="W8" s="91">
        <f>P8+IF(6=36,250000,0)</f>
        <v>0</v>
      </c>
      <c r="X8" s="91">
        <f>P8+IF(6=36,500000,0)</f>
        <v>0</v>
      </c>
      <c r="Y8" s="91">
        <f>P8+IF(6=36,750000,0)</f>
        <v>0</v>
      </c>
      <c r="Z8" s="91">
        <f>P8+IF(6=36,1000000,0)</f>
        <v>0</v>
      </c>
    </row>
    <row r="9" spans="1:26" ht="15" customHeight="1" x14ac:dyDescent="0.3">
      <c r="A9" s="41" t="s">
        <v>536</v>
      </c>
      <c r="B9" s="92">
        <f>INDEX(Funding_36M!$Q$2:$Q$37,36)</f>
        <v>131624.43024868297</v>
      </c>
      <c r="C9" s="11"/>
      <c r="D9" s="89">
        <v>0.3</v>
      </c>
      <c r="E9" s="93">
        <f>SUMPRODUCT(Monthly_Deployment!$T$2:$T$37,Revenue_36M!$G$2:$G$37,(1+E$4)^((Revenue_36M!$A$2:$A$37-1)/12),(1/(1+$D9))^((Revenue_36M!$A$2:$A$37-1)/12))/Controls!$B$26*Controls!$B$24*Controls!$B$25/1000</f>
        <v>492556.00660007156</v>
      </c>
      <c r="F9" s="93">
        <f>SUMPRODUCT(Monthly_Deployment!$T$2:$T$37,Revenue_36M!$G$2:$G$37,(1+F$4)^((Revenue_36M!$A$2:$A$37-1)/12),(1/(1+$D9))^((Revenue_36M!$A$2:$A$37-1)/12))/Controls!$B$26*Controls!$B$24*Controls!$B$25/1000</f>
        <v>522995.95279365499</v>
      </c>
      <c r="G9" s="93">
        <f>SUMPRODUCT(Monthly_Deployment!$T$2:$T$37,Revenue_36M!$G$2:$G$37,(1+G$4)^((Revenue_36M!$A$2:$A$37-1)/12),(1/(1+$D9))^((Revenue_36M!$A$2:$A$37-1)/12))/Controls!$B$26*Controls!$B$24*Controls!$B$25/1000</f>
        <v>554429.71340958739</v>
      </c>
      <c r="H9" s="93">
        <f>SUMPRODUCT(Monthly_Deployment!$T$2:$T$37,Revenue_36M!$G$2:$G$37,(1+H$4)^((Revenue_36M!$A$2:$A$37-1)/12),(1/(1+$D9))^((Revenue_36M!$A$2:$A$37-1)/12))/Controls!$B$26*Controls!$B$24*Controls!$B$25/1000</f>
        <v>586877.55099467363</v>
      </c>
      <c r="I9" s="93">
        <f>SUMPRODUCT(Monthly_Deployment!$T$2:$T$37,Revenue_36M!$G$2:$G$37,(1+I$4)^((Revenue_36M!$A$2:$A$37-1)/12),(1/(1+$D9))^((Revenue_36M!$A$2:$A$37-1)/12))/Controls!$B$26*Controls!$B$24*Controls!$B$25/1000</f>
        <v>620359.13555137732</v>
      </c>
      <c r="J9" s="93">
        <f>SUMPRODUCT(Monthly_Deployment!$T$2:$T$37,Revenue_36M!$G$2:$G$37,(1+J$4)^((Revenue_36M!$A$2:$A$37-1)/12),(1/(1+$D9))^((Revenue_36M!$A$2:$A$37-1)/12))/Controls!$B$26*Controls!$B$24*Controls!$B$25/1000</f>
        <v>654893.6213645559</v>
      </c>
      <c r="K9" s="11"/>
      <c r="L9" s="11"/>
      <c r="M9" s="11"/>
      <c r="N9" s="90">
        <v>7</v>
      </c>
      <c r="O9" s="91">
        <f>Funding_36M!$G8</f>
        <v>11611.771615976812</v>
      </c>
      <c r="P9" s="91">
        <f>-Funding_36M!$J8+IF(7=36,Funding_36M!$Q8-Funding_36M!$T8,0)</f>
        <v>0</v>
      </c>
      <c r="Q9" s="91">
        <f>O9+IF(7=36,0,0)</f>
        <v>11611.771615976812</v>
      </c>
      <c r="R9" s="91">
        <f>O9+IF(7=36,250000,0)</f>
        <v>11611.771615976812</v>
      </c>
      <c r="S9" s="91">
        <f>O9+IF(7=36,500000,0)</f>
        <v>11611.771615976812</v>
      </c>
      <c r="T9" s="91">
        <f>O9+IF(7=36,750000,0)</f>
        <v>11611.771615976812</v>
      </c>
      <c r="U9" s="91">
        <f>O9+IF(7=36,1000000,0)</f>
        <v>11611.771615976812</v>
      </c>
      <c r="V9" s="91">
        <f>P9+IF(7=36,0,0)</f>
        <v>0</v>
      </c>
      <c r="W9" s="91">
        <f>P9+IF(7=36,250000,0)</f>
        <v>0</v>
      </c>
      <c r="X9" s="91">
        <f>P9+IF(7=36,500000,0)</f>
        <v>0</v>
      </c>
      <c r="Y9" s="91">
        <f>P9+IF(7=36,750000,0)</f>
        <v>0</v>
      </c>
      <c r="Z9" s="91">
        <f>P9+IF(7=36,1000000,0)</f>
        <v>0</v>
      </c>
    </row>
    <row r="10" spans="1:26" ht="15" customHeight="1" x14ac:dyDescent="0.3">
      <c r="A10" s="41" t="s">
        <v>537</v>
      </c>
      <c r="B10" s="92">
        <f>INDEX(Funding_36M!$T$2:$T$37,36)</f>
        <v>482022.08554965188</v>
      </c>
      <c r="C10" s="11"/>
      <c r="D10" s="95" t="s">
        <v>538</v>
      </c>
      <c r="E10" s="11"/>
      <c r="F10" s="11"/>
      <c r="G10" s="11"/>
      <c r="H10" s="11"/>
      <c r="I10" s="11"/>
      <c r="J10" s="11"/>
      <c r="K10" s="11"/>
      <c r="L10" s="11"/>
      <c r="M10" s="11"/>
      <c r="N10" s="90">
        <v>8</v>
      </c>
      <c r="O10" s="91">
        <f>Funding_36M!$G9</f>
        <v>10067.447422952289</v>
      </c>
      <c r="P10" s="91">
        <f>-Funding_36M!$J9+IF(8=36,Funding_36M!$Q9-Funding_36M!$T9,0)</f>
        <v>0</v>
      </c>
      <c r="Q10" s="91">
        <f>O10+IF(8=36,0,0)</f>
        <v>10067.447422952289</v>
      </c>
      <c r="R10" s="91">
        <f>O10+IF(8=36,250000,0)</f>
        <v>10067.447422952289</v>
      </c>
      <c r="S10" s="91">
        <f>O10+IF(8=36,500000,0)</f>
        <v>10067.447422952289</v>
      </c>
      <c r="T10" s="91">
        <f>O10+IF(8=36,750000,0)</f>
        <v>10067.447422952289</v>
      </c>
      <c r="U10" s="91">
        <f>O10+IF(8=36,1000000,0)</f>
        <v>10067.447422952289</v>
      </c>
      <c r="V10" s="91">
        <f>P10+IF(8=36,0,0)</f>
        <v>0</v>
      </c>
      <c r="W10" s="91">
        <f>P10+IF(8=36,250000,0)</f>
        <v>0</v>
      </c>
      <c r="X10" s="91">
        <f>P10+IF(8=36,500000,0)</f>
        <v>0</v>
      </c>
      <c r="Y10" s="91">
        <f>P10+IF(8=36,750000,0)</f>
        <v>0</v>
      </c>
      <c r="Z10" s="91">
        <f>P10+IF(8=36,1000000,0)</f>
        <v>0</v>
      </c>
    </row>
    <row r="11" spans="1:26" ht="15" customHeight="1" x14ac:dyDescent="0.3">
      <c r="A11" s="41" t="s">
        <v>539</v>
      </c>
      <c r="B11" s="92">
        <f>IF(SUM(Revenue_36M!$H$2:$H$13)=0,0,SUM(Opex_36M!$P$2:$P$13)*1000/SUM(Revenue_36M!$H$2:$H$13)/Controls!$B$25)</f>
        <v>42463.034827686541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90">
        <v>9</v>
      </c>
      <c r="O11" s="91">
        <f>Funding_36M!$G10</f>
        <v>11181.655336124424</v>
      </c>
      <c r="P11" s="91">
        <f>-Funding_36M!$J10+IF(9=36,Funding_36M!$Q10-Funding_36M!$T10,0)</f>
        <v>0</v>
      </c>
      <c r="Q11" s="91">
        <f>O11+IF(9=36,0,0)</f>
        <v>11181.655336124424</v>
      </c>
      <c r="R11" s="91">
        <f>O11+IF(9=36,250000,0)</f>
        <v>11181.655336124424</v>
      </c>
      <c r="S11" s="91">
        <f>O11+IF(9=36,500000,0)</f>
        <v>11181.655336124424</v>
      </c>
      <c r="T11" s="91">
        <f>O11+IF(9=36,750000,0)</f>
        <v>11181.655336124424</v>
      </c>
      <c r="U11" s="91">
        <f>O11+IF(9=36,1000000,0)</f>
        <v>11181.655336124424</v>
      </c>
      <c r="V11" s="91">
        <f>P11+IF(9=36,0,0)</f>
        <v>0</v>
      </c>
      <c r="W11" s="91">
        <f>P11+IF(9=36,250000,0)</f>
        <v>0</v>
      </c>
      <c r="X11" s="91">
        <f>P11+IF(9=36,500000,0)</f>
        <v>0</v>
      </c>
      <c r="Y11" s="91">
        <f>P11+IF(9=36,750000,0)</f>
        <v>0</v>
      </c>
      <c r="Z11" s="91">
        <f>P11+IF(9=36,1000000,0)</f>
        <v>0</v>
      </c>
    </row>
    <row r="12" spans="1:26" ht="15" customHeight="1" x14ac:dyDescent="0.3">
      <c r="A12" s="11" t="s">
        <v>447</v>
      </c>
      <c r="B12" s="96">
        <f>MIN(Funding_36M!$AA$14:$AA$37)</f>
        <v>0.5040562877736845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90">
        <v>10</v>
      </c>
      <c r="O12" s="91">
        <f>Funding_36M!$G11</f>
        <v>10540.260601964907</v>
      </c>
      <c r="P12" s="91">
        <f>-Funding_36M!$J11+IF(10=36,Funding_36M!$Q11-Funding_36M!$T11,0)</f>
        <v>0</v>
      </c>
      <c r="Q12" s="91">
        <f>O12+IF(10=36,0,0)</f>
        <v>10540.260601964907</v>
      </c>
      <c r="R12" s="91">
        <f>O12+IF(10=36,250000,0)</f>
        <v>10540.260601964907</v>
      </c>
      <c r="S12" s="91">
        <f>O12+IF(10=36,500000,0)</f>
        <v>10540.260601964907</v>
      </c>
      <c r="T12" s="91">
        <f>O12+IF(10=36,750000,0)</f>
        <v>10540.260601964907</v>
      </c>
      <c r="U12" s="91">
        <f>O12+IF(10=36,1000000,0)</f>
        <v>10540.260601964907</v>
      </c>
      <c r="V12" s="91">
        <f>P12+IF(10=36,0,0)</f>
        <v>0</v>
      </c>
      <c r="W12" s="91">
        <f>P12+IF(10=36,250000,0)</f>
        <v>0</v>
      </c>
      <c r="X12" s="91">
        <f>P12+IF(10=36,500000,0)</f>
        <v>0</v>
      </c>
      <c r="Y12" s="91">
        <f>P12+IF(10=36,750000,0)</f>
        <v>0</v>
      </c>
      <c r="Z12" s="91">
        <f>P12+IF(10=36,1000000,0)</f>
        <v>0</v>
      </c>
    </row>
    <row r="13" spans="1:26" ht="15" customHeight="1" x14ac:dyDescent="0.3">
      <c r="A13" s="11" t="s">
        <v>540</v>
      </c>
      <c r="B13" s="97">
        <f>IFERROR((1+IRR(Funding_36M!$AC$2:$AC$37,0.01))^12-1,"n/a")</f>
        <v>0.19748389632507113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90">
        <v>11</v>
      </c>
      <c r="O13" s="91">
        <f>Funding_36M!$G12</f>
        <v>10758.701551976546</v>
      </c>
      <c r="P13" s="91">
        <f>-Funding_36M!$J12+IF(11=36,Funding_36M!$Q12-Funding_36M!$T12,0)</f>
        <v>0</v>
      </c>
      <c r="Q13" s="91">
        <f>O13+IF(11=36,0,0)</f>
        <v>10758.701551976546</v>
      </c>
      <c r="R13" s="91">
        <f>O13+IF(11=36,250000,0)</f>
        <v>10758.701551976546</v>
      </c>
      <c r="S13" s="91">
        <f>O13+IF(11=36,500000,0)</f>
        <v>10758.701551976546</v>
      </c>
      <c r="T13" s="91">
        <f>O13+IF(11=36,750000,0)</f>
        <v>10758.701551976546</v>
      </c>
      <c r="U13" s="91">
        <f>O13+IF(11=36,1000000,0)</f>
        <v>10758.701551976546</v>
      </c>
      <c r="V13" s="91">
        <f>P13+IF(11=36,0,0)</f>
        <v>0</v>
      </c>
      <c r="W13" s="91">
        <f>P13+IF(11=36,250000,0)</f>
        <v>0</v>
      </c>
      <c r="X13" s="91">
        <f>P13+IF(11=36,500000,0)</f>
        <v>0</v>
      </c>
      <c r="Y13" s="91">
        <f>P13+IF(11=36,750000,0)</f>
        <v>0</v>
      </c>
      <c r="Z13" s="91">
        <f>P13+IF(11=36,1000000,0)</f>
        <v>0</v>
      </c>
    </row>
    <row r="14" spans="1:26" ht="15" customHeight="1" x14ac:dyDescent="0.3">
      <c r="A14" s="11" t="s">
        <v>541</v>
      </c>
      <c r="B14" s="97">
        <f>IFERROR((1+IRR(Funding_36M!$AD$2:$AD$37,0.01))^12-1,"n/a")</f>
        <v>0.31458689402831208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90">
        <v>12</v>
      </c>
      <c r="O14" s="91">
        <f>Funding_36M!$G13</f>
        <v>10134.377331793734</v>
      </c>
      <c r="P14" s="91">
        <f>-Funding_36M!$J13+IF(12=36,Funding_36M!$Q13-Funding_36M!$T13,0)</f>
        <v>0</v>
      </c>
      <c r="Q14" s="91">
        <f>O14+IF(12=36,0,0)</f>
        <v>10134.377331793734</v>
      </c>
      <c r="R14" s="91">
        <f>O14+IF(12=36,250000,0)</f>
        <v>10134.377331793734</v>
      </c>
      <c r="S14" s="91">
        <f>O14+IF(12=36,500000,0)</f>
        <v>10134.377331793734</v>
      </c>
      <c r="T14" s="91">
        <f>O14+IF(12=36,750000,0)</f>
        <v>10134.377331793734</v>
      </c>
      <c r="U14" s="91">
        <f>O14+IF(12=36,1000000,0)</f>
        <v>10134.377331793734</v>
      </c>
      <c r="V14" s="91">
        <f>P14+IF(12=36,0,0)</f>
        <v>0</v>
      </c>
      <c r="W14" s="91">
        <f>P14+IF(12=36,250000,0)</f>
        <v>0</v>
      </c>
      <c r="X14" s="91">
        <f>P14+IF(12=36,500000,0)</f>
        <v>0</v>
      </c>
      <c r="Y14" s="91">
        <f>P14+IF(12=36,750000,0)</f>
        <v>0</v>
      </c>
      <c r="Z14" s="91">
        <f>P14+IF(12=36,1000000,0)</f>
        <v>0</v>
      </c>
    </row>
    <row r="15" spans="1:26" ht="1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90">
        <v>13</v>
      </c>
      <c r="O15" s="91">
        <f>Funding_36M!$G14</f>
        <v>10342.803333333331</v>
      </c>
      <c r="P15" s="91">
        <f>-Funding_36M!$J14+IF(13=36,Funding_36M!$Q14-Funding_36M!$T14,0)</f>
        <v>0</v>
      </c>
      <c r="Q15" s="91">
        <f>O15+IF(13=36,0,0)</f>
        <v>10342.803333333331</v>
      </c>
      <c r="R15" s="91">
        <f>O15+IF(13=36,250000,0)</f>
        <v>10342.803333333331</v>
      </c>
      <c r="S15" s="91">
        <f>O15+IF(13=36,500000,0)</f>
        <v>10342.803333333331</v>
      </c>
      <c r="T15" s="91">
        <f>O15+IF(13=36,750000,0)</f>
        <v>10342.803333333331</v>
      </c>
      <c r="U15" s="91">
        <f>O15+IF(13=36,1000000,0)</f>
        <v>10342.803333333331</v>
      </c>
      <c r="V15" s="91">
        <f>P15+IF(13=36,0,0)</f>
        <v>0</v>
      </c>
      <c r="W15" s="91">
        <f>P15+IF(13=36,250000,0)</f>
        <v>0</v>
      </c>
      <c r="X15" s="91">
        <f>P15+IF(13=36,500000,0)</f>
        <v>0</v>
      </c>
      <c r="Y15" s="91">
        <f>P15+IF(13=36,750000,0)</f>
        <v>0</v>
      </c>
      <c r="Z15" s="91">
        <f>P15+IF(13=36,1000000,0)</f>
        <v>0</v>
      </c>
    </row>
    <row r="16" spans="1:26" ht="15" customHeight="1" x14ac:dyDescent="0.3">
      <c r="A16" s="98" t="s">
        <v>542</v>
      </c>
      <c r="B16" s="75"/>
      <c r="C16" s="75"/>
      <c r="D16" s="75"/>
      <c r="E16" s="75"/>
      <c r="F16" s="75"/>
      <c r="G16" s="75"/>
      <c r="H16" s="75"/>
      <c r="I16" s="75"/>
      <c r="J16" s="75"/>
      <c r="K16" s="11"/>
      <c r="L16" s="11"/>
      <c r="M16" s="11"/>
      <c r="N16" s="90">
        <v>14</v>
      </c>
      <c r="O16" s="91">
        <f>Funding_36M!$G15</f>
        <v>10137.466983789711</v>
      </c>
      <c r="P16" s="91">
        <f>-Funding_36M!$J15+IF(14=36,Funding_36M!$Q15-Funding_36M!$T15,0)</f>
        <v>0</v>
      </c>
      <c r="Q16" s="91">
        <f>O16+IF(14=36,0,0)</f>
        <v>10137.466983789711</v>
      </c>
      <c r="R16" s="91">
        <f>O16+IF(14=36,250000,0)</f>
        <v>10137.466983789711</v>
      </c>
      <c r="S16" s="91">
        <f>O16+IF(14=36,500000,0)</f>
        <v>10137.466983789711</v>
      </c>
      <c r="T16" s="91">
        <f>O16+IF(14=36,750000,0)</f>
        <v>10137.466983789711</v>
      </c>
      <c r="U16" s="91">
        <f>O16+IF(14=36,1000000,0)</f>
        <v>10137.466983789711</v>
      </c>
      <c r="V16" s="91">
        <f>P16+IF(14=36,0,0)</f>
        <v>0</v>
      </c>
      <c r="W16" s="91">
        <f>P16+IF(14=36,250000,0)</f>
        <v>0</v>
      </c>
      <c r="X16" s="91">
        <f>P16+IF(14=36,500000,0)</f>
        <v>0</v>
      </c>
      <c r="Y16" s="91">
        <f>P16+IF(14=36,750000,0)</f>
        <v>0</v>
      </c>
      <c r="Z16" s="91">
        <f>P16+IF(14=36,1000000,0)</f>
        <v>0</v>
      </c>
    </row>
    <row r="17" spans="1:26" ht="1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90">
        <v>15</v>
      </c>
      <c r="O17" s="91">
        <f>Funding_36M!$G16</f>
        <v>9538.2268694513259</v>
      </c>
      <c r="P17" s="91">
        <f>-Funding_36M!$J16+IF(15=36,Funding_36M!$Q16-Funding_36M!$T16,0)</f>
        <v>0</v>
      </c>
      <c r="Q17" s="91">
        <f>O17+IF(15=36,0,0)</f>
        <v>9538.2268694513259</v>
      </c>
      <c r="R17" s="91">
        <f>O17+IF(15=36,250000,0)</f>
        <v>9538.2268694513259</v>
      </c>
      <c r="S17" s="91">
        <f>O17+IF(15=36,500000,0)</f>
        <v>9538.2268694513259</v>
      </c>
      <c r="T17" s="91">
        <f>O17+IF(15=36,750000,0)</f>
        <v>9538.2268694513259</v>
      </c>
      <c r="U17" s="91">
        <f>O17+IF(15=36,1000000,0)</f>
        <v>9538.2268694513259</v>
      </c>
      <c r="V17" s="91">
        <f>P17+IF(15=36,0,0)</f>
        <v>0</v>
      </c>
      <c r="W17" s="91">
        <f>P17+IF(15=36,250000,0)</f>
        <v>0</v>
      </c>
      <c r="X17" s="91">
        <f>P17+IF(15=36,500000,0)</f>
        <v>0</v>
      </c>
      <c r="Y17" s="91">
        <f>P17+IF(15=36,750000,0)</f>
        <v>0</v>
      </c>
      <c r="Z17" s="91">
        <f>P17+IF(15=36,1000000,0)</f>
        <v>0</v>
      </c>
    </row>
    <row r="18" spans="1:26" ht="15" customHeight="1" x14ac:dyDescent="0.3">
      <c r="A18" s="99" t="s">
        <v>543</v>
      </c>
      <c r="B18" s="100">
        <v>15</v>
      </c>
      <c r="C18" s="100">
        <v>16</v>
      </c>
      <c r="D18" s="100">
        <v>17</v>
      </c>
      <c r="E18" s="100">
        <v>18</v>
      </c>
      <c r="F18" s="100">
        <v>19</v>
      </c>
      <c r="G18" s="100">
        <v>20</v>
      </c>
      <c r="H18" s="11"/>
      <c r="I18" s="11"/>
      <c r="J18" s="11"/>
      <c r="K18" s="11"/>
      <c r="L18" s="11"/>
      <c r="M18" s="11"/>
      <c r="N18" s="90">
        <v>16</v>
      </c>
      <c r="O18" s="91">
        <f>Funding_36M!$G17</f>
        <v>9731.95432521558</v>
      </c>
      <c r="P18" s="91">
        <f>-Funding_36M!$J17+IF(16=36,Funding_36M!$Q17-Funding_36M!$T17,0)</f>
        <v>0</v>
      </c>
      <c r="Q18" s="91">
        <f>O18+IF(16=36,0,0)</f>
        <v>9731.95432521558</v>
      </c>
      <c r="R18" s="91">
        <f>O18+IF(16=36,250000,0)</f>
        <v>9731.95432521558</v>
      </c>
      <c r="S18" s="91">
        <f>O18+IF(16=36,500000,0)</f>
        <v>9731.95432521558</v>
      </c>
      <c r="T18" s="91">
        <f>O18+IF(16=36,750000,0)</f>
        <v>9731.95432521558</v>
      </c>
      <c r="U18" s="91">
        <f>O18+IF(16=36,1000000,0)</f>
        <v>9731.95432521558</v>
      </c>
      <c r="V18" s="91">
        <f>P18+IF(16=36,0,0)</f>
        <v>0</v>
      </c>
      <c r="W18" s="91">
        <f>P18+IF(16=36,250000,0)</f>
        <v>0</v>
      </c>
      <c r="X18" s="91">
        <f>P18+IF(16=36,500000,0)</f>
        <v>0</v>
      </c>
      <c r="Y18" s="91">
        <f>P18+IF(16=36,750000,0)</f>
        <v>0</v>
      </c>
      <c r="Z18" s="91">
        <f>P18+IF(16=36,1000000,0)</f>
        <v>0</v>
      </c>
    </row>
    <row r="19" spans="1:26" ht="15" customHeight="1" x14ac:dyDescent="0.3">
      <c r="A19" s="101" t="s">
        <v>544</v>
      </c>
      <c r="B19" s="102">
        <f>$B$6/Controls!$B$25*B18</f>
        <v>510590.67955525522</v>
      </c>
      <c r="C19" s="102">
        <f>$B$6/Controls!$B$25*C18</f>
        <v>544630.0581922722</v>
      </c>
      <c r="D19" s="102">
        <f>$B$6/Controls!$B$25*D18</f>
        <v>578669.43682928919</v>
      </c>
      <c r="E19" s="102">
        <f>$B$6/Controls!$B$25*E18</f>
        <v>612708.81546630617</v>
      </c>
      <c r="F19" s="102">
        <f>$B$6/Controls!$B$25*F18</f>
        <v>646748.19410332327</v>
      </c>
      <c r="G19" s="102">
        <f>$B$6/Controls!$B$25*G18</f>
        <v>680787.57274034026</v>
      </c>
      <c r="H19" s="11"/>
      <c r="I19" s="95" t="s">
        <v>545</v>
      </c>
      <c r="J19" s="11"/>
      <c r="K19" s="11"/>
      <c r="L19" s="11"/>
      <c r="M19" s="11"/>
      <c r="N19" s="90">
        <v>17</v>
      </c>
      <c r="O19" s="91">
        <f>Funding_36M!$G18</f>
        <v>9149.095000168094</v>
      </c>
      <c r="P19" s="91">
        <f>-Funding_36M!$J18+IF(17=36,Funding_36M!$Q18-Funding_36M!$T18,0)</f>
        <v>0</v>
      </c>
      <c r="Q19" s="91">
        <f>O19+IF(17=36,0,0)</f>
        <v>9149.095000168094</v>
      </c>
      <c r="R19" s="91">
        <f>O19+IF(17=36,250000,0)</f>
        <v>9149.095000168094</v>
      </c>
      <c r="S19" s="91">
        <f>O19+IF(17=36,500000,0)</f>
        <v>9149.095000168094</v>
      </c>
      <c r="T19" s="91">
        <f>O19+IF(17=36,750000,0)</f>
        <v>9149.095000168094</v>
      </c>
      <c r="U19" s="91">
        <f>O19+IF(17=36,1000000,0)</f>
        <v>9149.095000168094</v>
      </c>
      <c r="V19" s="91">
        <f>P19+IF(17=36,0,0)</f>
        <v>0</v>
      </c>
      <c r="W19" s="91">
        <f>P19+IF(17=36,250000,0)</f>
        <v>0</v>
      </c>
      <c r="X19" s="91">
        <f>P19+IF(17=36,500000,0)</f>
        <v>0</v>
      </c>
      <c r="Y19" s="91">
        <f>P19+IF(17=36,750000,0)</f>
        <v>0</v>
      </c>
      <c r="Z19" s="91">
        <f>P19+IF(17=36,1000000,0)</f>
        <v>0</v>
      </c>
    </row>
    <row r="20" spans="1:26" ht="15" customHeight="1" x14ac:dyDescent="0.3">
      <c r="A20" s="101" t="s">
        <v>546</v>
      </c>
      <c r="B20" s="102">
        <f>$B$7+$B$6*(B18/Controls!$B$25-1)</f>
        <v>178137.30788858875</v>
      </c>
      <c r="C20" s="102">
        <f>$B$7+$B$6*(C18/Controls!$B$25-1)</f>
        <v>212176.68652560576</v>
      </c>
      <c r="D20" s="102">
        <f>$B$7+$B$6*(D18/Controls!$B$25-1)</f>
        <v>246216.06516262278</v>
      </c>
      <c r="E20" s="102">
        <f>$B$7+$B$6*(E18/Controls!$B$25-1)</f>
        <v>280255.44379963982</v>
      </c>
      <c r="F20" s="102">
        <f>$B$7+$B$6*(F18/Controls!$B$25-1)</f>
        <v>314294.8224366568</v>
      </c>
      <c r="G20" s="102">
        <f>$B$7+$B$6*(G18/Controls!$B$25-1)</f>
        <v>348334.20107367384</v>
      </c>
      <c r="H20" s="11"/>
      <c r="I20" s="11"/>
      <c r="J20" s="11"/>
      <c r="K20" s="11"/>
      <c r="L20" s="11"/>
      <c r="M20" s="11"/>
      <c r="N20" s="90">
        <v>18</v>
      </c>
      <c r="O20" s="91">
        <f>Funding_36M!$G19</f>
        <v>9333.2353139851748</v>
      </c>
      <c r="P20" s="91">
        <f>-Funding_36M!$J19+IF(18=36,Funding_36M!$Q19-Funding_36M!$T19,0)</f>
        <v>0</v>
      </c>
      <c r="Q20" s="91">
        <f>O20+IF(18=36,0,0)</f>
        <v>9333.2353139851748</v>
      </c>
      <c r="R20" s="91">
        <f>O20+IF(18=36,250000,0)</f>
        <v>9333.2353139851748</v>
      </c>
      <c r="S20" s="91">
        <f>O20+IF(18=36,500000,0)</f>
        <v>9333.2353139851748</v>
      </c>
      <c r="T20" s="91">
        <f>O20+IF(18=36,750000,0)</f>
        <v>9333.2353139851748</v>
      </c>
      <c r="U20" s="91">
        <f>O20+IF(18=36,1000000,0)</f>
        <v>9333.2353139851748</v>
      </c>
      <c r="V20" s="91">
        <f>P20+IF(18=36,0,0)</f>
        <v>0</v>
      </c>
      <c r="W20" s="91">
        <f>P20+IF(18=36,250000,0)</f>
        <v>0</v>
      </c>
      <c r="X20" s="91">
        <f>P20+IF(18=36,500000,0)</f>
        <v>0</v>
      </c>
      <c r="Y20" s="91">
        <f>P20+IF(18=36,750000,0)</f>
        <v>0</v>
      </c>
      <c r="Z20" s="91">
        <f>P20+IF(18=36,1000000,0)</f>
        <v>0</v>
      </c>
    </row>
    <row r="21" spans="1:26" ht="1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90">
        <v>19</v>
      </c>
      <c r="O21" s="91">
        <f>Funding_36M!$G20</f>
        <v>14314.631311852885</v>
      </c>
      <c r="P21" s="91">
        <f>-Funding_36M!$J20+IF(19=36,Funding_36M!$Q20-Funding_36M!$T20,0)</f>
        <v>0</v>
      </c>
      <c r="Q21" s="91">
        <f>O21+IF(19=36,0,0)</f>
        <v>14314.631311852885</v>
      </c>
      <c r="R21" s="91">
        <f>O21+IF(19=36,250000,0)</f>
        <v>14314.631311852885</v>
      </c>
      <c r="S21" s="91">
        <f>O21+IF(19=36,500000,0)</f>
        <v>14314.631311852885</v>
      </c>
      <c r="T21" s="91">
        <f>O21+IF(19=36,750000,0)</f>
        <v>14314.631311852885</v>
      </c>
      <c r="U21" s="91">
        <f>O21+IF(19=36,1000000,0)</f>
        <v>14314.631311852885</v>
      </c>
      <c r="V21" s="91">
        <f>P21+IF(19=36,0,0)</f>
        <v>0</v>
      </c>
      <c r="W21" s="91">
        <f>P21+IF(19=36,250000,0)</f>
        <v>0</v>
      </c>
      <c r="X21" s="91">
        <f>P21+IF(19=36,500000,0)</f>
        <v>0</v>
      </c>
      <c r="Y21" s="91">
        <f>P21+IF(19=36,750000,0)</f>
        <v>0</v>
      </c>
      <c r="Z21" s="91">
        <f>P21+IF(19=36,1000000,0)</f>
        <v>0</v>
      </c>
    </row>
    <row r="22" spans="1:26" ht="15" customHeight="1" x14ac:dyDescent="0.3">
      <c r="A22" s="99" t="s">
        <v>547</v>
      </c>
      <c r="B22" s="103">
        <v>0.8</v>
      </c>
      <c r="C22" s="103">
        <v>1</v>
      </c>
      <c r="D22" s="103">
        <v>1.2</v>
      </c>
      <c r="E22" s="103">
        <v>1.4</v>
      </c>
      <c r="F22" s="103">
        <v>1.6</v>
      </c>
      <c r="G22" s="104"/>
      <c r="H22" s="11"/>
      <c r="I22" s="11"/>
      <c r="J22" s="11"/>
      <c r="K22" s="11"/>
      <c r="L22" s="11"/>
      <c r="M22" s="11"/>
      <c r="N22" s="90">
        <v>20</v>
      </c>
      <c r="O22" s="91">
        <f>Funding_36M!$G21</f>
        <v>13058.152885923268</v>
      </c>
      <c r="P22" s="91">
        <f>-Funding_36M!$J21+IF(20=36,Funding_36M!$Q21-Funding_36M!$T21,0)</f>
        <v>0</v>
      </c>
      <c r="Q22" s="91">
        <f>O22+IF(20=36,0,0)</f>
        <v>13058.152885923268</v>
      </c>
      <c r="R22" s="91">
        <f>O22+IF(20=36,250000,0)</f>
        <v>13058.152885923268</v>
      </c>
      <c r="S22" s="91">
        <f>O22+IF(20=36,500000,0)</f>
        <v>13058.152885923268</v>
      </c>
      <c r="T22" s="91">
        <f>O22+IF(20=36,750000,0)</f>
        <v>13058.152885923268</v>
      </c>
      <c r="U22" s="91">
        <f>O22+IF(20=36,1000000,0)</f>
        <v>13058.152885923268</v>
      </c>
      <c r="V22" s="91">
        <f>P22+IF(20=36,0,0)</f>
        <v>0</v>
      </c>
      <c r="W22" s="91">
        <f>P22+IF(20=36,250000,0)</f>
        <v>0</v>
      </c>
      <c r="X22" s="91">
        <f>P22+IF(20=36,500000,0)</f>
        <v>0</v>
      </c>
      <c r="Y22" s="91">
        <f>P22+IF(20=36,750000,0)</f>
        <v>0</v>
      </c>
      <c r="Z22" s="91">
        <f>P22+IF(20=36,1000000,0)</f>
        <v>0</v>
      </c>
    </row>
    <row r="23" spans="1:26" ht="15" customHeight="1" x14ac:dyDescent="0.3">
      <c r="A23" s="101" t="s">
        <v>548</v>
      </c>
      <c r="B23" s="102">
        <f>SUMPRODUCT((Monthly_Deployment!$A$2:$A$37&lt;=Controls!$B$40)*(Monthly_Deployment!$U$2:$U$37+Monthly_Deployment!$V$2:$V$37))*B22+SUMPRODUCT((Monthly_Deployment!$A$2:$A$37&gt;Controls!$B$40)*(Monthly_Deployment!$U$2:$U$37+Monthly_Deployment!$V$2:$V$37))*Controls!$B$39</f>
        <v>198602.87999999995</v>
      </c>
      <c r="C23" s="102">
        <f>SUMPRODUCT((Monthly_Deployment!$A$2:$A$37&lt;=Controls!$B$40)*(Monthly_Deployment!$U$2:$U$37+Monthly_Deployment!$V$2:$V$37))*C22+SUMPRODUCT((Monthly_Deployment!$A$2:$A$37&gt;Controls!$B$40)*(Monthly_Deployment!$U$2:$U$37+Monthly_Deployment!$V$2:$V$37))*Controls!$B$39</f>
        <v>225410.87999999995</v>
      </c>
      <c r="D23" s="102">
        <f>SUMPRODUCT((Monthly_Deployment!$A$2:$A$37&lt;=Controls!$B$40)*(Monthly_Deployment!$U$2:$U$37+Monthly_Deployment!$V$2:$V$37))*D22+SUMPRODUCT((Monthly_Deployment!$A$2:$A$37&gt;Controls!$B$40)*(Monthly_Deployment!$U$2:$U$37+Monthly_Deployment!$V$2:$V$37))*Controls!$B$39</f>
        <v>252218.87999999995</v>
      </c>
      <c r="E23" s="102">
        <f>SUMPRODUCT((Monthly_Deployment!$A$2:$A$37&lt;=Controls!$B$40)*(Monthly_Deployment!$U$2:$U$37+Monthly_Deployment!$V$2:$V$37))*E22+SUMPRODUCT((Monthly_Deployment!$A$2:$A$37&gt;Controls!$B$40)*(Monthly_Deployment!$U$2:$U$37+Monthly_Deployment!$V$2:$V$37))*Controls!$B$39</f>
        <v>279026.87999999989</v>
      </c>
      <c r="F23" s="102">
        <f>SUMPRODUCT((Monthly_Deployment!$A$2:$A$37&lt;=Controls!$B$40)*(Monthly_Deployment!$U$2:$U$37+Monthly_Deployment!$V$2:$V$37))*F22+SUMPRODUCT((Monthly_Deployment!$A$2:$A$37&gt;Controls!$B$40)*(Monthly_Deployment!$U$2:$U$37+Monthly_Deployment!$V$2:$V$37))*Controls!$B$39</f>
        <v>305834.87999999995</v>
      </c>
      <c r="G23" s="11"/>
      <c r="H23" s="95" t="s">
        <v>549</v>
      </c>
      <c r="I23" s="11"/>
      <c r="J23" s="11"/>
      <c r="K23" s="11"/>
      <c r="L23" s="11"/>
      <c r="M23" s="11"/>
      <c r="N23" s="90">
        <v>21</v>
      </c>
      <c r="O23" s="91">
        <f>Funding_36M!$G22</f>
        <v>13925.910756892445</v>
      </c>
      <c r="P23" s="91">
        <f>-Funding_36M!$J22+IF(21=36,Funding_36M!$Q22-Funding_36M!$T22,0)</f>
        <v>0</v>
      </c>
      <c r="Q23" s="91">
        <f>O23+IF(21=36,0,0)</f>
        <v>13925.910756892445</v>
      </c>
      <c r="R23" s="91">
        <f>O23+IF(21=36,250000,0)</f>
        <v>13925.910756892445</v>
      </c>
      <c r="S23" s="91">
        <f>O23+IF(21=36,500000,0)</f>
        <v>13925.910756892445</v>
      </c>
      <c r="T23" s="91">
        <f>O23+IF(21=36,750000,0)</f>
        <v>13925.910756892445</v>
      </c>
      <c r="U23" s="91">
        <f>O23+IF(21=36,1000000,0)</f>
        <v>13925.910756892445</v>
      </c>
      <c r="V23" s="91">
        <f>P23+IF(21=36,0,0)</f>
        <v>0</v>
      </c>
      <c r="W23" s="91">
        <f>P23+IF(21=36,250000,0)</f>
        <v>0</v>
      </c>
      <c r="X23" s="91">
        <f>P23+IF(21=36,500000,0)</f>
        <v>0</v>
      </c>
      <c r="Y23" s="91">
        <f>P23+IF(21=36,750000,0)</f>
        <v>0</v>
      </c>
      <c r="Z23" s="91">
        <f>P23+IF(21=36,1000000,0)</f>
        <v>0</v>
      </c>
    </row>
    <row r="24" spans="1:26" ht="15" customHeight="1" x14ac:dyDescent="0.3">
      <c r="A24" s="101" t="s">
        <v>546</v>
      </c>
      <c r="B24" s="102">
        <f>$B$7+((SUM(Opex_36M!$D$2:$D$37)+SUM(Opex_36M!$E$2:$E$37))-B23)</f>
        <v>299832.06516262295</v>
      </c>
      <c r="C24" s="102">
        <f>$B$7+((SUM(Opex_36M!$D$2:$D$37)+SUM(Opex_36M!$E$2:$E$37))-C23)</f>
        <v>273024.06516262295</v>
      </c>
      <c r="D24" s="102">
        <f>$B$7+((SUM(Opex_36M!$D$2:$D$37)+SUM(Opex_36M!$E$2:$E$37))-D23)</f>
        <v>246216.06516262295</v>
      </c>
      <c r="E24" s="102">
        <f>$B$7+((SUM(Opex_36M!$D$2:$D$37)+SUM(Opex_36M!$E$2:$E$37))-E23)</f>
        <v>219408.06516262301</v>
      </c>
      <c r="F24" s="102">
        <f>$B$7+((SUM(Opex_36M!$D$2:$D$37)+SUM(Opex_36M!$E$2:$E$37))-F23)</f>
        <v>192600.06516262295</v>
      </c>
      <c r="G24" s="11"/>
      <c r="H24" s="11"/>
      <c r="I24" s="11"/>
      <c r="J24" s="11"/>
      <c r="K24" s="11"/>
      <c r="L24" s="11"/>
      <c r="M24" s="11"/>
      <c r="N24" s="90">
        <v>22</v>
      </c>
      <c r="O24" s="91">
        <f>Funding_36M!$G23</f>
        <v>13215.795278879681</v>
      </c>
      <c r="P24" s="91">
        <f>-Funding_36M!$J23+IF(22=36,Funding_36M!$Q23-Funding_36M!$T23,0)</f>
        <v>0</v>
      </c>
      <c r="Q24" s="91">
        <f>O24+IF(22=36,0,0)</f>
        <v>13215.795278879681</v>
      </c>
      <c r="R24" s="91">
        <f>O24+IF(22=36,250000,0)</f>
        <v>13215.795278879681</v>
      </c>
      <c r="S24" s="91">
        <f>O24+IF(22=36,500000,0)</f>
        <v>13215.795278879681</v>
      </c>
      <c r="T24" s="91">
        <f>O24+IF(22=36,750000,0)</f>
        <v>13215.795278879681</v>
      </c>
      <c r="U24" s="91">
        <f>O24+IF(22=36,1000000,0)</f>
        <v>13215.795278879681</v>
      </c>
      <c r="V24" s="91">
        <f>P24+IF(22=36,0,0)</f>
        <v>0</v>
      </c>
      <c r="W24" s="91">
        <f>P24+IF(22=36,250000,0)</f>
        <v>0</v>
      </c>
      <c r="X24" s="91">
        <f>P24+IF(22=36,500000,0)</f>
        <v>0</v>
      </c>
      <c r="Y24" s="91">
        <f>P24+IF(22=36,750000,0)</f>
        <v>0</v>
      </c>
      <c r="Z24" s="91">
        <f>P24+IF(22=36,1000000,0)</f>
        <v>0</v>
      </c>
    </row>
    <row r="25" spans="1:26" ht="1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90">
        <v>23</v>
      </c>
      <c r="O25" s="91">
        <f>Funding_36M!$G24</f>
        <v>3017.43647461829</v>
      </c>
      <c r="P25" s="91">
        <f>-Funding_36M!$J24+IF(23=36,Funding_36M!$Q24-Funding_36M!$T24,0)</f>
        <v>0</v>
      </c>
      <c r="Q25" s="91">
        <f>O25+IF(23=36,0,0)</f>
        <v>3017.43647461829</v>
      </c>
      <c r="R25" s="91">
        <f>O25+IF(23=36,250000,0)</f>
        <v>3017.43647461829</v>
      </c>
      <c r="S25" s="91">
        <f>O25+IF(23=36,500000,0)</f>
        <v>3017.43647461829</v>
      </c>
      <c r="T25" s="91">
        <f>O25+IF(23=36,750000,0)</f>
        <v>3017.43647461829</v>
      </c>
      <c r="U25" s="91">
        <f>O25+IF(23=36,1000000,0)</f>
        <v>3017.43647461829</v>
      </c>
      <c r="V25" s="91">
        <f>P25+IF(23=36,0,0)</f>
        <v>0</v>
      </c>
      <c r="W25" s="91">
        <f>P25+IF(23=36,250000,0)</f>
        <v>0</v>
      </c>
      <c r="X25" s="91">
        <f>P25+IF(23=36,500000,0)</f>
        <v>0</v>
      </c>
      <c r="Y25" s="91">
        <f>P25+IF(23=36,750000,0)</f>
        <v>0</v>
      </c>
      <c r="Z25" s="91">
        <f>P25+IF(23=36,1000000,0)</f>
        <v>0</v>
      </c>
    </row>
    <row r="26" spans="1:26" ht="15" customHeight="1" x14ac:dyDescent="0.3">
      <c r="A26" s="99" t="s">
        <v>550</v>
      </c>
      <c r="B26" s="105">
        <v>6</v>
      </c>
      <c r="C26" s="105">
        <v>8</v>
      </c>
      <c r="D26" s="105">
        <v>8.4499999999999993</v>
      </c>
      <c r="E26" s="105">
        <v>10</v>
      </c>
      <c r="F26" s="105">
        <v>12</v>
      </c>
      <c r="G26" s="105">
        <v>15</v>
      </c>
      <c r="H26" s="11"/>
      <c r="I26" s="11"/>
      <c r="J26" s="11"/>
      <c r="K26" s="11"/>
      <c r="L26" s="11"/>
      <c r="M26" s="11"/>
      <c r="N26" s="90">
        <v>24</v>
      </c>
      <c r="O26" s="91">
        <f>Funding_36M!$G25</f>
        <v>2753.6269625441109</v>
      </c>
      <c r="P26" s="91">
        <f>-Funding_36M!$J25+IF(24=36,Funding_36M!$Q25-Funding_36M!$T25,0)</f>
        <v>0</v>
      </c>
      <c r="Q26" s="91">
        <f>O26+IF(24=36,0,0)</f>
        <v>2753.6269625441109</v>
      </c>
      <c r="R26" s="91">
        <f>O26+IF(24=36,250000,0)</f>
        <v>2753.6269625441109</v>
      </c>
      <c r="S26" s="91">
        <f>O26+IF(24=36,500000,0)</f>
        <v>2753.6269625441109</v>
      </c>
      <c r="T26" s="91">
        <f>O26+IF(24=36,750000,0)</f>
        <v>2753.6269625441109</v>
      </c>
      <c r="U26" s="91">
        <f>O26+IF(24=36,1000000,0)</f>
        <v>2753.6269625441109</v>
      </c>
      <c r="V26" s="91">
        <f>P26+IF(24=36,0,0)</f>
        <v>0</v>
      </c>
      <c r="W26" s="91">
        <f>P26+IF(24=36,250000,0)</f>
        <v>0</v>
      </c>
      <c r="X26" s="91">
        <f>P26+IF(24=36,500000,0)</f>
        <v>0</v>
      </c>
      <c r="Y26" s="91">
        <f>P26+IF(24=36,750000,0)</f>
        <v>0</v>
      </c>
      <c r="Z26" s="91">
        <f>P26+IF(24=36,1000000,0)</f>
        <v>0</v>
      </c>
    </row>
    <row r="27" spans="1:26" ht="15" customHeight="1" x14ac:dyDescent="0.3">
      <c r="A27" s="101" t="s">
        <v>551</v>
      </c>
      <c r="B27" s="102">
        <f>SUM(Capex_36M!$G$2:$G$37)/(Controls!$B$46/Controls!$B$43)*B26</f>
        <v>155428.57142857145</v>
      </c>
      <c r="C27" s="102">
        <f>SUM(Capex_36M!$G$2:$G$37)/(Controls!$B$46/Controls!$B$43)*C26</f>
        <v>207238.09523809527</v>
      </c>
      <c r="D27" s="102">
        <f>SUM(Capex_36M!$G$2:$G$37)/(Controls!$B$46/Controls!$B$43)*D26</f>
        <v>218895.23809523811</v>
      </c>
      <c r="E27" s="102">
        <f>SUM(Capex_36M!$G$2:$G$37)/(Controls!$B$46/Controls!$B$43)*E26</f>
        <v>259047.61904761908</v>
      </c>
      <c r="F27" s="102">
        <f>SUM(Capex_36M!$G$2:$G$37)/(Controls!$B$46/Controls!$B$43)*F26</f>
        <v>310857.1428571429</v>
      </c>
      <c r="G27" s="102">
        <f>SUM(Capex_36M!$G$2:$G$37)/(Controls!$B$46/Controls!$B$43)*G26</f>
        <v>388571.42857142864</v>
      </c>
      <c r="H27" s="95" t="s">
        <v>552</v>
      </c>
      <c r="I27" s="11"/>
      <c r="J27" s="11"/>
      <c r="K27" s="11"/>
      <c r="L27" s="11"/>
      <c r="M27" s="11"/>
      <c r="N27" s="90">
        <v>25</v>
      </c>
      <c r="O27" s="91">
        <f>Funding_36M!$G26</f>
        <v>2829.5658333333331</v>
      </c>
      <c r="P27" s="91">
        <f>-Funding_36M!$J26+IF(25=36,Funding_36M!$Q26-Funding_36M!$T26,0)</f>
        <v>0</v>
      </c>
      <c r="Q27" s="91">
        <f>O27+IF(25=36,0,0)</f>
        <v>2829.5658333333331</v>
      </c>
      <c r="R27" s="91">
        <f>O27+IF(25=36,250000,0)</f>
        <v>2829.5658333333331</v>
      </c>
      <c r="S27" s="91">
        <f>O27+IF(25=36,500000,0)</f>
        <v>2829.5658333333331</v>
      </c>
      <c r="T27" s="91">
        <f>O27+IF(25=36,750000,0)</f>
        <v>2829.5658333333331</v>
      </c>
      <c r="U27" s="91">
        <f>O27+IF(25=36,1000000,0)</f>
        <v>2829.5658333333331</v>
      </c>
      <c r="V27" s="91">
        <f>P27+IF(25=36,0,0)</f>
        <v>0</v>
      </c>
      <c r="W27" s="91">
        <f>P27+IF(25=36,250000,0)</f>
        <v>0</v>
      </c>
      <c r="X27" s="91">
        <f>P27+IF(25=36,500000,0)</f>
        <v>0</v>
      </c>
      <c r="Y27" s="91">
        <f>P27+IF(25=36,750000,0)</f>
        <v>0</v>
      </c>
      <c r="Z27" s="91">
        <f>P27+IF(25=36,1000000,0)</f>
        <v>0</v>
      </c>
    </row>
    <row r="28" spans="1:26" ht="15" customHeight="1" x14ac:dyDescent="0.3">
      <c r="A28" s="101" t="s">
        <v>553</v>
      </c>
      <c r="B28" s="102">
        <f>SUM(Capex_36M!$O$2:$O$37)+(B27-SUM(Capex_36M!$G$2:$G$37))*(1+Controls!$B$55)</f>
        <v>446720.85714285716</v>
      </c>
      <c r="C28" s="102">
        <f>SUM(Capex_36M!$O$2:$O$37)+(C27-SUM(Capex_36M!$G$2:$G$37))*(1+Controls!$B$55)</f>
        <v>499566.57142857148</v>
      </c>
      <c r="D28" s="102">
        <f>SUM(Capex_36M!$O$2:$O$37)+(D27-SUM(Capex_36M!$G$2:$G$37))*(1+Controls!$B$55)</f>
        <v>511456.85714285716</v>
      </c>
      <c r="E28" s="102">
        <f>SUM(Capex_36M!$O$2:$O$37)+(E27-SUM(Capex_36M!$G$2:$G$37))*(1+Controls!$B$55)</f>
        <v>552412.2857142858</v>
      </c>
      <c r="F28" s="102">
        <f>SUM(Capex_36M!$O$2:$O$37)+(F27-SUM(Capex_36M!$G$2:$G$37))*(1+Controls!$B$55)</f>
        <v>605258</v>
      </c>
      <c r="G28" s="102">
        <f>SUM(Capex_36M!$O$2:$O$37)+(G27-SUM(Capex_36M!$G$2:$G$37))*(1+Controls!$B$55)</f>
        <v>684526.57142857148</v>
      </c>
      <c r="H28" s="11"/>
      <c r="I28" s="11"/>
      <c r="J28" s="11"/>
      <c r="K28" s="11"/>
      <c r="L28" s="11"/>
      <c r="M28" s="11"/>
      <c r="N28" s="90">
        <v>26</v>
      </c>
      <c r="O28" s="91">
        <f>Funding_36M!$G27</f>
        <v>2736.8225967092903</v>
      </c>
      <c r="P28" s="91">
        <f>-Funding_36M!$J27+IF(26=36,Funding_36M!$Q27-Funding_36M!$T27,0)</f>
        <v>0</v>
      </c>
      <c r="Q28" s="91">
        <f>O28+IF(26=36,0,0)</f>
        <v>2736.8225967092903</v>
      </c>
      <c r="R28" s="91">
        <f>O28+IF(26=36,250000,0)</f>
        <v>2736.8225967092903</v>
      </c>
      <c r="S28" s="91">
        <f>O28+IF(26=36,500000,0)</f>
        <v>2736.8225967092903</v>
      </c>
      <c r="T28" s="91">
        <f>O28+IF(26=36,750000,0)</f>
        <v>2736.8225967092903</v>
      </c>
      <c r="U28" s="91">
        <f>O28+IF(26=36,1000000,0)</f>
        <v>2736.8225967092903</v>
      </c>
      <c r="V28" s="91">
        <f>P28+IF(26=36,0,0)</f>
        <v>0</v>
      </c>
      <c r="W28" s="91">
        <f>P28+IF(26=36,250000,0)</f>
        <v>0</v>
      </c>
      <c r="X28" s="91">
        <f>P28+IF(26=36,500000,0)</f>
        <v>0</v>
      </c>
      <c r="Y28" s="91">
        <f>P28+IF(26=36,750000,0)</f>
        <v>0</v>
      </c>
      <c r="Z28" s="91">
        <f>P28+IF(26=36,1000000,0)</f>
        <v>0</v>
      </c>
    </row>
    <row r="29" spans="1:26" ht="15" customHeight="1" x14ac:dyDescent="0.3">
      <c r="A29" s="101" t="s">
        <v>554</v>
      </c>
      <c r="B29" s="102">
        <f>(Controls!$B$100+Controls!$B$101+Controls!$B$104)-B28-Controls!$B$111</f>
        <v>82066.642857142841</v>
      </c>
      <c r="C29" s="102">
        <f>(Controls!$B$100+Controls!$B$101+Controls!$B$104)-C28-Controls!$B$111</f>
        <v>29220.928571428522</v>
      </c>
      <c r="D29" s="102">
        <f>(Controls!$B$100+Controls!$B$101+Controls!$B$104)-D28-Controls!$B$111</f>
        <v>17330.642857142841</v>
      </c>
      <c r="E29" s="102">
        <f>(Controls!$B$100+Controls!$B$101+Controls!$B$104)-E28-Controls!$B$111</f>
        <v>-23624.785714285797</v>
      </c>
      <c r="F29" s="102">
        <f>(Controls!$B$100+Controls!$B$101+Controls!$B$104)-F28-Controls!$B$111</f>
        <v>-76470.5</v>
      </c>
      <c r="G29" s="102">
        <f>(Controls!$B$100+Controls!$B$101+Controls!$B$104)-G28-Controls!$B$111</f>
        <v>-155739.07142857148</v>
      </c>
      <c r="H29" s="11"/>
      <c r="I29" s="11"/>
      <c r="J29" s="11"/>
      <c r="K29" s="11"/>
      <c r="L29" s="11"/>
      <c r="M29" s="11"/>
      <c r="N29" s="90">
        <v>27</v>
      </c>
      <c r="O29" s="91">
        <f>Funding_36M!$G28</f>
        <v>2484.3665114772066</v>
      </c>
      <c r="P29" s="91">
        <f>-Funding_36M!$J28+IF(27=36,Funding_36M!$Q28-Funding_36M!$T28,0)</f>
        <v>0</v>
      </c>
      <c r="Q29" s="91">
        <f>O29+IF(27=36,0,0)</f>
        <v>2484.3665114772066</v>
      </c>
      <c r="R29" s="91">
        <f>O29+IF(27=36,250000,0)</f>
        <v>2484.3665114772066</v>
      </c>
      <c r="S29" s="91">
        <f>O29+IF(27=36,500000,0)</f>
        <v>2484.3665114772066</v>
      </c>
      <c r="T29" s="91">
        <f>O29+IF(27=36,750000,0)</f>
        <v>2484.3665114772066</v>
      </c>
      <c r="U29" s="91">
        <f>O29+IF(27=36,1000000,0)</f>
        <v>2484.3665114772066</v>
      </c>
      <c r="V29" s="91">
        <f>P29+IF(27=36,0,0)</f>
        <v>0</v>
      </c>
      <c r="W29" s="91">
        <f>P29+IF(27=36,250000,0)</f>
        <v>0</v>
      </c>
      <c r="X29" s="91">
        <f>P29+IF(27=36,500000,0)</f>
        <v>0</v>
      </c>
      <c r="Y29" s="91">
        <f>P29+IF(27=36,750000,0)</f>
        <v>0</v>
      </c>
      <c r="Z29" s="91">
        <f>P29+IF(27=36,1000000,0)</f>
        <v>0</v>
      </c>
    </row>
    <row r="30" spans="1:26" ht="15" customHeight="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90">
        <v>28</v>
      </c>
      <c r="O30" s="91">
        <f>Funding_36M!$G29</f>
        <v>2553.6898435936591</v>
      </c>
      <c r="P30" s="91">
        <f>-Funding_36M!$J29+IF(28=36,Funding_36M!$Q29-Funding_36M!$T29,0)</f>
        <v>0</v>
      </c>
      <c r="Q30" s="91">
        <f>O30+IF(28=36,0,0)</f>
        <v>2553.6898435936591</v>
      </c>
      <c r="R30" s="91">
        <f>O30+IF(28=36,250000,0)</f>
        <v>2553.6898435936591</v>
      </c>
      <c r="S30" s="91">
        <f>O30+IF(28=36,500000,0)</f>
        <v>2553.6898435936591</v>
      </c>
      <c r="T30" s="91">
        <f>O30+IF(28=36,750000,0)</f>
        <v>2553.6898435936591</v>
      </c>
      <c r="U30" s="91">
        <f>O30+IF(28=36,1000000,0)</f>
        <v>2553.6898435936591</v>
      </c>
      <c r="V30" s="91">
        <f>P30+IF(28=36,0,0)</f>
        <v>0</v>
      </c>
      <c r="W30" s="91">
        <f>P30+IF(28=36,250000,0)</f>
        <v>0</v>
      </c>
      <c r="X30" s="91">
        <f>P30+IF(28=36,500000,0)</f>
        <v>0</v>
      </c>
      <c r="Y30" s="91">
        <f>P30+IF(28=36,750000,0)</f>
        <v>0</v>
      </c>
      <c r="Z30" s="91">
        <f>P30+IF(28=36,1000000,0)</f>
        <v>0</v>
      </c>
    </row>
    <row r="31" spans="1:26" ht="15" customHeight="1" x14ac:dyDescent="0.3">
      <c r="A31" s="99" t="s">
        <v>555</v>
      </c>
      <c r="B31" s="104"/>
      <c r="C31" s="104"/>
      <c r="D31" s="104"/>
      <c r="E31" s="104"/>
      <c r="F31" s="104"/>
      <c r="G31" s="104"/>
      <c r="H31" s="11"/>
      <c r="I31" s="11"/>
      <c r="J31" s="11"/>
      <c r="K31" s="11"/>
      <c r="L31" s="11"/>
      <c r="M31" s="11"/>
      <c r="N31" s="90">
        <v>29</v>
      </c>
      <c r="O31" s="91">
        <f>Funding_36M!$G30</f>
        <v>2308.6461665625156</v>
      </c>
      <c r="P31" s="91">
        <f>-Funding_36M!$J30+IF(29=36,Funding_36M!$Q30-Funding_36M!$T30,0)</f>
        <v>0</v>
      </c>
      <c r="Q31" s="91">
        <f>O31+IF(29=36,0,0)</f>
        <v>2308.6461665625156</v>
      </c>
      <c r="R31" s="91">
        <f>O31+IF(29=36,250000,0)</f>
        <v>2308.6461665625156</v>
      </c>
      <c r="S31" s="91">
        <f>O31+IF(29=36,500000,0)</f>
        <v>2308.6461665625156</v>
      </c>
      <c r="T31" s="91">
        <f>O31+IF(29=36,750000,0)</f>
        <v>2308.6461665625156</v>
      </c>
      <c r="U31" s="91">
        <f>O31+IF(29=36,1000000,0)</f>
        <v>2308.6461665625156</v>
      </c>
      <c r="V31" s="91">
        <f>P31+IF(29=36,0,0)</f>
        <v>0</v>
      </c>
      <c r="W31" s="91">
        <f>P31+IF(29=36,250000,0)</f>
        <v>0</v>
      </c>
      <c r="X31" s="91">
        <f>P31+IF(29=36,500000,0)</f>
        <v>0</v>
      </c>
      <c r="Y31" s="91">
        <f>P31+IF(29=36,750000,0)</f>
        <v>0</v>
      </c>
      <c r="Z31" s="91">
        <f>P31+IF(29=36,1000000,0)</f>
        <v>0</v>
      </c>
    </row>
    <row r="32" spans="1:26" ht="15" customHeight="1" x14ac:dyDescent="0.3">
      <c r="A32" s="106" t="s">
        <v>556</v>
      </c>
      <c r="B32" s="107">
        <v>0</v>
      </c>
      <c r="C32" s="107">
        <v>250000</v>
      </c>
      <c r="D32" s="107">
        <v>500000</v>
      </c>
      <c r="E32" s="107">
        <v>750000</v>
      </c>
      <c r="F32" s="107">
        <v>1000000</v>
      </c>
      <c r="G32" s="11"/>
      <c r="H32" s="11"/>
      <c r="I32" s="11"/>
      <c r="J32" s="11"/>
      <c r="K32" s="11"/>
      <c r="L32" s="11"/>
      <c r="M32" s="11"/>
      <c r="N32" s="90">
        <v>30</v>
      </c>
      <c r="O32" s="91">
        <f>Funding_36M!$G31</f>
        <v>2373.655226262973</v>
      </c>
      <c r="P32" s="91">
        <f>-Funding_36M!$J31+IF(30=36,Funding_36M!$Q31-Funding_36M!$T31,0)</f>
        <v>0</v>
      </c>
      <c r="Q32" s="91">
        <f>O32+IF(30=36,0,0)</f>
        <v>2373.655226262973</v>
      </c>
      <c r="R32" s="91">
        <f>O32+IF(30=36,250000,0)</f>
        <v>2373.655226262973</v>
      </c>
      <c r="S32" s="91">
        <f>O32+IF(30=36,500000,0)</f>
        <v>2373.655226262973</v>
      </c>
      <c r="T32" s="91">
        <f>O32+IF(30=36,750000,0)</f>
        <v>2373.655226262973</v>
      </c>
      <c r="U32" s="91">
        <f>O32+IF(30=36,1000000,0)</f>
        <v>2373.655226262973</v>
      </c>
      <c r="V32" s="91">
        <f>P32+IF(30=36,0,0)</f>
        <v>0</v>
      </c>
      <c r="W32" s="91">
        <f>P32+IF(30=36,250000,0)</f>
        <v>0</v>
      </c>
      <c r="X32" s="91">
        <f>P32+IF(30=36,500000,0)</f>
        <v>0</v>
      </c>
      <c r="Y32" s="91">
        <f>P32+IF(30=36,750000,0)</f>
        <v>0</v>
      </c>
      <c r="Z32" s="91">
        <f>P32+IF(30=36,1000000,0)</f>
        <v>0</v>
      </c>
    </row>
    <row r="33" spans="1:26" ht="15" customHeight="1" x14ac:dyDescent="0.3">
      <c r="A33" s="101" t="s">
        <v>23</v>
      </c>
      <c r="B33" s="108">
        <f>IFERROR((1+IRR(Q3:Q38,0.01))^12-1,"n/a")</f>
        <v>-0.47066250679767574</v>
      </c>
      <c r="C33" s="108">
        <f>IFERROR((1+IRR(R3:R38,0.01))^12-1,"n/a")</f>
        <v>-1.5865172310912445E-2</v>
      </c>
      <c r="D33" s="108">
        <f>IFERROR((1+IRR(S3:S38,0.01))^12-1,"n/a")</f>
        <v>0.19748389632507113</v>
      </c>
      <c r="E33" s="108">
        <f>IFERROR((1+IRR(T3:T38,0.01))^12-1,"n/a")</f>
        <v>0.35343712461648003</v>
      </c>
      <c r="F33" s="108">
        <f>IFERROR((1+IRR(U3:U38,0.01))^12-1,"n/a")</f>
        <v>0.48024803598122334</v>
      </c>
      <c r="G33" s="11"/>
      <c r="H33" s="11"/>
      <c r="I33" s="11"/>
      <c r="J33" s="11"/>
      <c r="K33" s="11"/>
      <c r="L33" s="11"/>
      <c r="M33" s="11"/>
      <c r="N33" s="90">
        <v>31</v>
      </c>
      <c r="O33" s="91">
        <f>Funding_36M!$G32</f>
        <v>2284.7848000884887</v>
      </c>
      <c r="P33" s="91">
        <f>-Funding_36M!$J32+IF(31=36,Funding_36M!$Q32-Funding_36M!$T32,0)</f>
        <v>0</v>
      </c>
      <c r="Q33" s="91">
        <f>O33+IF(31=36,0,0)</f>
        <v>2284.7848000884887</v>
      </c>
      <c r="R33" s="91">
        <f>O33+IF(31=36,250000,0)</f>
        <v>2284.7848000884887</v>
      </c>
      <c r="S33" s="91">
        <f>O33+IF(31=36,500000,0)</f>
        <v>2284.7848000884887</v>
      </c>
      <c r="T33" s="91">
        <f>O33+IF(31=36,750000,0)</f>
        <v>2284.7848000884887</v>
      </c>
      <c r="U33" s="91">
        <f>O33+IF(31=36,1000000,0)</f>
        <v>2284.7848000884887</v>
      </c>
      <c r="V33" s="91">
        <f>P33+IF(31=36,0,0)</f>
        <v>0</v>
      </c>
      <c r="W33" s="91">
        <f>P33+IF(31=36,250000,0)</f>
        <v>0</v>
      </c>
      <c r="X33" s="91">
        <f>P33+IF(31=36,500000,0)</f>
        <v>0</v>
      </c>
      <c r="Y33" s="91">
        <f>P33+IF(31=36,750000,0)</f>
        <v>0</v>
      </c>
      <c r="Z33" s="91">
        <f>P33+IF(31=36,1000000,0)</f>
        <v>0</v>
      </c>
    </row>
    <row r="34" spans="1:26" ht="15" customHeight="1" x14ac:dyDescent="0.3">
      <c r="A34" s="101" t="s">
        <v>24</v>
      </c>
      <c r="B34" s="108" t="str">
        <f>IFERROR((1+IRR(V3:V38,0.01))^12-1,"n/a")</f>
        <v>n/a</v>
      </c>
      <c r="C34" s="108" t="str">
        <f>IFERROR((1+IRR(W3:W38,0.01))^12-1,"n/a")</f>
        <v>n/a</v>
      </c>
      <c r="D34" s="108">
        <f>IFERROR((1+IRR(X3:X38,0.01))^12-1,"n/a")</f>
        <v>0.31458689402831208</v>
      </c>
      <c r="E34" s="108">
        <f>IFERROR((1+IRR(Y3:Y38,0.01))^12-1,"n/a")</f>
        <v>0.84834135488621665</v>
      </c>
      <c r="F34" s="108">
        <f>IFERROR((1+IRR(Z3:Z38,0.01))^12-1,"n/a")</f>
        <v>1.1875669939609823</v>
      </c>
      <c r="G34" s="11"/>
      <c r="H34" s="11"/>
      <c r="I34" s="11"/>
      <c r="J34" s="11"/>
      <c r="K34" s="11"/>
      <c r="L34" s="11"/>
      <c r="M34" s="11"/>
      <c r="N34" s="90">
        <v>32</v>
      </c>
      <c r="O34" s="91">
        <f>Funding_36M!$G33</f>
        <v>1758.5464598348171</v>
      </c>
      <c r="P34" s="91">
        <f>-Funding_36M!$J33+IF(32=36,Funding_36M!$Q33-Funding_36M!$T33,0)</f>
        <v>0</v>
      </c>
      <c r="Q34" s="91">
        <f>O34+IF(32=36,0,0)</f>
        <v>1758.5464598348171</v>
      </c>
      <c r="R34" s="91">
        <f>O34+IF(32=36,250000,0)</f>
        <v>1758.5464598348171</v>
      </c>
      <c r="S34" s="91">
        <f>O34+IF(32=36,500000,0)</f>
        <v>1758.5464598348171</v>
      </c>
      <c r="T34" s="91">
        <f>O34+IF(32=36,750000,0)</f>
        <v>1758.5464598348171</v>
      </c>
      <c r="U34" s="91">
        <f>O34+IF(32=36,1000000,0)</f>
        <v>1758.5464598348171</v>
      </c>
      <c r="V34" s="91">
        <f>P34+IF(32=36,0,0)</f>
        <v>0</v>
      </c>
      <c r="W34" s="91">
        <f>P34+IF(32=36,250000,0)</f>
        <v>0</v>
      </c>
      <c r="X34" s="91">
        <f>P34+IF(32=36,500000,0)</f>
        <v>0</v>
      </c>
      <c r="Y34" s="91">
        <f>P34+IF(32=36,750000,0)</f>
        <v>0</v>
      </c>
      <c r="Z34" s="91">
        <f>P34+IF(32=36,1000000,0)</f>
        <v>0</v>
      </c>
    </row>
    <row r="35" spans="1:26" ht="15" customHeight="1" x14ac:dyDescent="0.3">
      <c r="A35" s="95" t="s">
        <v>557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90">
        <v>33</v>
      </c>
      <c r="O35" s="91">
        <f>Funding_36M!$G34</f>
        <v>2109.3082028790877</v>
      </c>
      <c r="P35" s="91">
        <f>-Funding_36M!$J34+IF(33=36,Funding_36M!$Q34-Funding_36M!$T34,0)</f>
        <v>0</v>
      </c>
      <c r="Q35" s="91">
        <f>O35+IF(33=36,0,0)</f>
        <v>2109.3082028790877</v>
      </c>
      <c r="R35" s="91">
        <f>O35+IF(33=36,250000,0)</f>
        <v>2109.3082028790877</v>
      </c>
      <c r="S35" s="91">
        <f>O35+IF(33=36,500000,0)</f>
        <v>2109.3082028790877</v>
      </c>
      <c r="T35" s="91">
        <f>O35+IF(33=36,750000,0)</f>
        <v>2109.3082028790877</v>
      </c>
      <c r="U35" s="91">
        <f>O35+IF(33=36,1000000,0)</f>
        <v>2109.3082028790877</v>
      </c>
      <c r="V35" s="91">
        <f>P35+IF(33=36,0,0)</f>
        <v>0</v>
      </c>
      <c r="W35" s="91">
        <f>P35+IF(33=36,250000,0)</f>
        <v>0</v>
      </c>
      <c r="X35" s="91">
        <f>P35+IF(33=36,500000,0)</f>
        <v>0</v>
      </c>
      <c r="Y35" s="91">
        <f>P35+IF(33=36,750000,0)</f>
        <v>0</v>
      </c>
      <c r="Z35" s="91">
        <f>P35+IF(33=36,1000000,0)</f>
        <v>0</v>
      </c>
    </row>
    <row r="36" spans="1:26" ht="15" customHeight="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90">
        <v>34</v>
      </c>
      <c r="O36" s="91">
        <f>Funding_36M!$G35</f>
        <v>1882.2610812883686</v>
      </c>
      <c r="P36" s="91">
        <f>-Funding_36M!$J35+IF(34=36,Funding_36M!$Q35-Funding_36M!$T35,0)</f>
        <v>0</v>
      </c>
      <c r="Q36" s="91">
        <f>O36+IF(34=36,0,0)</f>
        <v>1882.2610812883686</v>
      </c>
      <c r="R36" s="91">
        <f>O36+IF(34=36,250000,0)</f>
        <v>1882.2610812883686</v>
      </c>
      <c r="S36" s="91">
        <f>O36+IF(34=36,500000,0)</f>
        <v>1882.2610812883686</v>
      </c>
      <c r="T36" s="91">
        <f>O36+IF(34=36,750000,0)</f>
        <v>1882.2610812883686</v>
      </c>
      <c r="U36" s="91">
        <f>O36+IF(34=36,1000000,0)</f>
        <v>1882.2610812883686</v>
      </c>
      <c r="V36" s="91">
        <f>P36+IF(34=36,0,0)</f>
        <v>0</v>
      </c>
      <c r="W36" s="91">
        <f>P36+IF(34=36,250000,0)</f>
        <v>0</v>
      </c>
      <c r="X36" s="91">
        <f>P36+IF(34=36,500000,0)</f>
        <v>0</v>
      </c>
      <c r="Y36" s="91">
        <f>P36+IF(34=36,750000,0)</f>
        <v>0</v>
      </c>
      <c r="Z36" s="91">
        <f>P36+IF(34=36,1000000,0)</f>
        <v>0</v>
      </c>
    </row>
    <row r="37" spans="1:26" ht="15" customHeight="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90">
        <v>35</v>
      </c>
      <c r="O37" s="91">
        <f>Funding_36M!$G36</f>
        <v>1936.8117000076554</v>
      </c>
      <c r="P37" s="91">
        <f>-Funding_36M!$J36+IF(35=36,Funding_36M!$Q36-Funding_36M!$T36,0)</f>
        <v>0</v>
      </c>
      <c r="Q37" s="91">
        <f>O37+IF(35=36,0,0)</f>
        <v>1936.8117000076554</v>
      </c>
      <c r="R37" s="91">
        <f>O37+IF(35=36,250000,0)</f>
        <v>1936.8117000076554</v>
      </c>
      <c r="S37" s="91">
        <f>O37+IF(35=36,500000,0)</f>
        <v>1936.8117000076554</v>
      </c>
      <c r="T37" s="91">
        <f>O37+IF(35=36,750000,0)</f>
        <v>1936.8117000076554</v>
      </c>
      <c r="U37" s="91">
        <f>O37+IF(35=36,1000000,0)</f>
        <v>1936.8117000076554</v>
      </c>
      <c r="V37" s="91">
        <f>P37+IF(35=36,0,0)</f>
        <v>0</v>
      </c>
      <c r="W37" s="91">
        <f>P37+IF(35=36,250000,0)</f>
        <v>0</v>
      </c>
      <c r="X37" s="91">
        <f>P37+IF(35=36,500000,0)</f>
        <v>0</v>
      </c>
      <c r="Y37" s="91">
        <f>P37+IF(35=36,750000,0)</f>
        <v>0</v>
      </c>
      <c r="Z37" s="91">
        <f>P37+IF(35=36,1000000,0)</f>
        <v>0</v>
      </c>
    </row>
    <row r="38" spans="1:26" ht="15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90">
        <v>36</v>
      </c>
      <c r="O38" s="91">
        <f>Funding_36M!$G37</f>
        <v>1716.7541694165702</v>
      </c>
      <c r="P38" s="91">
        <f>-Funding_36M!$J37+IF(36=36,Funding_36M!$Q37-Funding_36M!$T37,0)</f>
        <v>-350397.65530096891</v>
      </c>
      <c r="Q38" s="91">
        <f>O38+IF(36=36,0,0)</f>
        <v>1716.7541694165702</v>
      </c>
      <c r="R38" s="91">
        <f>O38+IF(36=36,250000,0)</f>
        <v>251716.75416941656</v>
      </c>
      <c r="S38" s="91">
        <f>O38+IF(36=36,500000,0)</f>
        <v>501716.75416941656</v>
      </c>
      <c r="T38" s="91">
        <f>O38+IF(36=36,750000,0)</f>
        <v>751716.75416941661</v>
      </c>
      <c r="U38" s="91">
        <f>O38+IF(36=36,1000000,0)</f>
        <v>1001716.7541694166</v>
      </c>
      <c r="V38" s="91">
        <f>P38+IF(36=36,0,0)</f>
        <v>-350397.65530096891</v>
      </c>
      <c r="W38" s="91">
        <f>P38+IF(36=36,250000,0)</f>
        <v>-100397.65530096891</v>
      </c>
      <c r="X38" s="91">
        <f>P38+IF(36=36,500000,0)</f>
        <v>149602.34469903109</v>
      </c>
      <c r="Y38" s="91">
        <f>P38+IF(36=36,750000,0)</f>
        <v>399602.34469903109</v>
      </c>
      <c r="Z38" s="91">
        <f>P38+IF(36=36,1000000,0)</f>
        <v>649602.34469903109</v>
      </c>
    </row>
    <row r="39" spans="1:26" ht="1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" customHeight="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" customHeigh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" customHeight="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" customHeight="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" customHeigh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" customHeight="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" customHeight="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" customHeight="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" customHeight="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" customHeigh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" customHeight="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" customHeigh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" customHeight="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" customHeight="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" customHeigh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" customHeight="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" customHeigh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" customHeigh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" customHeight="1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" customHeigh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" customHeigh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" customHeight="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" customHeight="1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" customHeight="1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" customHeight="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" customHeigh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" customHeight="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" customHeight="1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" customHeight="1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" customHeight="1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" customHeight="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" customHeight="1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" customHeight="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" customHeight="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" customHeight="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" customHeight="1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" customHeight="1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" customHeight="1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" customHeight="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" customHeight="1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" customHeight="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" customHeight="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" customHeight="1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" customHeight="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" customHeight="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" customHeight="1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" customHeight="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" customHeight="1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</sheetData>
  <mergeCells count="1">
    <mergeCell ref="A1:H1"/>
  </mergeCells>
  <pageMargins left="0.3" right="0.3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Controls</vt:lpstr>
      <vt:lpstr>Monthly_Deployment</vt:lpstr>
      <vt:lpstr>Revenue_36M</vt:lpstr>
      <vt:lpstr>Opex_36M</vt:lpstr>
      <vt:lpstr>Capex_36M</vt:lpstr>
      <vt:lpstr>Funding_36M</vt:lpstr>
      <vt:lpstr>Annual_Summary</vt:lpstr>
      <vt:lpstr>Milestones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Carel De Jager</cp:lastModifiedBy>
  <cp:revision>12</cp:revision>
  <dcterms:created xsi:type="dcterms:W3CDTF">2026-05-31T16:52:15Z</dcterms:created>
  <dcterms:modified xsi:type="dcterms:W3CDTF">2026-05-31T18:13:45Z</dcterms:modified>
  <dc:language>en-US</dc:language>
</cp:coreProperties>
</file>