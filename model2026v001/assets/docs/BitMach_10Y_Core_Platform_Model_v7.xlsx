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elPersonal\My Drive\Carel_Work_Shared_CT\CareldeJager_BlockchainEntity\Bitmach_CarelFolder\Bitmach_Shared\Modelling\Model Updates May 2026\v8\"/>
    </mc:Choice>
  </mc:AlternateContent>
  <xr:revisionPtr revIDLastSave="0" documentId="13_ncr:1_{3904B124-751B-4E3B-B85F-C7B15B2FF5EC}" xr6:coauthVersionLast="47" xr6:coauthVersionMax="47" xr10:uidLastSave="{00000000-0000-0000-0000-000000000000}"/>
  <bookViews>
    <workbookView xWindow="28692" yWindow="-108" windowWidth="29016" windowHeight="15696" tabRatio="896" firstSheet="3" activeTab="14" xr2:uid="{00000000-000D-0000-FFFF-FFFF00000000}"/>
  </bookViews>
  <sheets>
    <sheet name="Dashboard" sheetId="1" r:id="rId1"/>
    <sheet name="Scenario_Control" sheetId="2" r:id="rId2"/>
    <sheet name="Case_Ramp_Annual" sheetId="3" r:id="rId3"/>
    <sheet name="Quarterly_Ramp" sheetId="4" r:id="rId4"/>
    <sheet name="Site_Master" sheetId="5" r:id="rId5"/>
    <sheet name="Load_Tariff" sheetId="6" r:id="rId6"/>
    <sheet name="BTC_Model" sheetId="7" r:id="rId7"/>
    <sheet name="DR_Model" sheetId="8" r:id="rId8"/>
    <sheet name="AI_DC_Model" sheetId="9" r:id="rId9"/>
    <sheet name="Capex_Model" sheetId="10" r:id="rId10"/>
    <sheet name="Revenue_Bridge" sheetId="11" r:id="rId11"/>
    <sheet name="Financing_DCF" sheetId="12" r:id="rId12"/>
    <sheet name="Milestone_Gates" sheetId="13" r:id="rId13"/>
    <sheet name="Sensitivities" sheetId="14" r:id="rId14"/>
    <sheet name="Layer5_Option" sheetId="17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17" l="1"/>
  <c r="B25" i="17"/>
  <c r="B24" i="17"/>
  <c r="J31" i="12"/>
  <c r="I31" i="12"/>
  <c r="H31" i="12"/>
  <c r="G31" i="12"/>
  <c r="F31" i="12"/>
  <c r="E31" i="12"/>
  <c r="D31" i="12"/>
  <c r="C31" i="12"/>
  <c r="B31" i="12"/>
  <c r="B23" i="12"/>
  <c r="K9" i="12"/>
  <c r="J9" i="12"/>
  <c r="I9" i="12"/>
  <c r="H9" i="12"/>
  <c r="G9" i="12"/>
  <c r="F9" i="12"/>
  <c r="E9" i="12"/>
  <c r="D9" i="12"/>
  <c r="C9" i="12"/>
  <c r="B9" i="12"/>
  <c r="J11" i="10"/>
  <c r="I11" i="10"/>
  <c r="G11" i="10"/>
  <c r="E11" i="10"/>
  <c r="K8" i="10"/>
  <c r="K11" i="10" s="1"/>
  <c r="J8" i="10"/>
  <c r="I8" i="10"/>
  <c r="H8" i="10"/>
  <c r="H11" i="10" s="1"/>
  <c r="G8" i="10"/>
  <c r="F8" i="10"/>
  <c r="F11" i="10" s="1"/>
  <c r="E8" i="10"/>
  <c r="D8" i="10"/>
  <c r="D11" i="10" s="1"/>
  <c r="C8" i="10"/>
  <c r="C11" i="10" s="1"/>
  <c r="B8" i="10"/>
  <c r="B11" i="10" s="1"/>
  <c r="I5" i="9"/>
  <c r="I14" i="9" s="1"/>
  <c r="I11" i="11" s="1"/>
  <c r="E5" i="9"/>
  <c r="E14" i="9" s="1"/>
  <c r="D9" i="7"/>
  <c r="B9" i="7"/>
  <c r="B8" i="7"/>
  <c r="K7" i="7"/>
  <c r="J7" i="7"/>
  <c r="I7" i="7"/>
  <c r="I8" i="7" s="1"/>
  <c r="I9" i="7" s="1"/>
  <c r="H7" i="7"/>
  <c r="G7" i="7"/>
  <c r="F7" i="7"/>
  <c r="E7" i="7"/>
  <c r="E8" i="7" s="1"/>
  <c r="E9" i="7" s="1"/>
  <c r="D7" i="7"/>
  <c r="C7" i="7"/>
  <c r="B7" i="7"/>
  <c r="K6" i="7"/>
  <c r="K8" i="7" s="1"/>
  <c r="K9" i="7" s="1"/>
  <c r="J6" i="7"/>
  <c r="I6" i="7"/>
  <c r="H6" i="7"/>
  <c r="G6" i="7"/>
  <c r="G8" i="7" s="1"/>
  <c r="G9" i="7" s="1"/>
  <c r="F6" i="7"/>
  <c r="F8" i="7" s="1"/>
  <c r="F9" i="7" s="1"/>
  <c r="E6" i="7"/>
  <c r="D6" i="7"/>
  <c r="D8" i="7" s="1"/>
  <c r="C6" i="7"/>
  <c r="C8" i="7" s="1"/>
  <c r="C9" i="7" s="1"/>
  <c r="B6" i="7"/>
  <c r="K5" i="7"/>
  <c r="J5" i="7"/>
  <c r="I5" i="7"/>
  <c r="H5" i="7"/>
  <c r="G5" i="7"/>
  <c r="F5" i="7"/>
  <c r="E5" i="7"/>
  <c r="D5" i="7"/>
  <c r="C5" i="7"/>
  <c r="B5" i="7"/>
  <c r="K4" i="7"/>
  <c r="J4" i="7"/>
  <c r="I4" i="7"/>
  <c r="H4" i="7"/>
  <c r="G4" i="7"/>
  <c r="F4" i="7"/>
  <c r="E4" i="7"/>
  <c r="D4" i="7"/>
  <c r="C4" i="7"/>
  <c r="B4" i="7"/>
  <c r="K18" i="6"/>
  <c r="J18" i="6"/>
  <c r="I18" i="6"/>
  <c r="H18" i="6"/>
  <c r="G18" i="6"/>
  <c r="F18" i="6"/>
  <c r="E18" i="6"/>
  <c r="D18" i="6"/>
  <c r="C18" i="6"/>
  <c r="B18" i="6"/>
  <c r="J17" i="6"/>
  <c r="I17" i="6"/>
  <c r="E17" i="6"/>
  <c r="K16" i="6"/>
  <c r="J16" i="6"/>
  <c r="I16" i="6"/>
  <c r="H16" i="6"/>
  <c r="G16" i="6"/>
  <c r="G17" i="6" s="1"/>
  <c r="F16" i="6"/>
  <c r="F17" i="6" s="1"/>
  <c r="E16" i="6"/>
  <c r="D16" i="6"/>
  <c r="D17" i="6" s="1"/>
  <c r="C16" i="6"/>
  <c r="C17" i="6" s="1"/>
  <c r="B16" i="6"/>
  <c r="B17" i="6" s="1"/>
  <c r="I15" i="6"/>
  <c r="I7" i="9" s="1"/>
  <c r="H15" i="6"/>
  <c r="H7" i="9" s="1"/>
  <c r="F15" i="6"/>
  <c r="F7" i="9" s="1"/>
  <c r="E15" i="6"/>
  <c r="E7" i="9" s="1"/>
  <c r="I9" i="6"/>
  <c r="F9" i="6"/>
  <c r="E9" i="6"/>
  <c r="K8" i="6"/>
  <c r="K7" i="10" s="1"/>
  <c r="K13" i="10" s="1"/>
  <c r="J8" i="6"/>
  <c r="J15" i="6" s="1"/>
  <c r="I8" i="6"/>
  <c r="I7" i="10" s="1"/>
  <c r="I13" i="10" s="1"/>
  <c r="H8" i="6"/>
  <c r="H7" i="10" s="1"/>
  <c r="H13" i="10" s="1"/>
  <c r="G8" i="6"/>
  <c r="G15" i="6" s="1"/>
  <c r="F8" i="6"/>
  <c r="F10" i="6" s="1"/>
  <c r="F12" i="6" s="1"/>
  <c r="E8" i="6"/>
  <c r="E10" i="6" s="1"/>
  <c r="D8" i="6"/>
  <c r="C8" i="6"/>
  <c r="B8" i="6"/>
  <c r="B15" i="6" s="1"/>
  <c r="K7" i="6"/>
  <c r="J7" i="6"/>
  <c r="I7" i="6"/>
  <c r="H7" i="6"/>
  <c r="G7" i="6"/>
  <c r="F7" i="6"/>
  <c r="E7" i="6"/>
  <c r="D7" i="6"/>
  <c r="C7" i="6"/>
  <c r="B7" i="6"/>
  <c r="B6" i="6"/>
  <c r="J5" i="6"/>
  <c r="F5" i="6"/>
  <c r="E5" i="6"/>
  <c r="B5" i="6"/>
  <c r="K4" i="6"/>
  <c r="K4" i="10" s="1"/>
  <c r="K10" i="10" s="1"/>
  <c r="J4" i="6"/>
  <c r="J6" i="6" s="1"/>
  <c r="I4" i="6"/>
  <c r="H4" i="6"/>
  <c r="I5" i="6" s="1"/>
  <c r="G4" i="6"/>
  <c r="F4" i="6"/>
  <c r="G5" i="6" s="1"/>
  <c r="E4" i="6"/>
  <c r="E6" i="6" s="1"/>
  <c r="D4" i="6"/>
  <c r="C4" i="6"/>
  <c r="C9" i="6" s="1"/>
  <c r="B4" i="6"/>
  <c r="C5" i="6" s="1"/>
  <c r="C6" i="6" s="1"/>
  <c r="H17" i="6" l="1"/>
  <c r="G7" i="9"/>
  <c r="G21" i="6"/>
  <c r="G16" i="9" s="1"/>
  <c r="G8" i="12" s="1"/>
  <c r="J7" i="9"/>
  <c r="J21" i="6"/>
  <c r="J16" i="9" s="1"/>
  <c r="J8" i="12" s="1"/>
  <c r="H17" i="10"/>
  <c r="H19" i="10"/>
  <c r="C6" i="10"/>
  <c r="C12" i="10" s="1"/>
  <c r="C16" i="10" s="1"/>
  <c r="C4" i="9"/>
  <c r="C11" i="9" s="1"/>
  <c r="C14" i="6"/>
  <c r="F6" i="10"/>
  <c r="F12" i="10" s="1"/>
  <c r="F16" i="10" s="1"/>
  <c r="F4" i="9"/>
  <c r="F11" i="9" s="1"/>
  <c r="F14" i="6"/>
  <c r="H4" i="10"/>
  <c r="H10" i="10" s="1"/>
  <c r="H9" i="6"/>
  <c r="E11" i="6"/>
  <c r="E12" i="6"/>
  <c r="H8" i="7"/>
  <c r="H9" i="7" s="1"/>
  <c r="J8" i="7"/>
  <c r="J9" i="7" s="1"/>
  <c r="K17" i="10"/>
  <c r="K19" i="10"/>
  <c r="E4" i="9"/>
  <c r="E11" i="9" s="1"/>
  <c r="E14" i="6"/>
  <c r="F21" i="6"/>
  <c r="F16" i="9" s="1"/>
  <c r="F8" i="12" s="1"/>
  <c r="I6" i="10"/>
  <c r="I12" i="10" s="1"/>
  <c r="I16" i="10" s="1"/>
  <c r="C7" i="10"/>
  <c r="C13" i="10" s="1"/>
  <c r="C5" i="9"/>
  <c r="C14" i="9" s="1"/>
  <c r="C15" i="6"/>
  <c r="C10" i="6"/>
  <c r="C12" i="6" s="1"/>
  <c r="E11" i="11"/>
  <c r="E15" i="9"/>
  <c r="E12" i="12" s="1"/>
  <c r="I19" i="10"/>
  <c r="I17" i="10"/>
  <c r="G23" i="1"/>
  <c r="B7" i="9"/>
  <c r="B21" i="6"/>
  <c r="B16" i="9" s="1"/>
  <c r="B8" i="12" s="1"/>
  <c r="H5" i="6"/>
  <c r="H6" i="6" s="1"/>
  <c r="G6" i="6"/>
  <c r="G4" i="10"/>
  <c r="G10" i="10" s="1"/>
  <c r="G9" i="6"/>
  <c r="D15" i="6"/>
  <c r="D9" i="6"/>
  <c r="D10" i="6" s="1"/>
  <c r="E7" i="10"/>
  <c r="E13" i="10" s="1"/>
  <c r="D7" i="10"/>
  <c r="D13" i="10" s="1"/>
  <c r="D5" i="9"/>
  <c r="D14" i="9" s="1"/>
  <c r="E21" i="6"/>
  <c r="E16" i="9" s="1"/>
  <c r="E8" i="12" s="1"/>
  <c r="B25" i="12"/>
  <c r="I4" i="10"/>
  <c r="I10" i="10" s="1"/>
  <c r="K5" i="6"/>
  <c r="K6" i="6" s="1"/>
  <c r="I10" i="6"/>
  <c r="K17" i="6"/>
  <c r="F5" i="9"/>
  <c r="F14" i="9" s="1"/>
  <c r="B7" i="10"/>
  <c r="B13" i="10" s="1"/>
  <c r="H21" i="6"/>
  <c r="H16" i="9" s="1"/>
  <c r="H8" i="12" s="1"/>
  <c r="H5" i="9"/>
  <c r="H14" i="9" s="1"/>
  <c r="B4" i="10"/>
  <c r="B10" i="10" s="1"/>
  <c r="G7" i="10"/>
  <c r="G13" i="10" s="1"/>
  <c r="G5" i="9"/>
  <c r="G14" i="9" s="1"/>
  <c r="I21" i="6"/>
  <c r="I16" i="9" s="1"/>
  <c r="I8" i="12" s="1"/>
  <c r="C4" i="10"/>
  <c r="C10" i="10" s="1"/>
  <c r="J9" i="6"/>
  <c r="K5" i="9"/>
  <c r="K14" i="9" s="1"/>
  <c r="E4" i="10"/>
  <c r="E10" i="10" s="1"/>
  <c r="F7" i="10"/>
  <c r="F13" i="10" s="1"/>
  <c r="K10" i="6"/>
  <c r="K12" i="6" s="1"/>
  <c r="K9" i="6"/>
  <c r="C11" i="6"/>
  <c r="I14" i="6"/>
  <c r="K15" i="6"/>
  <c r="F4" i="10"/>
  <c r="F10" i="10" s="1"/>
  <c r="D5" i="6"/>
  <c r="D6" i="6" s="1"/>
  <c r="F6" i="6"/>
  <c r="J7" i="10"/>
  <c r="J13" i="10" s="1"/>
  <c r="J5" i="9"/>
  <c r="J14" i="9" s="1"/>
  <c r="B10" i="6"/>
  <c r="B12" i="6" s="1"/>
  <c r="I15" i="9"/>
  <c r="I12" i="12" s="1"/>
  <c r="I4" i="9"/>
  <c r="I11" i="9" s="1"/>
  <c r="D4" i="10"/>
  <c r="D10" i="10" s="1"/>
  <c r="B9" i="6"/>
  <c r="F11" i="6"/>
  <c r="J4" i="10"/>
  <c r="J10" i="10" s="1"/>
  <c r="B11" i="1"/>
  <c r="I6" i="6"/>
  <c r="I17" i="9"/>
  <c r="B28" i="17"/>
  <c r="B27" i="17"/>
  <c r="B5" i="9"/>
  <c r="B14" i="9" s="1"/>
  <c r="D12" i="6" l="1"/>
  <c r="D11" i="6"/>
  <c r="H11" i="11"/>
  <c r="H15" i="9"/>
  <c r="H12" i="12" s="1"/>
  <c r="C15" i="9"/>
  <c r="C12" i="12" s="1"/>
  <c r="C11" i="11"/>
  <c r="C9" i="11"/>
  <c r="C12" i="9"/>
  <c r="C11" i="12" s="1"/>
  <c r="E10" i="12"/>
  <c r="E10" i="7"/>
  <c r="E11" i="7" s="1"/>
  <c r="E12" i="7" s="1"/>
  <c r="E13" i="7" s="1"/>
  <c r="E4" i="11" s="1"/>
  <c r="E13" i="6"/>
  <c r="E4" i="8"/>
  <c r="E5" i="10"/>
  <c r="E9" i="10" s="1"/>
  <c r="G22" i="1"/>
  <c r="F17" i="10"/>
  <c r="F20" i="12" s="1"/>
  <c r="F19" i="10"/>
  <c r="D11" i="11"/>
  <c r="D15" i="9"/>
  <c r="D12" i="12" s="1"/>
  <c r="H6" i="10"/>
  <c r="H12" i="10" s="1"/>
  <c r="H16" i="10" s="1"/>
  <c r="H4" i="9"/>
  <c r="H11" i="9" s="1"/>
  <c r="H14" i="6"/>
  <c r="H10" i="6"/>
  <c r="E17" i="10"/>
  <c r="E19" i="10"/>
  <c r="E6" i="9"/>
  <c r="E22" i="6"/>
  <c r="E20" i="6"/>
  <c r="E9" i="9" s="1"/>
  <c r="E7" i="12" s="1"/>
  <c r="C17" i="10"/>
  <c r="C20" i="12" s="1"/>
  <c r="C19" i="10"/>
  <c r="D19" i="10"/>
  <c r="D17" i="10"/>
  <c r="F5" i="10"/>
  <c r="F9" i="10" s="1"/>
  <c r="F10" i="7"/>
  <c r="F11" i="7" s="1"/>
  <c r="F12" i="7" s="1"/>
  <c r="F13" i="7" s="1"/>
  <c r="F4" i="11" s="1"/>
  <c r="F10" i="12"/>
  <c r="F4" i="8"/>
  <c r="F13" i="6"/>
  <c r="E9" i="11"/>
  <c r="E12" i="9"/>
  <c r="E11" i="12" s="1"/>
  <c r="J19" i="10"/>
  <c r="J17" i="10"/>
  <c r="B19" i="10"/>
  <c r="B17" i="10"/>
  <c r="F15" i="9"/>
  <c r="F12" i="12" s="1"/>
  <c r="F11" i="11"/>
  <c r="B14" i="6"/>
  <c r="B6" i="10"/>
  <c r="B12" i="10" s="1"/>
  <c r="B4" i="9"/>
  <c r="B11" i="9" s="1"/>
  <c r="D6" i="10"/>
  <c r="D12" i="10" s="1"/>
  <c r="D16" i="10" s="1"/>
  <c r="D4" i="9"/>
  <c r="D11" i="9" s="1"/>
  <c r="D14" i="6"/>
  <c r="F22" i="6"/>
  <c r="F6" i="9"/>
  <c r="F20" i="6"/>
  <c r="F9" i="9" s="1"/>
  <c r="F7" i="12" s="1"/>
  <c r="C22" i="6"/>
  <c r="C6" i="9"/>
  <c r="C20" i="6"/>
  <c r="C9" i="9" s="1"/>
  <c r="C7" i="12" s="1"/>
  <c r="J4" i="9"/>
  <c r="J11" i="9" s="1"/>
  <c r="J14" i="6"/>
  <c r="J10" i="6"/>
  <c r="J6" i="10"/>
  <c r="J12" i="10" s="1"/>
  <c r="J16" i="10" s="1"/>
  <c r="K11" i="6"/>
  <c r="D21" i="6"/>
  <c r="D16" i="9" s="1"/>
  <c r="D8" i="12" s="1"/>
  <c r="D7" i="9"/>
  <c r="E17" i="9"/>
  <c r="F9" i="11"/>
  <c r="F12" i="9"/>
  <c r="F11" i="12" s="1"/>
  <c r="C21" i="6"/>
  <c r="C16" i="9" s="1"/>
  <c r="C8" i="12" s="1"/>
  <c r="C7" i="9"/>
  <c r="K15" i="9"/>
  <c r="K12" i="12" s="1"/>
  <c r="K11" i="11"/>
  <c r="K17" i="9"/>
  <c r="B11" i="6"/>
  <c r="E6" i="10"/>
  <c r="E12" i="10" s="1"/>
  <c r="E16" i="10" s="1"/>
  <c r="E20" i="12" s="1"/>
  <c r="C5" i="10"/>
  <c r="C9" i="10" s="1"/>
  <c r="C10" i="7"/>
  <c r="C11" i="7" s="1"/>
  <c r="C12" i="7" s="1"/>
  <c r="C13" i="7" s="1"/>
  <c r="C4" i="11" s="1"/>
  <c r="C10" i="12"/>
  <c r="C4" i="8"/>
  <c r="C13" i="6"/>
  <c r="G11" i="11"/>
  <c r="G15" i="9"/>
  <c r="G12" i="12" s="1"/>
  <c r="I12" i="6"/>
  <c r="I11" i="6"/>
  <c r="G6" i="10"/>
  <c r="G12" i="10" s="1"/>
  <c r="G16" i="10" s="1"/>
  <c r="G4" i="9"/>
  <c r="G11" i="9" s="1"/>
  <c r="G14" i="6"/>
  <c r="G10" i="6"/>
  <c r="J11" i="11"/>
  <c r="J15" i="9"/>
  <c r="J12" i="12" s="1"/>
  <c r="K7" i="9"/>
  <c r="K21" i="6"/>
  <c r="K16" i="9" s="1"/>
  <c r="K8" i="12" s="1"/>
  <c r="B11" i="11"/>
  <c r="B15" i="9"/>
  <c r="B12" i="12" s="1"/>
  <c r="I6" i="9"/>
  <c r="I20" i="6"/>
  <c r="I9" i="9" s="1"/>
  <c r="I7" i="12" s="1"/>
  <c r="I22" i="6"/>
  <c r="I9" i="11"/>
  <c r="I12" i="9"/>
  <c r="I11" i="12" s="1"/>
  <c r="K4" i="9"/>
  <c r="K11" i="9" s="1"/>
  <c r="K14" i="6"/>
  <c r="K6" i="10"/>
  <c r="K12" i="10" s="1"/>
  <c r="K16" i="10" s="1"/>
  <c r="G19" i="10"/>
  <c r="G17" i="10"/>
  <c r="G6" i="9" l="1"/>
  <c r="G20" i="6"/>
  <c r="G9" i="9" s="1"/>
  <c r="G7" i="12" s="1"/>
  <c r="G22" i="6"/>
  <c r="C14" i="10"/>
  <c r="C18" i="10"/>
  <c r="D9" i="11"/>
  <c r="D12" i="9"/>
  <c r="D11" i="12" s="1"/>
  <c r="D20" i="12"/>
  <c r="E8" i="9"/>
  <c r="E23" i="6"/>
  <c r="C17" i="9"/>
  <c r="H9" i="11"/>
  <c r="H12" i="9"/>
  <c r="H11" i="12" s="1"/>
  <c r="B9" i="11"/>
  <c r="B12" i="9"/>
  <c r="B11" i="12" s="1"/>
  <c r="K5" i="10"/>
  <c r="K9" i="10" s="1"/>
  <c r="K10" i="12"/>
  <c r="K4" i="8"/>
  <c r="K13" i="6"/>
  <c r="K10" i="7"/>
  <c r="K11" i="7" s="1"/>
  <c r="K12" i="7" s="1"/>
  <c r="K13" i="7" s="1"/>
  <c r="K4" i="11" s="1"/>
  <c r="J12" i="6"/>
  <c r="J11" i="6"/>
  <c r="J9" i="11"/>
  <c r="J12" i="9"/>
  <c r="J11" i="12" s="1"/>
  <c r="F19" i="6"/>
  <c r="F6" i="12" s="1"/>
  <c r="F13" i="12" s="1"/>
  <c r="F14" i="12" s="1"/>
  <c r="F24" i="6"/>
  <c r="F10" i="8" s="1"/>
  <c r="F6" i="11" s="1"/>
  <c r="B20" i="6"/>
  <c r="B9" i="9" s="1"/>
  <c r="B7" i="12" s="1"/>
  <c r="B22" i="6"/>
  <c r="B6" i="9"/>
  <c r="E18" i="10"/>
  <c r="E14" i="10"/>
  <c r="H17" i="9"/>
  <c r="F23" i="6"/>
  <c r="F8" i="9"/>
  <c r="F5" i="8"/>
  <c r="F6" i="8"/>
  <c r="F8" i="8"/>
  <c r="C19" i="6"/>
  <c r="C6" i="12" s="1"/>
  <c r="C13" i="12" s="1"/>
  <c r="C14" i="12" s="1"/>
  <c r="C24" i="6"/>
  <c r="C10" i="8" s="1"/>
  <c r="C6" i="11" s="1"/>
  <c r="E6" i="8"/>
  <c r="E8" i="8"/>
  <c r="E5" i="8"/>
  <c r="B17" i="9"/>
  <c r="D22" i="6"/>
  <c r="D6" i="9"/>
  <c r="D20" i="6"/>
  <c r="D9" i="9" s="1"/>
  <c r="D7" i="12" s="1"/>
  <c r="K22" i="6"/>
  <c r="K20" i="6"/>
  <c r="K9" i="9" s="1"/>
  <c r="K7" i="12" s="1"/>
  <c r="K6" i="9"/>
  <c r="K9" i="11"/>
  <c r="K12" i="9"/>
  <c r="K11" i="12" s="1"/>
  <c r="G17" i="9"/>
  <c r="J17" i="9"/>
  <c r="C5" i="8"/>
  <c r="C8" i="8"/>
  <c r="C6" i="8"/>
  <c r="F17" i="9"/>
  <c r="H12" i="6"/>
  <c r="H11" i="6"/>
  <c r="E24" i="6"/>
  <c r="E10" i="8" s="1"/>
  <c r="E6" i="11" s="1"/>
  <c r="E19" i="6"/>
  <c r="E6" i="12" s="1"/>
  <c r="E13" i="12" s="1"/>
  <c r="E14" i="12" s="1"/>
  <c r="D10" i="12"/>
  <c r="D4" i="8"/>
  <c r="D10" i="7"/>
  <c r="D11" i="7" s="1"/>
  <c r="D12" i="7" s="1"/>
  <c r="D13" i="7" s="1"/>
  <c r="D4" i="11" s="1"/>
  <c r="D13" i="6"/>
  <c r="D5" i="10"/>
  <c r="D9" i="10" s="1"/>
  <c r="G12" i="6"/>
  <c r="G11" i="6"/>
  <c r="G9" i="11"/>
  <c r="G12" i="9"/>
  <c r="G11" i="12" s="1"/>
  <c r="B5" i="10"/>
  <c r="B9" i="10" s="1"/>
  <c r="B10" i="7"/>
  <c r="B11" i="7" s="1"/>
  <c r="B12" i="7" s="1"/>
  <c r="B13" i="7" s="1"/>
  <c r="B4" i="11" s="1"/>
  <c r="B10" i="12"/>
  <c r="B4" i="8"/>
  <c r="B13" i="6"/>
  <c r="D17" i="9"/>
  <c r="I10" i="12"/>
  <c r="I4" i="8"/>
  <c r="I13" i="6"/>
  <c r="I10" i="7"/>
  <c r="I11" i="7" s="1"/>
  <c r="I12" i="7" s="1"/>
  <c r="I13" i="7" s="1"/>
  <c r="I4" i="11" s="1"/>
  <c r="J20" i="6"/>
  <c r="J9" i="9" s="1"/>
  <c r="J7" i="12" s="1"/>
  <c r="J22" i="6"/>
  <c r="J6" i="9"/>
  <c r="B16" i="10"/>
  <c r="B20" i="12" s="1"/>
  <c r="G24" i="1"/>
  <c r="I8" i="9"/>
  <c r="I23" i="6"/>
  <c r="C8" i="9"/>
  <c r="C23" i="6"/>
  <c r="F14" i="10"/>
  <c r="F18" i="10"/>
  <c r="H6" i="9"/>
  <c r="H20" i="6"/>
  <c r="H9" i="9" s="1"/>
  <c r="H7" i="12" s="1"/>
  <c r="H22" i="6"/>
  <c r="E17" i="12" l="1"/>
  <c r="E15" i="10"/>
  <c r="K19" i="6"/>
  <c r="K6" i="12" s="1"/>
  <c r="K13" i="12" s="1"/>
  <c r="K14" i="12" s="1"/>
  <c r="K24" i="6"/>
  <c r="K10" i="8" s="1"/>
  <c r="K6" i="11" s="1"/>
  <c r="E10" i="9"/>
  <c r="E13" i="9" s="1"/>
  <c r="E19" i="9" s="1"/>
  <c r="E18" i="9"/>
  <c r="E8" i="11"/>
  <c r="E7" i="8"/>
  <c r="I18" i="9"/>
  <c r="I10" i="9"/>
  <c r="I13" i="9" s="1"/>
  <c r="I19" i="9" s="1"/>
  <c r="I8" i="11"/>
  <c r="E21" i="12"/>
  <c r="K18" i="10"/>
  <c r="K14" i="10"/>
  <c r="K8" i="8"/>
  <c r="K6" i="8"/>
  <c r="F9" i="8"/>
  <c r="C21" i="12"/>
  <c r="B21" i="1"/>
  <c r="B5" i="8"/>
  <c r="B7" i="8" s="1"/>
  <c r="B8" i="8"/>
  <c r="B6" i="8"/>
  <c r="B9" i="8" s="1"/>
  <c r="B8" i="9"/>
  <c r="B23" i="6"/>
  <c r="B14" i="10"/>
  <c r="B18" i="10"/>
  <c r="G21" i="1"/>
  <c r="C17" i="12"/>
  <c r="C15" i="10"/>
  <c r="F7" i="8"/>
  <c r="G10" i="12"/>
  <c r="G4" i="8"/>
  <c r="G13" i="6"/>
  <c r="G5" i="10"/>
  <c r="G9" i="10" s="1"/>
  <c r="G10" i="7"/>
  <c r="G11" i="7" s="1"/>
  <c r="G12" i="7" s="1"/>
  <c r="G13" i="7" s="1"/>
  <c r="G4" i="11" s="1"/>
  <c r="G23" i="6"/>
  <c r="G8" i="9"/>
  <c r="C8" i="11"/>
  <c r="C18" i="9"/>
  <c r="C10" i="9"/>
  <c r="C13" i="9" s="1"/>
  <c r="C19" i="9" s="1"/>
  <c r="D19" i="6"/>
  <c r="D6" i="12" s="1"/>
  <c r="D13" i="12" s="1"/>
  <c r="D14" i="12" s="1"/>
  <c r="D24" i="6"/>
  <c r="D10" i="8" s="1"/>
  <c r="D6" i="11" s="1"/>
  <c r="B19" i="6"/>
  <c r="B6" i="12" s="1"/>
  <c r="B13" i="12" s="1"/>
  <c r="B14" i="12" s="1"/>
  <c r="B24" i="6"/>
  <c r="B10" i="8" s="1"/>
  <c r="B6" i="11" s="1"/>
  <c r="D8" i="8"/>
  <c r="D6" i="8"/>
  <c r="D5" i="8"/>
  <c r="D7" i="8" s="1"/>
  <c r="E9" i="8"/>
  <c r="H10" i="12"/>
  <c r="H4" i="8"/>
  <c r="H13" i="6"/>
  <c r="H5" i="10"/>
  <c r="H9" i="10" s="1"/>
  <c r="H10" i="7"/>
  <c r="H11" i="7" s="1"/>
  <c r="H12" i="7" s="1"/>
  <c r="H13" i="7" s="1"/>
  <c r="H4" i="11" s="1"/>
  <c r="K8" i="9"/>
  <c r="K23" i="6"/>
  <c r="I5" i="10"/>
  <c r="I9" i="10" s="1"/>
  <c r="F8" i="11"/>
  <c r="F18" i="9"/>
  <c r="F10" i="9"/>
  <c r="F13" i="9" s="1"/>
  <c r="F19" i="9" s="1"/>
  <c r="I19" i="6"/>
  <c r="I6" i="12" s="1"/>
  <c r="I13" i="12" s="1"/>
  <c r="I14" i="12" s="1"/>
  <c r="I24" i="6"/>
  <c r="I10" i="8" s="1"/>
  <c r="I6" i="11" s="1"/>
  <c r="D8" i="9"/>
  <c r="D23" i="6"/>
  <c r="J13" i="6"/>
  <c r="J10" i="12"/>
  <c r="J4" i="8"/>
  <c r="K5" i="8" s="1"/>
  <c r="J5" i="10"/>
  <c r="J9" i="10" s="1"/>
  <c r="J10" i="7"/>
  <c r="J11" i="7" s="1"/>
  <c r="J12" i="7" s="1"/>
  <c r="J13" i="7" s="1"/>
  <c r="J4" i="11" s="1"/>
  <c r="H23" i="6"/>
  <c r="H8" i="9"/>
  <c r="J8" i="9"/>
  <c r="J23" i="6"/>
  <c r="K20" i="12"/>
  <c r="F21" i="12"/>
  <c r="F17" i="12"/>
  <c r="F15" i="10"/>
  <c r="I8" i="8"/>
  <c r="I6" i="8"/>
  <c r="I5" i="8"/>
  <c r="D14" i="10"/>
  <c r="D18" i="10"/>
  <c r="B21" i="12" l="1"/>
  <c r="F11" i="8"/>
  <c r="F7" i="11"/>
  <c r="F5" i="11"/>
  <c r="F10" i="11" s="1"/>
  <c r="J8" i="11"/>
  <c r="J18" i="9"/>
  <c r="J10" i="9"/>
  <c r="J13" i="9" s="1"/>
  <c r="J19" i="9" s="1"/>
  <c r="H10" i="9"/>
  <c r="H13" i="9" s="1"/>
  <c r="H19" i="9" s="1"/>
  <c r="H18" i="9"/>
  <c r="H8" i="11"/>
  <c r="B8" i="11"/>
  <c r="B18" i="9"/>
  <c r="B10" i="9"/>
  <c r="B13" i="9" s="1"/>
  <c r="B19" i="9" s="1"/>
  <c r="D17" i="12"/>
  <c r="D15" i="10"/>
  <c r="G18" i="10"/>
  <c r="G14" i="10"/>
  <c r="G20" i="12"/>
  <c r="B11" i="8"/>
  <c r="B7" i="11"/>
  <c r="B5" i="11"/>
  <c r="B10" i="11" s="1"/>
  <c r="J18" i="10"/>
  <c r="J14" i="10"/>
  <c r="J20" i="12"/>
  <c r="F18" i="12"/>
  <c r="F20" i="10"/>
  <c r="F24" i="10"/>
  <c r="G19" i="6"/>
  <c r="G6" i="12" s="1"/>
  <c r="G13" i="12" s="1"/>
  <c r="G14" i="12" s="1"/>
  <c r="G24" i="6"/>
  <c r="G10" i="8" s="1"/>
  <c r="G6" i="11" s="1"/>
  <c r="C7" i="8"/>
  <c r="C9" i="8" s="1"/>
  <c r="G8" i="11"/>
  <c r="G18" i="9"/>
  <c r="G10" i="9"/>
  <c r="G13" i="9" s="1"/>
  <c r="G19" i="9" s="1"/>
  <c r="E5" i="11"/>
  <c r="E11" i="8"/>
  <c r="E7" i="11"/>
  <c r="D9" i="8"/>
  <c r="D21" i="12"/>
  <c r="I14" i="10"/>
  <c r="I18" i="10"/>
  <c r="I20" i="12"/>
  <c r="J5" i="8"/>
  <c r="J7" i="8" s="1"/>
  <c r="J8" i="8"/>
  <c r="J6" i="8"/>
  <c r="J9" i="8" s="1"/>
  <c r="E24" i="10"/>
  <c r="E20" i="10"/>
  <c r="E18" i="12"/>
  <c r="H6" i="8"/>
  <c r="H5" i="8"/>
  <c r="I7" i="8" s="1"/>
  <c r="I9" i="8" s="1"/>
  <c r="H8" i="8"/>
  <c r="K15" i="10"/>
  <c r="K17" i="12"/>
  <c r="J19" i="6"/>
  <c r="J6" i="12" s="1"/>
  <c r="J13" i="12" s="1"/>
  <c r="J14" i="12" s="1"/>
  <c r="J24" i="6"/>
  <c r="J10" i="8" s="1"/>
  <c r="J6" i="11" s="1"/>
  <c r="K8" i="11"/>
  <c r="B23" i="1" s="1"/>
  <c r="K18" i="9"/>
  <c r="K10" i="9"/>
  <c r="K13" i="9" s="1"/>
  <c r="K19" i="9" s="1"/>
  <c r="H18" i="10"/>
  <c r="H14" i="10"/>
  <c r="H20" i="12"/>
  <c r="C18" i="12"/>
  <c r="C20" i="10"/>
  <c r="C24" i="10"/>
  <c r="D22" i="10"/>
  <c r="B15" i="10"/>
  <c r="F22" i="10"/>
  <c r="E22" i="10"/>
  <c r="C22" i="10"/>
  <c r="B22" i="10"/>
  <c r="B17" i="12"/>
  <c r="G22" i="10"/>
  <c r="G6" i="8"/>
  <c r="G9" i="8" s="1"/>
  <c r="G5" i="8"/>
  <c r="G7" i="8" s="1"/>
  <c r="G8" i="8"/>
  <c r="K21" i="12"/>
  <c r="D18" i="9"/>
  <c r="D10" i="9"/>
  <c r="D13" i="9" s="1"/>
  <c r="D19" i="9" s="1"/>
  <c r="D8" i="11"/>
  <c r="H19" i="6"/>
  <c r="H6" i="12" s="1"/>
  <c r="H13" i="12" s="1"/>
  <c r="H14" i="12" s="1"/>
  <c r="H24" i="6"/>
  <c r="H10" i="8" s="1"/>
  <c r="H6" i="11" s="1"/>
  <c r="I5" i="11" l="1"/>
  <c r="I7" i="11"/>
  <c r="I11" i="8"/>
  <c r="G21" i="12"/>
  <c r="E22" i="12"/>
  <c r="E21" i="10"/>
  <c r="E19" i="12" s="1"/>
  <c r="F12" i="11"/>
  <c r="F4" i="12"/>
  <c r="F15" i="12" s="1"/>
  <c r="F28" i="12" s="1"/>
  <c r="F36" i="12" s="1"/>
  <c r="F22" i="12"/>
  <c r="F21" i="10"/>
  <c r="F19" i="12" s="1"/>
  <c r="D20" i="10"/>
  <c r="D24" i="10"/>
  <c r="D18" i="12"/>
  <c r="G15" i="10"/>
  <c r="I23" i="10" s="1"/>
  <c r="G17" i="12"/>
  <c r="J7" i="11"/>
  <c r="J5" i="11"/>
  <c r="J10" i="11" s="1"/>
  <c r="J11" i="8"/>
  <c r="F23" i="10"/>
  <c r="C23" i="10"/>
  <c r="B24" i="10"/>
  <c r="G23" i="10"/>
  <c r="E23" i="10"/>
  <c r="D23" i="10"/>
  <c r="B20" i="10"/>
  <c r="B23" i="10"/>
  <c r="B18" i="12"/>
  <c r="J21" i="12"/>
  <c r="B26" i="12"/>
  <c r="C23" i="12" s="1"/>
  <c r="B24" i="12"/>
  <c r="I21" i="12"/>
  <c r="H22" i="10"/>
  <c r="I17" i="12"/>
  <c r="I15" i="10"/>
  <c r="I22" i="10"/>
  <c r="E10" i="11"/>
  <c r="B4" i="12"/>
  <c r="B15" i="12" s="1"/>
  <c r="B28" i="12" s="1"/>
  <c r="B36" i="12" s="1"/>
  <c r="B12" i="11"/>
  <c r="G11" i="8"/>
  <c r="G7" i="11"/>
  <c r="G5" i="11"/>
  <c r="G10" i="11" s="1"/>
  <c r="C21" i="10"/>
  <c r="C19" i="12" s="1"/>
  <c r="C22" i="12"/>
  <c r="K18" i="12"/>
  <c r="K24" i="10"/>
  <c r="K20" i="10"/>
  <c r="J22" i="10"/>
  <c r="H17" i="12"/>
  <c r="H15" i="10"/>
  <c r="C11" i="8"/>
  <c r="C7" i="11"/>
  <c r="C5" i="11"/>
  <c r="C10" i="11" s="1"/>
  <c r="D7" i="11"/>
  <c r="D11" i="8"/>
  <c r="D5" i="11"/>
  <c r="D10" i="11" s="1"/>
  <c r="J17" i="12"/>
  <c r="J15" i="10"/>
  <c r="K22" i="10"/>
  <c r="H7" i="8"/>
  <c r="H9" i="8" s="1"/>
  <c r="H21" i="12"/>
  <c r="K7" i="8"/>
  <c r="K9" i="8" s="1"/>
  <c r="H7" i="11" l="1"/>
  <c r="H5" i="11"/>
  <c r="H10" i="11" s="1"/>
  <c r="H11" i="8"/>
  <c r="J18" i="12"/>
  <c r="J20" i="10"/>
  <c r="J24" i="10"/>
  <c r="H24" i="10"/>
  <c r="H20" i="10"/>
  <c r="H18" i="12"/>
  <c r="F14" i="11"/>
  <c r="F5" i="12"/>
  <c r="F16" i="12" s="1"/>
  <c r="F15" i="11"/>
  <c r="F13" i="11"/>
  <c r="E12" i="11"/>
  <c r="E4" i="12"/>
  <c r="E15" i="12" s="1"/>
  <c r="E28" i="12" s="1"/>
  <c r="E36" i="12" s="1"/>
  <c r="B22" i="12"/>
  <c r="B21" i="10"/>
  <c r="B19" i="12" s="1"/>
  <c r="G4" i="12"/>
  <c r="G15" i="12" s="1"/>
  <c r="G28" i="12" s="1"/>
  <c r="G36" i="12" s="1"/>
  <c r="G12" i="11"/>
  <c r="K23" i="10"/>
  <c r="K22" i="12"/>
  <c r="K21" i="10"/>
  <c r="K19" i="12" s="1"/>
  <c r="J4" i="12"/>
  <c r="J15" i="12" s="1"/>
  <c r="J28" i="12" s="1"/>
  <c r="J36" i="12" s="1"/>
  <c r="J12" i="11"/>
  <c r="G18" i="12"/>
  <c r="G20" i="10"/>
  <c r="G24" i="10"/>
  <c r="K11" i="8"/>
  <c r="K7" i="11"/>
  <c r="K5" i="11"/>
  <c r="C24" i="12"/>
  <c r="C25" i="12"/>
  <c r="C26" i="12" s="1"/>
  <c r="D23" i="12" s="1"/>
  <c r="J23" i="10"/>
  <c r="D22" i="12"/>
  <c r="D21" i="10"/>
  <c r="D19" i="12" s="1"/>
  <c r="G25" i="1"/>
  <c r="B8" i="1"/>
  <c r="N7" i="12"/>
  <c r="H23" i="1"/>
  <c r="H22" i="1"/>
  <c r="H24" i="1"/>
  <c r="H21" i="1"/>
  <c r="I20" i="10"/>
  <c r="I18" i="12"/>
  <c r="I24" i="10"/>
  <c r="D4" i="12"/>
  <c r="D15" i="12" s="1"/>
  <c r="D28" i="12" s="1"/>
  <c r="D36" i="12" s="1"/>
  <c r="D12" i="11"/>
  <c r="C12" i="11"/>
  <c r="C4" i="12"/>
  <c r="C15" i="12" s="1"/>
  <c r="C28" i="12" s="1"/>
  <c r="C36" i="12" s="1"/>
  <c r="H23" i="10"/>
  <c r="B14" i="11"/>
  <c r="B5" i="12"/>
  <c r="B16" i="12" s="1"/>
  <c r="B13" i="11"/>
  <c r="B15" i="11"/>
  <c r="I10" i="11"/>
  <c r="D24" i="12" l="1"/>
  <c r="D25" i="12"/>
  <c r="D26" i="12" s="1"/>
  <c r="E23" i="12" s="1"/>
  <c r="F29" i="12"/>
  <c r="F37" i="12" s="1"/>
  <c r="F27" i="12"/>
  <c r="H21" i="10"/>
  <c r="H19" i="12" s="1"/>
  <c r="H22" i="12"/>
  <c r="I33" i="12" s="1"/>
  <c r="C5" i="12"/>
  <c r="C16" i="12" s="1"/>
  <c r="C14" i="11"/>
  <c r="C13" i="11"/>
  <c r="C15" i="11"/>
  <c r="G22" i="12"/>
  <c r="H33" i="12" s="1"/>
  <c r="G21" i="10"/>
  <c r="G19" i="12" s="1"/>
  <c r="J14" i="11"/>
  <c r="J5" i="12"/>
  <c r="J16" i="12" s="1"/>
  <c r="J15" i="11"/>
  <c r="J13" i="11"/>
  <c r="J22" i="12"/>
  <c r="J21" i="10"/>
  <c r="J19" i="12" s="1"/>
  <c r="I22" i="12"/>
  <c r="I21" i="10"/>
  <c r="I19" i="12" s="1"/>
  <c r="D33" i="12"/>
  <c r="C33" i="12"/>
  <c r="B33" i="12"/>
  <c r="G33" i="12"/>
  <c r="F33" i="12"/>
  <c r="E33" i="12"/>
  <c r="K33" i="12"/>
  <c r="J33" i="12"/>
  <c r="G14" i="11"/>
  <c r="G5" i="12"/>
  <c r="G16" i="12" s="1"/>
  <c r="G15" i="11"/>
  <c r="G13" i="11"/>
  <c r="E13" i="11"/>
  <c r="E15" i="11"/>
  <c r="E5" i="12"/>
  <c r="E16" i="12" s="1"/>
  <c r="E14" i="11"/>
  <c r="H4" i="12"/>
  <c r="H15" i="12" s="1"/>
  <c r="H28" i="12" s="1"/>
  <c r="H36" i="12" s="1"/>
  <c r="H12" i="11"/>
  <c r="H25" i="1"/>
  <c r="H26" i="1" s="1"/>
  <c r="G26" i="1"/>
  <c r="D13" i="11"/>
  <c r="D5" i="12"/>
  <c r="D16" i="12" s="1"/>
  <c r="D15" i="11"/>
  <c r="D14" i="11"/>
  <c r="I4" i="12"/>
  <c r="I15" i="12" s="1"/>
  <c r="I28" i="12" s="1"/>
  <c r="I36" i="12" s="1"/>
  <c r="I12" i="11"/>
  <c r="N8" i="12"/>
  <c r="B27" i="12"/>
  <c r="B34" i="12"/>
  <c r="B30" i="12"/>
  <c r="B32" i="12" s="1"/>
  <c r="B29" i="12"/>
  <c r="B37" i="12" s="1"/>
  <c r="B22" i="1"/>
  <c r="K10" i="11"/>
  <c r="E25" i="12" l="1"/>
  <c r="E24" i="12"/>
  <c r="E30" i="12" s="1"/>
  <c r="E32" i="12" s="1"/>
  <c r="E26" i="12"/>
  <c r="F23" i="12" s="1"/>
  <c r="H13" i="11"/>
  <c r="H15" i="11"/>
  <c r="H5" i="12"/>
  <c r="H16" i="12" s="1"/>
  <c r="H14" i="11"/>
  <c r="C27" i="12"/>
  <c r="C34" i="12"/>
  <c r="C30" i="12"/>
  <c r="C32" i="12" s="1"/>
  <c r="C29" i="12"/>
  <c r="C37" i="12" s="1"/>
  <c r="D27" i="12"/>
  <c r="D34" i="12"/>
  <c r="D29" i="12"/>
  <c r="D37" i="12" s="1"/>
  <c r="D30" i="12"/>
  <c r="D32" i="12" s="1"/>
  <c r="E34" i="12"/>
  <c r="E29" i="12"/>
  <c r="E37" i="12" s="1"/>
  <c r="E27" i="12"/>
  <c r="K4" i="12"/>
  <c r="K12" i="11"/>
  <c r="C21" i="1"/>
  <c r="C23" i="1"/>
  <c r="I15" i="11"/>
  <c r="I13" i="11"/>
  <c r="I5" i="12"/>
  <c r="I16" i="12" s="1"/>
  <c r="I14" i="11"/>
  <c r="J29" i="12"/>
  <c r="J37" i="12" s="1"/>
  <c r="J27" i="12"/>
  <c r="C22" i="1"/>
  <c r="B25" i="1"/>
  <c r="G29" i="12"/>
  <c r="G37" i="12" s="1"/>
  <c r="G27" i="12"/>
  <c r="N11" i="12"/>
  <c r="I27" i="12" l="1"/>
  <c r="I29" i="12"/>
  <c r="I37" i="12" s="1"/>
  <c r="K5" i="12"/>
  <c r="K14" i="11"/>
  <c r="K15" i="11"/>
  <c r="K13" i="11"/>
  <c r="C25" i="1"/>
  <c r="F24" i="12"/>
  <c r="F30" i="12" s="1"/>
  <c r="F32" i="12" s="1"/>
  <c r="F25" i="12"/>
  <c r="F26" i="12" s="1"/>
  <c r="H29" i="12"/>
  <c r="H37" i="12" s="1"/>
  <c r="H27" i="12"/>
  <c r="N10" i="12"/>
  <c r="B6" i="1"/>
  <c r="K15" i="12"/>
  <c r="G23" i="12" l="1"/>
  <c r="F34" i="12"/>
  <c r="B33" i="14"/>
  <c r="N6" i="12"/>
  <c r="K28" i="12"/>
  <c r="N9" i="12"/>
  <c r="B7" i="1"/>
  <c r="K16" i="12"/>
  <c r="K31" i="12" l="1"/>
  <c r="K27" i="12"/>
  <c r="K29" i="12"/>
  <c r="K37" i="12" s="1"/>
  <c r="K36" i="12"/>
  <c r="G24" i="12"/>
  <c r="G25" i="12"/>
  <c r="G26" i="12" s="1"/>
  <c r="H23" i="12" l="1"/>
  <c r="G34" i="12"/>
  <c r="G30" i="12"/>
  <c r="G32" i="12" s="1"/>
  <c r="B9" i="14"/>
  <c r="N4" i="12"/>
  <c r="B8" i="14"/>
  <c r="B7" i="14"/>
  <c r="N5" i="12"/>
  <c r="B10" i="1" s="1"/>
  <c r="B10" i="14"/>
  <c r="B6" i="14"/>
  <c r="B38" i="12"/>
  <c r="B26" i="14" l="1"/>
  <c r="B34" i="14"/>
  <c r="B35" i="14" s="1"/>
  <c r="B25" i="14"/>
  <c r="B32" i="14"/>
  <c r="B24" i="14"/>
  <c r="B29" i="14"/>
  <c r="B28" i="14"/>
  <c r="B27" i="14"/>
  <c r="B9" i="1"/>
  <c r="C25" i="14"/>
  <c r="C28" i="14"/>
  <c r="C27" i="14"/>
  <c r="C24" i="14"/>
  <c r="C29" i="14"/>
  <c r="C26" i="14"/>
  <c r="H25" i="12"/>
  <c r="H24" i="12"/>
  <c r="H30" i="12" s="1"/>
  <c r="H32" i="12" s="1"/>
  <c r="H26" i="12"/>
  <c r="I23" i="12" l="1"/>
  <c r="H34" i="12"/>
  <c r="I25" i="12" l="1"/>
  <c r="I24" i="12"/>
  <c r="I30" i="12" s="1"/>
  <c r="I32" i="12" s="1"/>
  <c r="I26" i="12"/>
  <c r="J23" i="12" l="1"/>
  <c r="I34" i="12"/>
  <c r="J24" i="12" l="1"/>
  <c r="J25" i="12"/>
  <c r="J26" i="12"/>
  <c r="K23" i="12" l="1"/>
  <c r="J34" i="12"/>
  <c r="J30" i="12"/>
  <c r="J32" i="12" s="1"/>
  <c r="K25" i="12" l="1"/>
  <c r="K26" i="12"/>
  <c r="K34" i="12" s="1"/>
  <c r="K24" i="12"/>
  <c r="K30" i="12" s="1"/>
  <c r="K32" i="12" s="1"/>
</calcChain>
</file>

<file path=xl/sharedStrings.xml><?xml version="1.0" encoding="utf-8"?>
<sst xmlns="http://schemas.openxmlformats.org/spreadsheetml/2006/main" count="802" uniqueCount="606">
  <si>
    <t>10-YEAR MASTER MODEL  ·  ENERGY THAT YIELDS</t>
  </si>
  <si>
    <t>Investment case = Core Platform (Layers 1-4).  Phase 1: 10MW Grootvlei + 10MW AMSA.  Layer 5 (owned inference / GPUs) is held as a separate strategic option / potential SPV and is NOT modelled in this case.</t>
  </si>
  <si>
    <t>HEADLINE OUTPUTS - CORE PLATFORM (LAYERS 1-4)</t>
  </si>
  <si>
    <t>Metric</t>
  </si>
  <si>
    <t>Value</t>
  </si>
  <si>
    <t>Unit</t>
  </si>
  <si>
    <t>Interpretation</t>
  </si>
  <si>
    <t>2035 Revenue</t>
  </si>
  <si>
    <t>R'm</t>
  </si>
  <si>
    <t>Layers 1-4 only; no owned-inference revenue.</t>
  </si>
  <si>
    <t>2035 EBITDA</t>
  </si>
  <si>
    <t>Strong operating leverage once capacity is deployed.</t>
  </si>
  <si>
    <t>10Y Capex (Layers 1-4)</t>
  </si>
  <si>
    <t>Excludes Layer 5 GPU / owned-inference capex.</t>
  </si>
  <si>
    <t>NPV / EV (unlevered)</t>
  </si>
  <si>
    <t>Discounted FCF + terminal value (8x 2035 EBITDA) at 15%.</t>
  </si>
  <si>
    <t>Unlevered IRR</t>
  </si>
  <si>
    <t>%</t>
  </si>
  <si>
    <t>Project IRR on Layers 1-4.</t>
  </si>
  <si>
    <t>Peak connected MW</t>
  </si>
  <si>
    <t>MW</t>
  </si>
  <si>
    <t>Incl. ~250MW reserved as headroom for the Layer 5 option.</t>
  </si>
  <si>
    <t>LAYER 5 - OWNED INFERENCE (GPUs):  STRATEGIC OPTION - NOT IN THE INVESTMENT CASE</t>
  </si>
  <si>
    <t>Owned inference (buying and operating our own GPU / accelerator fleet) is deliberately excluded from this infrastructure investment case and from the model’s capex, revenue and valuation.</t>
  </si>
  <si>
    <t>Rationale: GPU fleets carry a 24-36 month obsolescence cycle and venture-style technology risk that does not fit an infrastructure mandate. This case funds the power, electrical, cooling and hosting platform (the PropCo, Layers 1-4) - it does not fund the GPUs.</t>
  </si>
  <si>
    <t>Stance: the Layer 5 business case will be evaluated later in the business cycle - only once AI/DC hosting demand, GPU / vendor financing and utilisation evidence are proven. If pursued, it is expected to be ring-fenced in a separate SPV / OpCo with venture or vendor / equipment financing.</t>
  </si>
  <si>
    <t>The five-layer revenue-stack concept is retained in the narrative; Layer 5’s chip capex and inference revenue are intentionally not modelled here. Indicative-only parameters sit on the Layer5_Option tab and can be switched on via Scenario_Control!B54 for evaluation.</t>
  </si>
  <si>
    <t>2035 REVENUE MIX - CORE PLATFORM</t>
  </si>
  <si>
    <t>10Y CAPEX BRIDGE - CORE PLATFORM (LAYERS 1-4)</t>
  </si>
  <si>
    <t>Layer</t>
  </si>
  <si>
    <t>2035 Rev (R'm)</t>
  </si>
  <si>
    <t>% total</t>
  </si>
  <si>
    <t>Note</t>
  </si>
  <si>
    <t>Component</t>
  </si>
  <si>
    <t>10Y Capex (R'm)</t>
  </si>
  <si>
    <t>Share</t>
  </si>
  <si>
    <t>BTC anchor</t>
  </si>
  <si>
    <t>Liquid, interruptible anchor load.</t>
  </si>
  <si>
    <t>Mining infrastructure</t>
  </si>
  <si>
    <t>Flexible ASIC load; BTC anchor + DR buffer.</t>
  </si>
  <si>
    <t>DR / grid services</t>
  </si>
  <si>
    <t>Flexible-demand &amp; grid-stabilisation services.</t>
  </si>
  <si>
    <t>Electrical / site</t>
  </si>
  <si>
    <t>Grid integration &amp; site enablement.</t>
  </si>
  <si>
    <t>AI/DC resale + hosting</t>
  </si>
  <si>
    <t>Core AI infra layer (no GPU ownership).</t>
  </si>
  <si>
    <t>Solar</t>
  </si>
  <si>
    <t>Tariff optimisation / green compute.</t>
  </si>
  <si>
    <t>Layer 5 - owned inference</t>
  </si>
  <si>
    <t>Not modelled</t>
  </si>
  <si>
    <t>-</t>
  </si>
  <si>
    <t>Strategic option / potential SPV.</t>
  </si>
  <si>
    <t>AI/DC host infrastructure</t>
  </si>
  <si>
    <t>Non-GPU hosting; can be partner-funded.</t>
  </si>
  <si>
    <t>Total (Layers 1-4)</t>
  </si>
  <si>
    <t>Contingency</t>
  </si>
  <si>
    <t>Programme reserve (10%).</t>
  </si>
  <si>
    <t>Memo: Layer 5 GPU capex (EXCLUDED)</t>
  </si>
  <si>
    <t>Not funded by infra vehicle</t>
  </si>
  <si>
    <t>Separate SPV / venture financing.</t>
  </si>
  <si>
    <t>MILESTONE-GATED CAPITAL UNLOCKS - CORE PLATFORM</t>
  </si>
  <si>
    <t>Gate</t>
  </si>
  <si>
    <t>Timing</t>
  </si>
  <si>
    <t>Capacity</t>
  </si>
  <si>
    <t>Indicative unlock</t>
  </si>
  <si>
    <t>Key condition</t>
  </si>
  <si>
    <t>1</t>
  </si>
  <si>
    <t>Q1-26</t>
  </si>
  <si>
    <t>20 MW</t>
  </si>
  <si>
    <t>R0.6bn</t>
  </si>
  <si>
    <t>Phase 1 funded and energised (10MW Grootvlei + 10MW AMSA).</t>
  </si>
  <si>
    <t>2</t>
  </si>
  <si>
    <t>Q2-26</t>
  </si>
  <si>
    <t>160 MW</t>
  </si>
  <si>
    <t>R3.2bn</t>
  </si>
  <si>
    <t>DR proven to Eskom/NTCSA; tariff path to &lt;=R0.80/kWh.</t>
  </si>
  <si>
    <t>3</t>
  </si>
  <si>
    <t>Q3-Q4 26</t>
  </si>
  <si>
    <t>550 MW</t>
  </si>
  <si>
    <t>R8.8bn</t>
  </si>
  <si>
    <t>AMSA/Grootvlei scale; first AI/DC 5MW contracted.</t>
  </si>
  <si>
    <t>4</t>
  </si>
  <si>
    <t>Q1-Q2 27</t>
  </si>
  <si>
    <t>1,200 MW</t>
  </si>
  <si>
    <t>R14.0bn</t>
  </si>
  <si>
    <t>Additional node; essential-load approvals for AI/DC.</t>
  </si>
  <si>
    <t>5</t>
  </si>
  <si>
    <t>Q3-Q4 27</t>
  </si>
  <si>
    <t>2,000 MW</t>
  </si>
  <si>
    <t>R20.0bn</t>
  </si>
  <si>
    <t>Net tariff &lt;=R0.50/kWh; grid-stabilisation value recognised.</t>
  </si>
  <si>
    <t>6</t>
  </si>
  <si>
    <t>2028</t>
  </si>
  <si>
    <t>2,400 MW</t>
  </si>
  <si>
    <t>AI/DC client base &gt;=100MW (creditworthy offtake).</t>
  </si>
  <si>
    <t>Layer 5 (owned inference) gates are NOT part of this case - they would be evaluated separately and, if pursued, funded via a dedicated SPV / OpCo (see Layer5_Option tab).</t>
  </si>
  <si>
    <t>BitMach 10-Year Master Model v7 - Scenario Control</t>
  </si>
  <si>
    <t>Control / Input</t>
  </si>
  <si>
    <t>Explanation / investor interpretation</t>
  </si>
  <si>
    <t>Selected ramp case</t>
  </si>
  <si>
    <t>Full Platform Acceleration</t>
  </si>
  <si>
    <t>Default case for investor brief: no capital shortage, fastest practical milestone-gated scale path.</t>
  </si>
  <si>
    <t>Selected revenue case</t>
  </si>
  <si>
    <t>Integrated Energy Infrastructure</t>
  </si>
  <si>
    <t>Uses BTC anchor, DR/grid services, AI/DC power resale and hosting. Owned inference is shown separately as Layer 5.</t>
  </si>
  <si>
    <t>Selected funding case</t>
  </si>
  <si>
    <t>Infrastructure Funded</t>
  </si>
  <si>
    <t>Assumes a deep-pocketed infrastructure investor plus project debt, vendor/partner funding and equipment finance.</t>
  </si>
  <si>
    <t>Phase 1 configuration</t>
  </si>
  <si>
    <t>10 MW Grootvlei + 10 MW AMSA</t>
  </si>
  <si>
    <t>Fixed per latest direction. Useful for DR qualification and two-node proof of execution.</t>
  </si>
  <si>
    <t>FX rate</t>
  </si>
  <si>
    <t>ZAR/USD</t>
  </si>
  <si>
    <t>Used to translate USD-priced hardware, BTC price and AI references into ZAR.</t>
  </si>
  <si>
    <t>Discount rate</t>
  </si>
  <si>
    <t>Equity/infrastructure discount rate for NPV. Change to test valuation sensitivity.</t>
  </si>
  <si>
    <t>Terminal EBITDA multiple</t>
  </si>
  <si>
    <t>x</t>
  </si>
  <si>
    <t>Applied to final-year EBITDA for terminal value. Infrastructure/compute hybrid valuation lens.</t>
  </si>
  <si>
    <t>Corporate tax rate</t>
  </si>
  <si>
    <t>South African corporate tax assumption.</t>
  </si>
  <si>
    <t>BTC price - start</t>
  </si>
  <si>
    <t>USD/BTC</t>
  </si>
  <si>
    <t>Starting BTC price assumption.</t>
  </si>
  <si>
    <t>BTC price growth</t>
  </si>
  <si>
    <t>% p.a.</t>
  </si>
  <si>
    <t>Long-run BTC price growth case. Sensitise heavily.</t>
  </si>
  <si>
    <t>Network hash growth</t>
  </si>
  <si>
    <t>Network difficulty/hash growth. Higher value reduces BTC mined per TH/s.</t>
  </si>
  <si>
    <t>BTC fees - initial</t>
  </si>
  <si>
    <t>% of subsidy</t>
  </si>
  <si>
    <t>Transaction-fee contribution as % of block subsidy in 2026.</t>
  </si>
  <si>
    <t>BTC fee growth</t>
  </si>
  <si>
    <t>% pts p.a.</t>
  </si>
  <si>
    <t>Fee contribution increases over time to partly offset protocol issuance decline.</t>
  </si>
  <si>
    <t>Uptime</t>
  </si>
  <si>
    <t>Technical availability across load categories. Hydro-cooled architecture and industrial operations target high uptime.</t>
  </si>
  <si>
    <t>Mining hours per day</t>
  </si>
  <si>
    <t>hours/day</t>
  </si>
  <si>
    <t>Interruptible mining load operating profile under Eskom pilot/tariff framework.</t>
  </si>
  <si>
    <t>Essential load hours per day</t>
  </si>
  <si>
    <t>AI/DC and inference are essential load and run 24/7.</t>
  </si>
  <si>
    <t>Interruptible tariff 2026</t>
  </si>
  <si>
    <t>R/kWh</t>
  </si>
  <si>
    <t>Initial Eskom tariff assumption for first acceleration year.</t>
  </si>
  <si>
    <t>Interruptible tariff after DR proof</t>
  </si>
  <si>
    <t>Milestone target after proving DR / ancillary capability above 20MW.</t>
  </si>
  <si>
    <t>Stabilised interruptible tariff</t>
  </si>
  <si>
    <t>Contracted/negotiated grid-stabilisation tariff after initial operating period.</t>
  </si>
  <si>
    <t>Optimised net tariff</t>
  </si>
  <si>
    <t>Target tariff after deeper demand response / grid stabilisation value is recognised.</t>
  </si>
  <si>
    <t>Essential-load tariff premium</t>
  </si>
  <si>
    <t>Premium above interruptible tariff for 24/7 essential AI/DC load.</t>
  </si>
  <si>
    <t>AI/DC resale tariff</t>
  </si>
  <si>
    <t>Price charged to AI/DC customer for power/resale layer. Equivalent to c. USD147/MWh at R17/USD.</t>
  </si>
  <si>
    <t>AI resale escalation</t>
  </si>
  <si>
    <t>Annual escalation on AI/DC resale tariff.</t>
  </si>
  <si>
    <t>Hosting fee</t>
  </si>
  <si>
    <t>R'm/MW/month</t>
  </si>
  <si>
    <t>Additional site/cooling/hosting services revenue for AI/DC partner capacity.</t>
  </si>
  <si>
    <t>IDR standby payment</t>
  </si>
  <si>
    <t>R/kW-month</t>
  </si>
  <si>
    <t>Illustrative reserve/standby payment for controllable interruptible load. Update when contracted.</t>
  </si>
  <si>
    <t>DDMP-style incentive</t>
  </si>
  <si>
    <t>R'm/MW over 24m</t>
  </si>
  <si>
    <t>Public benchmark-style performance contracting value applied to new eligible MW over two years.</t>
  </si>
  <si>
    <t>Event curtailment rate</t>
  </si>
  <si>
    <t>Scenario value for event-based curtailment compensation.</t>
  </si>
  <si>
    <t>Event hours per year</t>
  </si>
  <si>
    <t>hours/year</t>
  </si>
  <si>
    <t>Assumed compensated event hours.</t>
  </si>
  <si>
    <t>Miner hashrate</t>
  </si>
  <si>
    <t>TH/unit</t>
  </si>
  <si>
    <t>M7DS-equivalent hash rate assumption.</t>
  </si>
  <si>
    <t>Miner efficiency</t>
  </si>
  <si>
    <t>J/TH</t>
  </si>
  <si>
    <t>M7DS energy efficiency. Lower is better.</t>
  </si>
  <si>
    <t>Auxiliary load</t>
  </si>
  <si>
    <t>Non-compute auxiliary/cooling load.</t>
  </si>
  <si>
    <t>Mining capex</t>
  </si>
  <si>
    <t>R'm/MW</t>
  </si>
  <si>
    <t>ASIC / container / deployment capex for interruptible mining capacity; c. USD1.2m/MW at R17/USD.</t>
  </si>
  <si>
    <t>Electrical/site capex</t>
  </si>
  <si>
    <t>Grid interconnection, electrical reticulation and site enablement capex across scale.</t>
  </si>
  <si>
    <t>Solar capex</t>
  </si>
  <si>
    <t>Solar PV capex assumption.</t>
  </si>
  <si>
    <t>AI/DC host capex</t>
  </si>
  <si>
    <t>Non-GPU hosting infrastructure capex for AI/DC partner capacity.</t>
  </si>
  <si>
    <t>Owned inference capex [Layer 5 option - indicative only]</t>
  </si>
  <si>
    <t>GPU/accelerator-heavy own inference capex. High-risk/high-reward Layer 5 only.</t>
  </si>
  <si>
    <t>Own inference revenue [Layer 5 option - indicative only]</t>
  </si>
  <si>
    <t>R'm/MW/year</t>
  </si>
  <si>
    <t>High-level gross inference/token/API revenue per MW-year at initial deployment.</t>
  </si>
  <si>
    <t>Inference price decline [Layer 5 option - indicative only]</t>
  </si>
  <si>
    <t>Annual revenue decline / compression applied to own inference as token/GPU pricing normalises.</t>
  </si>
  <si>
    <t>Inference opex ratio [Layer 5 option - indicative only]</t>
  </si>
  <si>
    <t>% of revenue</t>
  </si>
  <si>
    <t>Non-power operating cost as % of owned inference revenue.</t>
  </si>
  <si>
    <t>Programme-level contingency on gross capex.</t>
  </si>
  <si>
    <t>AI host partner-funded share</t>
  </si>
  <si>
    <t>Share of AI/DC host infrastructure funded by partner/customer/vendor.</t>
  </si>
  <si>
    <t>Own inference partner/vendor share</t>
  </si>
  <si>
    <t>Share of owned inference capex funded by strategic partner/vendor/equipment structure.</t>
  </si>
  <si>
    <t>Core platform project debt share</t>
  </si>
  <si>
    <t>Debt share for core platform capex after partner/vendor funding.</t>
  </si>
  <si>
    <t>Core platform equity share</t>
  </si>
  <si>
    <t>Equity share for core platform capex after partner/vendor funding.</t>
  </si>
  <si>
    <t>Core platform partner/vendor share</t>
  </si>
  <si>
    <t>Vendor / partner / other non-equity funding share for core platform capex.</t>
  </si>
  <si>
    <t>Owned inference debt share</t>
  </si>
  <si>
    <t>Equipment/project debt share of BitMach-funded owned inference capex.</t>
  </si>
  <si>
    <t>Owned inference equity share</t>
  </si>
  <si>
    <t>Equity share of BitMach-funded owned inference capex.</t>
  </si>
  <si>
    <t>Debt interest rate</t>
  </si>
  <si>
    <t>Blended project/equipment debt rate.</t>
  </si>
  <si>
    <t>Debt amortisation tenor</t>
  </si>
  <si>
    <t>years</t>
  </si>
  <si>
    <t>Simplified annual amortisation tenor for post-grace debt service.</t>
  </si>
  <si>
    <t>Debt grace period</t>
  </si>
  <si>
    <t>Grace period before amortisation begins.</t>
  </si>
  <si>
    <t>Layer 5 (owned inference) - model in base case?</t>
  </si>
  <si>
    <t>1=Yes / 0=No</t>
  </si>
  <si>
    <t>Owned inference (GPUs) is held as a separate strategic option / potential SPV and is EXCLUDED from the base infrastructure investment case. Set to 1 to switch the Layer 5 business case back on for evaluation.</t>
  </si>
  <si>
    <t>Blue = editable input.  Yellow = key value-driving assumption (sensitise these).</t>
  </si>
  <si>
    <t>Case Ramp Annual - Connected Capacity by Site (MW)</t>
  </si>
  <si>
    <t>Ramp Case / Site</t>
  </si>
  <si>
    <t>2026</t>
  </si>
  <si>
    <t>2027</t>
  </si>
  <si>
    <t>2029</t>
  </si>
  <si>
    <t>2030</t>
  </si>
  <si>
    <t>2031</t>
  </si>
  <si>
    <t>2032</t>
  </si>
  <si>
    <t>2033</t>
  </si>
  <si>
    <t>2034</t>
  </si>
  <si>
    <t>2035</t>
  </si>
  <si>
    <t xml:space="preserve">  Grootvlei</t>
  </si>
  <si>
    <t xml:space="preserve">  AMSA Vanderbijlpark</t>
  </si>
  <si>
    <t xml:space="preserve">  AMSA Newcastle</t>
  </si>
  <si>
    <t xml:space="preserve">  Saldanha</t>
  </si>
  <si>
    <t xml:space="preserve">  Komati / Eskom Nodes</t>
  </si>
  <si>
    <t xml:space="preserve">  Total Connected MW</t>
  </si>
  <si>
    <t>Institutional Growth</t>
  </si>
  <si>
    <t>Phase 1 Underwriting</t>
  </si>
  <si>
    <t>Full Platform Acceleration - 36 Month Ramp &amp; Capital Unlocks</t>
  </si>
  <si>
    <t>Q3-26</t>
  </si>
  <si>
    <t>Q4-26</t>
  </si>
  <si>
    <t>Q1-27</t>
  </si>
  <si>
    <t>Q2-27</t>
  </si>
  <si>
    <t>Q3-27</t>
  </si>
  <si>
    <t>Q4-27</t>
  </si>
  <si>
    <t>Q1-28</t>
  </si>
  <si>
    <t>Q2-28</t>
  </si>
  <si>
    <t>Q3-28</t>
  </si>
  <si>
    <t>Q4-28</t>
  </si>
  <si>
    <t>Grootvlei MW</t>
  </si>
  <si>
    <t>AMSA Vanderbijlpark MW</t>
  </si>
  <si>
    <t>AMSA Newcastle MW</t>
  </si>
  <si>
    <t>Saldanha MW</t>
  </si>
  <si>
    <t>Komati / Eskom Nodes MW</t>
  </si>
  <si>
    <t>Total Connected MW</t>
  </si>
  <si>
    <t>AI/DC Customer MW</t>
  </si>
  <si>
    <t>Reserved Layer-5 MW (option - separate SPV)</t>
  </si>
  <si>
    <t>Milestone / Gate</t>
  </si>
  <si>
    <t>Phase 1 funded</t>
  </si>
  <si>
    <t>DR proof + tariff &lt;=R0.80</t>
  </si>
  <si>
    <t>AMSA/GVL buildout</t>
  </si>
  <si>
    <t>AI/DC 5MW contracted</t>
  </si>
  <si>
    <t>New node active</t>
  </si>
  <si>
    <t>Net tariff &lt;=R0.50</t>
  </si>
  <si>
    <t>AI/DC &gt;=100MW</t>
  </si>
  <si>
    <t>1GW+ achieved</t>
  </si>
  <si>
    <t>Own inference 5MW stable</t>
  </si>
  <si>
    <t>2GW+ achieved</t>
  </si>
  <si>
    <t>Own inference 250MW path</t>
  </si>
  <si>
    <t>Full acceleration stabilisation</t>
  </si>
  <si>
    <t>Capital unlock this quarter (Rbn)</t>
  </si>
  <si>
    <t>Site Master - Capacity, Status and Commercial Role</t>
  </si>
  <si>
    <t>Site</t>
  </si>
  <si>
    <t>Grid Capacity MW</t>
  </si>
  <si>
    <t>Solar PV MW</t>
  </si>
  <si>
    <t>Phase Role</t>
  </si>
  <si>
    <t>Acceleration Timing</t>
  </si>
  <si>
    <t>Primary Revenue Role</t>
  </si>
  <si>
    <t>Milestone / dependency</t>
  </si>
  <si>
    <t>Source / context</t>
  </si>
  <si>
    <t>Investor note</t>
  </si>
  <si>
    <t>Grootvlei</t>
  </si>
  <si>
    <t>Phase 1 + scale node</t>
  </si>
  <si>
    <t>Q1-26 to Q2-27</t>
  </si>
  <si>
    <t>BTC anchor, DR proof, grid services</t>
  </si>
  <si>
    <t>Eskom tariff / DR proof, self-build EPC</t>
  </si>
  <si>
    <t>Concept design, EPC quote, Eskom pilot materials</t>
  </si>
  <si>
    <t>Repurposed power-station node with existing grid infrastructure.</t>
  </si>
  <si>
    <t>AMSA Vanderbijlpark</t>
  </si>
  <si>
    <t>Phase 1 + industrial platform</t>
  </si>
  <si>
    <t>Q1-26 to Q4-26</t>
  </si>
  <si>
    <t>BTC anchor, solar blending, AI/DC hosting</t>
  </si>
  <si>
    <t>AMSA definitive agreement, solar rights, 10MW initial block</t>
  </si>
  <si>
    <t>AMSA term sheet / investor materials</t>
  </si>
  <si>
    <t>Industrial precinct with solar and customer adjacency.</t>
  </si>
  <si>
    <t>AMSA Newcastle</t>
  </si>
  <si>
    <t>Phase 3 scale node</t>
  </si>
  <si>
    <t>Q4-26 to Q3-27</t>
  </si>
  <si>
    <t>BTC, DR, AI/DC hosting</t>
  </si>
  <si>
    <t>AMSA Newcastle unlock, grid and solar due diligence</t>
  </si>
  <si>
    <t>AMSA term sheet / management roadmap</t>
  </si>
  <si>
    <t>Large industrial node for rapid scale.</t>
  </si>
  <si>
    <t>Saldanha</t>
  </si>
  <si>
    <t>Phase 4 coastal node</t>
  </si>
  <si>
    <t>Q1-27 to Q4-27</t>
  </si>
  <si>
    <t>BTC, solar, AI/DC hosting</t>
  </si>
  <si>
    <t>Saldanha site rights and grid/solar confirmation</t>
  </si>
  <si>
    <t>Strategic coastal / industrial energy node.</t>
  </si>
  <si>
    <t>Komati / additional Eskom nodes</t>
  </si>
  <si>
    <t>Eskom-node replication</t>
  </si>
  <si>
    <t>Q4-26 to Q4-28</t>
  </si>
  <si>
    <t>BTC, DR, grid services, AI/DC expansion</t>
  </si>
  <si>
    <t>Eskom/NTCSA agreements; node-by-node approvals</t>
  </si>
  <si>
    <t>Eskom proposal history and platform plan</t>
  </si>
  <si>
    <t>Portfolio of power-station / grid nodes enabling 2GW+ scale.</t>
  </si>
  <si>
    <t>Load &amp; Tariff Model - Interruptible Mining vs Essential AI/DC Load</t>
  </si>
  <si>
    <t>Closing connected MW</t>
  </si>
  <si>
    <t>Opening connected MW</t>
  </si>
  <si>
    <t>Average connected MW</t>
  </si>
  <si>
    <t>AI/DC hosting essential load share</t>
  </si>
  <si>
    <t>Reserved capacity for optional Layer 5 (MW)</t>
  </si>
  <si>
    <t>AI/DC hosting MW</t>
  </si>
  <si>
    <t>Total essential MW</t>
  </si>
  <si>
    <t>Interruptible mining MW</t>
  </si>
  <si>
    <t>Essential load cap check</t>
  </si>
  <si>
    <t>Mining energy (GWh)</t>
  </si>
  <si>
    <t>AI/DC host energy (GWh)</t>
  </si>
  <si>
    <t>Reserved / Layer-5 energy (GWh) - nil unless Layer 5 evaluated</t>
  </si>
  <si>
    <t>Interruptible tariff (R/kWh)</t>
  </si>
  <si>
    <t>Essential import tariff (R/kWh)</t>
  </si>
  <si>
    <t>AI/DC resale tariff (R/kWh)</t>
  </si>
  <si>
    <t>Mining power cost (R'm)</t>
  </si>
  <si>
    <t>AI/DC host power cost (R'm)</t>
  </si>
  <si>
    <t>Own inference power cost (R'm)</t>
  </si>
  <si>
    <t>AI/DC resale power revenue (R'm)</t>
  </si>
  <si>
    <t>Power gross margin - host (R'm)</t>
  </si>
  <si>
    <t>Tariff relief vs R1.20 baseline (R'm)</t>
  </si>
  <si>
    <t>BTC Anchor Revenue Model - Halving, Fees and Network Difficulty</t>
  </si>
  <si>
    <t>BTC price (USD)</t>
  </si>
  <si>
    <t>Network hash (TH/s)</t>
  </si>
  <si>
    <t>Block subsidy (BTC/block)</t>
  </si>
  <si>
    <t>Transaction fees (% of subsidy)</t>
  </si>
  <si>
    <t>Effective BTC/block incl. fees</t>
  </si>
  <si>
    <t>Network BTC/year</t>
  </si>
  <si>
    <t>Mining MW</t>
  </si>
  <si>
    <t>Effective BitMach hash (TH/s)</t>
  </si>
  <si>
    <t>BTC mined</t>
  </si>
  <si>
    <t>BTC revenue (R'm)</t>
  </si>
  <si>
    <t>Demand Response / Grid Services Model - Mechanism Stack</t>
  </si>
  <si>
    <t>Mechanism</t>
  </si>
  <si>
    <t>Eligible interruptible MW</t>
  </si>
  <si>
    <t>New eligible MW</t>
  </si>
  <si>
    <t>IDR / reserve standby revenue (R'm)</t>
  </si>
  <si>
    <t>DDMP-style incentive (R'm)</t>
  </si>
  <si>
    <t>Event / curtailment value (R'm)</t>
  </si>
  <si>
    <t>Total DR / grid services revenue (R'm)</t>
  </si>
  <si>
    <t>Tariff relief / NPA value (R'm)</t>
  </si>
  <si>
    <t>Total grid-alignment economic value (R'm)</t>
  </si>
  <si>
    <t>Revenue status</t>
  </si>
  <si>
    <t>Milestone-linked; recurring platform value</t>
  </si>
  <si>
    <t>Milestone dependency</t>
  </si>
  <si>
    <t>NPA / market participation / dispatch performance</t>
  </si>
  <si>
    <t>AI/DC Commercial Model - Power Resale, Hosting and Owned Inference</t>
  </si>
  <si>
    <t>AI/DC host MW</t>
  </si>
  <si>
    <t>Reserved Layer-5 MW</t>
  </si>
  <si>
    <t>Own inference energy (GWh)</t>
  </si>
  <si>
    <t>AI/DC power resale revenue (R'm)</t>
  </si>
  <si>
    <t>AI/DC power import cost (R'm)</t>
  </si>
  <si>
    <t>AI/DC power gross margin (R'm)</t>
  </si>
  <si>
    <t>AI/DC hosting / colocation revenue (R'm)</t>
  </si>
  <si>
    <t>AI/DC hosting operating cost (R'm)</t>
  </si>
  <si>
    <t>AI/DC hosting EBITDA (R'm)</t>
  </si>
  <si>
    <t>Owned inference gross revenue (Layer 5 option - excluded from base case) (R'm)</t>
  </si>
  <si>
    <t>Own inference non-power opex (R'm)</t>
  </si>
  <si>
    <t>Own inference EBITDA (R'm)</t>
  </si>
  <si>
    <t>Total AI/DC + inference revenue (R'm)</t>
  </si>
  <si>
    <t>Total AI/DC + inference EBITDA (R'm)</t>
  </si>
  <si>
    <t>AI/DC commercial status</t>
  </si>
  <si>
    <t>Pilot / partner discussions</t>
  </si>
  <si>
    <t>Contracted capacity target</t>
  </si>
  <si>
    <t>Scaled hosting + selective own inference</t>
  </si>
  <si>
    <t>Capex Model - Core Platform vs Optional Owned Inference</t>
  </si>
  <si>
    <t>Capex component</t>
  </si>
  <si>
    <t>New connected MW</t>
  </si>
  <si>
    <t>New interruptible mining MW</t>
  </si>
  <si>
    <t>New AI/DC host MW</t>
  </si>
  <si>
    <t>Reserved Layer-5 MW additions</t>
  </si>
  <si>
    <t>New solar MW</t>
  </si>
  <si>
    <t>Mining infrastructure capex (R'm)</t>
  </si>
  <si>
    <t>Electrical / site capex (R'm)</t>
  </si>
  <si>
    <t>Solar capex (R'm)</t>
  </si>
  <si>
    <t>AI/DC hosting infrastructure capex (R'm)</t>
  </si>
  <si>
    <t>Owned inference / GPU capex (Layer 5 option - excluded from base case) (R'm)</t>
  </si>
  <si>
    <t>Gross capex - Core Layers 1-4 (R'm)</t>
  </si>
  <si>
    <t>Gross capex - Full Stack incl. Layer 5 (R'm)</t>
  </si>
  <si>
    <t>Partner/vendor-funded AI/DC capex (R'm)</t>
  </si>
  <si>
    <t>Partner/vendor-funded inference capex (R'm)</t>
  </si>
  <si>
    <t>BitMach-funded core capex (R'm)</t>
  </si>
  <si>
    <t>BitMach-funded owned inference capex (R'm)</t>
  </si>
  <si>
    <t>Contingency on gross capex (R'm)</t>
  </si>
  <si>
    <t>Total BitMach-funded capex incl. contingency (R'm)</t>
  </si>
  <si>
    <t>Cumulative capex excl. owned inference (R'm)</t>
  </si>
  <si>
    <t>Cumulative capex incl. owned inference (R'm)</t>
  </si>
  <si>
    <t>Owned inference share of gross capex</t>
  </si>
  <si>
    <t>Revenue Bridge - Layered Energy-to-Compute Platform</t>
  </si>
  <si>
    <t>Revenue Stream</t>
  </si>
  <si>
    <t>Layer 1 - BTC anchor revenue (R'm)</t>
  </si>
  <si>
    <t>Layer 2 - DR / grid services revenue (R'm)</t>
  </si>
  <si>
    <t>Layer 2 value - tariff relief / NPA value (R'm)</t>
  </si>
  <si>
    <t>Layer 3 - Energy market / balancing value (R'm)</t>
  </si>
  <si>
    <t>Layer 4A - AI/DC power resale revenue (R'm)</t>
  </si>
  <si>
    <t>Layer 4B - AI/DC hosting / colocation revenue (R'm)</t>
  </si>
  <si>
    <t>Revenue Layers 1-4 excl. own inference (R'm)</t>
  </si>
  <si>
    <t>Layer 5 - Owned inference / token revenue (strategic option - NOT modelled in base case) (R'm)</t>
  </si>
  <si>
    <t>Total revenue incl. Layer 5 (R'm)</t>
  </si>
  <si>
    <t>BTC share of full revenue</t>
  </si>
  <si>
    <t>DR/grid share of full revenue</t>
  </si>
  <si>
    <t>AI/DC + inference share of full revenue</t>
  </si>
  <si>
    <t>Revenue status / evidence</t>
  </si>
  <si>
    <t>Base contracted / protocol driven</t>
  </si>
  <si>
    <t>Milestone-linked commercial stack</t>
  </si>
  <si>
    <t>Scaled platform revenue mix</t>
  </si>
  <si>
    <t>Financing, DCF &amp; Valuation - Core Platform (Layers 1-4)</t>
  </si>
  <si>
    <t>Layer 5 (owned inference / GPUs) is EXCLUDED from this case (Scenario_Control!B54=0). "incl. owned inference" rows therefore equal the core rows.</t>
  </si>
  <si>
    <t>Valuation metric</t>
  </si>
  <si>
    <t>Core Platform (Layers 1-4)</t>
  </si>
  <si>
    <t>Layer 5 (owned inference)</t>
  </si>
  <si>
    <t>Total revenue excl. owned inference (R'm)</t>
  </si>
  <si>
    <t>NPV (R'm)</t>
  </si>
  <si>
    <t>Excluded from the investment case.</t>
  </si>
  <si>
    <t>Total revenue incl. owned inference (R'm)</t>
  </si>
  <si>
    <t>IRR</t>
  </si>
  <si>
    <t>Held as a separate strategic option / potential SPV.</t>
  </si>
  <si>
    <t>Operating cost - mining power (R'm)</t>
  </si>
  <si>
    <t>Terminal value undiscounted (R'm)</t>
  </si>
  <si>
    <t>See Layer5_Option tab; toggle Scenario_Control!B54 to evaluate.</t>
  </si>
  <si>
    <t>Operating cost - AI/DC host power (R'm)</t>
  </si>
  <si>
    <t>Operating cost - own inference power (R'm)</t>
  </si>
  <si>
    <t>Operating cost - platform overhead (R'm)</t>
  </si>
  <si>
    <t>2035 EBITDA (R'm)</t>
  </si>
  <si>
    <t>Operating cost - mining opex (R'm)</t>
  </si>
  <si>
    <t>2035 Revenue (R'm)</t>
  </si>
  <si>
    <t>Operating cost - AI/DC hosting opex (R'm)</t>
  </si>
  <si>
    <t>Cumulative equity required (R'm)</t>
  </si>
  <si>
    <t>Operating cost - own inference non-power opex (R'm)</t>
  </si>
  <si>
    <t>Total opex excl. owned inference (R'm)</t>
  </si>
  <si>
    <t>Total opex incl. owned inference (R'm)</t>
  </si>
  <si>
    <t>EBITDA excl. owned inference (R'm)</t>
  </si>
  <si>
    <t>EBITDA incl. owned inference (R'm)</t>
  </si>
  <si>
    <t>Gross capex excl. owned inference (R'm)</t>
  </si>
  <si>
    <t>Gross capex incl. owned inference (R'm)</t>
  </si>
  <si>
    <t>BitMach-funded capex incl. contingency (R'm)</t>
  </si>
  <si>
    <t>Partner/vendor-funded capex (R'm)</t>
  </si>
  <si>
    <t>Debt draw (R'm)</t>
  </si>
  <si>
    <t>Equity draw (R'm)</t>
  </si>
  <si>
    <t>Opening debt (R'm)</t>
  </si>
  <si>
    <t>Cash interest (R'm)</t>
  </si>
  <si>
    <t>Principal repayment (R'm)</t>
  </si>
  <si>
    <t>Closing debt (R'm)</t>
  </si>
  <si>
    <t>Tax (27% of EBITDA; no capital allowances - conservative) (R'm)</t>
  </si>
  <si>
    <t>Unlevered FCF excl. owned inference (R'm)</t>
  </si>
  <si>
    <t>Unlevered FCF incl. owned inference (R'm)</t>
  </si>
  <si>
    <t>Levered FCF to equity (R'm)</t>
  </si>
  <si>
    <t>Terminal value (R'm)</t>
  </si>
  <si>
    <t>Levered FCF discounted (R'm)</t>
  </si>
  <si>
    <t>Debt / EBITDA</t>
  </si>
  <si>
    <t>Core FCF incl terminal (R'm)</t>
  </si>
  <si>
    <t>Full FCF incl terminal (R'm)</t>
  </si>
  <si>
    <t>Gross MoIC (unlevered FCF incl. TV / gross capex) (x)</t>
  </si>
  <si>
    <t>Milestone Gates - Capital Unlock Path for Full Platform Acceleration</t>
  </si>
  <si>
    <t>Target timing</t>
  </si>
  <si>
    <t>Capacity unlocked</t>
  </si>
  <si>
    <t>Capital unlock</t>
  </si>
  <si>
    <t>Operational proof</t>
  </si>
  <si>
    <t>Commercial requirement</t>
  </si>
  <si>
    <t>Revenue impact</t>
  </si>
  <si>
    <t>Model trigger</t>
  </si>
  <si>
    <t>Status</t>
  </si>
  <si>
    <t>Investor decision</t>
  </si>
  <si>
    <t>Gate 1</t>
  </si>
  <si>
    <t>Phase 1 funded and energised</t>
  </si>
  <si>
    <t>10MW Grootvlei + 10MW AMSA online</t>
  </si>
  <si>
    <t>BTC anchor revenue begins</t>
  </si>
  <si>
    <t>Phase 1 close MW &gt; 0</t>
  </si>
  <si>
    <t>Near-term</t>
  </si>
  <si>
    <t>Initial equity / seed infrastructure tranche</t>
  </si>
  <si>
    <t>Gate 2</t>
  </si>
  <si>
    <t>DR capabilities proven to Eskom / NTCSA</t>
  </si>
  <si>
    <t>Interruptible load telemetry + response compliance</t>
  </si>
  <si>
    <t>DR standby and DDMP-style revenue enabled</t>
  </si>
  <si>
    <t>DR proof flag = TRUE</t>
  </si>
  <si>
    <t>Milestone</t>
  </si>
  <si>
    <t>Release scale capital to Grootvlei / AMSA</t>
  </si>
  <si>
    <t>Gate 3</t>
  </si>
  <si>
    <t>Tariff path to &lt;= R0.80/kWh demonstrated</t>
  </si>
  <si>
    <t>AMSA VB + Grootvlei scale agreements</t>
  </si>
  <si>
    <t>Mining margin improves materially</t>
  </si>
  <si>
    <t>Tariff case = DR proof</t>
  </si>
  <si>
    <t>Fund full AMSA VB + Grootvlei Phase 1 scale</t>
  </si>
  <si>
    <t>Gate 4</t>
  </si>
  <si>
    <t>First AI/DC customer live</t>
  </si>
  <si>
    <t>Eskom / site approvals for essential load behind BitMach</t>
  </si>
  <si>
    <t>AI/DC power resale + hosting begins</t>
  </si>
  <si>
    <t>AI/DC contracted MW &gt;= 5</t>
  </si>
  <si>
    <t>Fund Newcastle/Saldanha/Komati ramp</t>
  </si>
  <si>
    <t>Gate 5</t>
  </si>
  <si>
    <t>Net tariff &lt;= R0.50/kWh path achieved</t>
  </si>
  <si>
    <t>Grid-stabilisation value recognised in tariff / commercial framework</t>
  </si>
  <si>
    <t>Cost base structurally de-risks</t>
  </si>
  <si>
    <t>Optimised tariff flag = TRUE</t>
  </si>
  <si>
    <t>Release &gt;1GW expansion capital</t>
  </si>
  <si>
    <t>Gate 6</t>
  </si>
  <si>
    <t>2,200 MW</t>
  </si>
  <si>
    <t>AI/DC client base &gt;= 100 MW</t>
  </si>
  <si>
    <t>Contracted essential-load customers with credit-worthy counterparties</t>
  </si>
  <si>
    <t>AI/DC becomes core revenue line</t>
  </si>
  <si>
    <t>AI host MW &gt;= 100</t>
  </si>
  <si>
    <t>Fund AI/DC hosting infrastructure and partner pods</t>
  </si>
  <si>
    <t>Gate 7</t>
  </si>
  <si>
    <t>2028-29</t>
  </si>
  <si>
    <t>2,300 MW</t>
  </si>
  <si>
    <t>R18.0bn</t>
  </si>
  <si>
    <t>Own inference &gt;= 5 MW stable</t>
  </si>
  <si>
    <t>GPU/vendor financing or partner-funded hardware model validated</t>
  </si>
  <si>
    <t>Layer 5 revenue begins</t>
  </si>
  <si>
    <t>Own inference MW &gt;= 5</t>
  </si>
  <si>
    <t>Optional</t>
  </si>
  <si>
    <t>SEPARATE from infra case - evaluate later; if pursued, fund via dedicated SPV / OpCo (venture / vendor finance).</t>
  </si>
  <si>
    <t>Gate 8</t>
  </si>
  <si>
    <t>2029+</t>
  </si>
  <si>
    <t>2,400 MW+</t>
  </si>
  <si>
    <t>R40.0bn+</t>
  </si>
  <si>
    <t>Own inference &gt;= 250 MW path</t>
  </si>
  <si>
    <t>Customer demand, utilisation and financing evidence</t>
  </si>
  <si>
    <t>High-risk/high-reward Layer 5 scales</t>
  </si>
  <si>
    <t>Own inference MW &gt;= 250</t>
  </si>
  <si>
    <t>Optional / staged</t>
  </si>
  <si>
    <t>SENSITIVITIES - CORE PLATFORM (LAYERS 1-4)</t>
  </si>
  <si>
    <t>Layer 5 (owned inference) is excluded. All figures below are for the Core Platform only.</t>
  </si>
  <si>
    <t>A.  NPV SENSITIVITY TO DISCOUNT RATE  (live - recomputes from core FCF incl. terminal)</t>
  </si>
  <si>
    <t>Core NPV (R'm)</t>
  </si>
  <si>
    <t>&lt;- base case (15%)</t>
  </si>
  <si>
    <t>B.  KEY-DRIVER DOWNSIDE SCENARIOS  (indicative - model re-run at stated inputs; not linked to base cells)</t>
  </si>
  <si>
    <t>Scenario</t>
  </si>
  <si>
    <t>Key input change(s)</t>
  </si>
  <si>
    <t>Core IRR</t>
  </si>
  <si>
    <t>Base case</t>
  </si>
  <si>
    <t>As modelled</t>
  </si>
  <si>
    <t>BTC bear</t>
  </si>
  <si>
    <t>Network hash +25%/yr &amp; BTC price +5%/yr (vs +12% / +12%)</t>
  </si>
  <si>
    <t>No Eskom DR / tariff deal</t>
  </si>
  <si>
    <t>Interruptible mining tariff stuck at R0.80/kWh</t>
  </si>
  <si>
    <t>AI/DC resale under-prices</t>
  </si>
  <si>
    <t>AI/DC resale at R1.50/kWh (vs R2.50)</t>
  </si>
  <si>
    <t>Rand strengthens (FX risk)</t>
  </si>
  <si>
    <t>Rand strengthens to R15.00/USD (vs R17.00) - lowers ZAR value of USD-priced BTC revenue</t>
  </si>
  <si>
    <t>Combined downside</t>
  </si>
  <si>
    <t>Hash +22%, BTC +6%, tariff R0.80, resale R1.80, DR standby halved</t>
  </si>
  <si>
    <t>n/a (neg.)</t>
  </si>
  <si>
    <t>Note: Section B figures are produced by re-running the full model at the stated inputs (not live links). The 80% tariff-relief haircut requested by lenders is reflected in the "No Eskom DR / tariff deal" case. A fully live driver-sensitivity engine can be wired on request.</t>
  </si>
  <si>
    <t>C.  NPV SENSITIVITY TO TERMINAL EBITDA MULTIPLE  (live - the dominant value driver)</t>
  </si>
  <si>
    <t>Exit multiple (x)</t>
  </si>
  <si>
    <t>Terminal as % of NPV</t>
  </si>
  <si>
    <t>&lt;- base case (8x)</t>
  </si>
  <si>
    <t>D.  VALUATION COMPOSITION  (how much of NPV is the exit assumption)</t>
  </si>
  <si>
    <t>PV of explicit FCF 2026-2035 (excl. terminal) (R'm)</t>
  </si>
  <si>
    <t>PV of terminal value (8x 2035 EBITDA) (R'm)</t>
  </si>
  <si>
    <t>Total Core NPV (R'm)</t>
  </si>
  <si>
    <t>Terminal value as % of NPV</t>
  </si>
  <si>
    <t>Note: ~4/5 of NPV sits in the terminal multiple - the single biggest valuation sensitivity. Hold this multiple defensible.</t>
  </si>
  <si>
    <t>LAYER 5 - OWNED INFERENCE (GPUs): STRATEGIC OPTION</t>
  </si>
  <si>
    <t>Not part of the Core investment case. This tab documents the option and holds INDICATIVE-ONLY parameters for a future evaluation.</t>
  </si>
  <si>
    <t>Position</t>
  </si>
  <si>
    <t>Owned inference (operating our own GPU / accelerator fleet to sell tokens / inference) is treated as a separate long-term venture, not as part of the infrastructure investment case.</t>
  </si>
  <si>
    <t>Why separate</t>
  </si>
  <si>
    <t>GPU fleets depreciate over ~24-36 months and carry technology-obsolescence and merchant-compute price risk - a venture / growth profile, not an infrastructure one. Bundling it depresses the platform IRR and exposes infrastructure capital to chip risk.</t>
  </si>
  <si>
    <t>What the base case funds</t>
  </si>
  <si>
    <t>Layers 1-4 only: power access, electrical/site, cooling and (non-GPU) AI/DC hosting shells - i.e. the PropCo. The GPUs themselves are explicitly NOT funded here.</t>
  </si>
  <si>
    <t>Evaluation trigger</t>
  </si>
  <si>
    <t>The Layer 5 business case will be assessed later in the cycle, once (a) AI/DC hosting demand and creditworthy offtake are proven, (b) GPU / vendor or equipment financing is available, and (c) utilisation / pricing evidence supports the returns.</t>
  </si>
  <si>
    <t>Likely structure if pursued</t>
  </si>
  <si>
    <t>A dedicated SPV / OpCo, ring-fenced from the infrastructure vehicle, funded with venture and/or vendor/equipment finance. The infrastructure platform would host it as a customer (incremental hosting revenue to Layers 1-4).</t>
  </si>
  <si>
    <t>How to evaluate in this model</t>
  </si>
  <si>
    <t>Set Scenario_Control!B54 = 1 to switch the indicative Layer 5 capex &amp; revenue back on. The reserved ~250MW of grid headroom (held in Load_Tariff) is the physical capacity earmarked for this option.</t>
  </si>
  <si>
    <t>INDICATIVE-ONLY PARAMETERS (NOT IN THE INVESTMENT CASE)</t>
  </si>
  <si>
    <t>Parameter</t>
  </si>
  <si>
    <t>Indicative value</t>
  </si>
  <si>
    <t>GPU / owned-inference capex</t>
  </si>
  <si>
    <t>R'm / MW</t>
  </si>
  <si>
    <t>Order-of-magnitude only; vendor-dependent.</t>
  </si>
  <si>
    <t>Owned inference revenue</t>
  </si>
  <si>
    <t>R'm / MW / yr</t>
  </si>
  <si>
    <t>Highly sensitive to utilisation &amp; token pricing.</t>
  </si>
  <si>
    <t>Inference price decline</t>
  </si>
  <si>
    <t>%/yr</t>
  </si>
  <si>
    <t>Compute pricing deflation.</t>
  </si>
  <si>
    <t>Reserved capacity (headroom)</t>
  </si>
  <si>
    <t>Earmarked grid headroom for the option.</t>
  </si>
  <si>
    <t>Indicative GPU capex if fully built</t>
  </si>
  <si>
    <t>Memo: scale of the separate SPV raise - NOT in this case.</t>
  </si>
  <si>
    <t>These figures are illustrative placeholders for scoping only. No Layer 5 capex, revenue, EBITDA or valuation flows into the Dashboard, Revenue_Bridge or Financing_DCF while Scenario_Control!B54 =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</si>
</sst>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"/>
    <numFmt numFmtId="166" formatCode="0.0\x"/>
    <numFmt numFmtId="167" formatCode="#,##0.0;\(#,##0.0\);\-"/>
    <numFmt numFmtId="168" formatCode="0.000"/>
    <numFmt numFmtId="169" formatCode="[$$-409]#,##0.00;[Red]\-[$$-409]#,##0.00"/>
  </numFmts>
  <fonts count="25" x14ac:knownFonts="1">
    <font>
      <sz val="10"/>
      <name val="Arial"/>
      <family val="2"/>
      <charset val="1"/>
    </font>
    <font>
      <b/>
      <sz val="15"/>
      <color rgb="FFFFFFFF"/>
      <name val="Century Gothic"/>
      <family val="2"/>
    </font>
    <font>
      <sz val="11"/>
      <name val="Cambria"/>
      <family val="1"/>
      <charset val="1"/>
    </font>
    <font>
      <i/>
      <sz val="9"/>
      <color rgb="FF475569"/>
      <name val="Calibri"/>
      <family val="2"/>
    </font>
    <font>
      <b/>
      <sz val="11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alibri"/>
      <family val="2"/>
      <charset val="1"/>
    </font>
    <font>
      <b/>
      <sz val="11"/>
      <color rgb="FF0B1020"/>
      <name val="Calibri"/>
      <family val="2"/>
    </font>
    <font>
      <sz val="10"/>
      <name val="Calibri"/>
      <family val="2"/>
      <charset val="1"/>
    </font>
    <font>
      <sz val="9"/>
      <color rgb="FF3A1115"/>
      <name val="Calibri"/>
      <family val="2"/>
    </font>
    <font>
      <b/>
      <sz val="11"/>
      <color rgb="FFFFFFFF"/>
      <name val="Calibri"/>
      <family val="2"/>
      <charset val="1"/>
    </font>
    <font>
      <i/>
      <sz val="9"/>
      <color rgb="FFCBD5E1"/>
      <name val="Calibri"/>
      <family val="2"/>
    </font>
    <font>
      <b/>
      <sz val="13"/>
      <color rgb="FFFFFFFF"/>
      <name val="Century Gothic"/>
      <family val="2"/>
    </font>
    <font>
      <sz val="11"/>
      <name val="Calibri"/>
      <family val="2"/>
    </font>
    <font>
      <sz val="10"/>
      <color rgb="FF1F4E79"/>
      <name val="Calibri"/>
      <family val="2"/>
    </font>
    <font>
      <b/>
      <sz val="10"/>
      <color rgb="FF1F4E79"/>
      <name val="Calibri"/>
      <family val="2"/>
    </font>
    <font>
      <sz val="10"/>
      <name val="Calibri"/>
      <family val="2"/>
    </font>
    <font>
      <i/>
      <sz val="9"/>
      <color rgb="FF64748B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9"/>
      <color rgb="FFB0B0B0"/>
      <name val="Calibri"/>
      <family val="2"/>
    </font>
    <font>
      <b/>
      <sz val="10"/>
      <name val="Calibri"/>
      <family val="2"/>
    </font>
    <font>
      <sz val="10"/>
      <color rgb="FF1A2233"/>
      <name val="Calibri"/>
      <family val="2"/>
    </font>
    <font>
      <sz val="10"/>
      <color rgb="FFE8E8E8"/>
      <name val="Calibri"/>
      <family val="2"/>
    </font>
    <font>
      <b/>
      <sz val="10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B1020"/>
        <bgColor rgb="FF11151C"/>
      </patternFill>
    </fill>
    <fill>
      <patternFill patternType="solid">
        <fgColor rgb="FFF8FAFC"/>
        <bgColor rgb="FFF4F6F8"/>
      </patternFill>
    </fill>
    <fill>
      <patternFill patternType="solid">
        <fgColor rgb="FF1E2A44"/>
        <bgColor rgb="FF1E293B"/>
      </patternFill>
    </fill>
    <fill>
      <patternFill patternType="solid">
        <fgColor rgb="FFFBF1F2"/>
        <bgColor rgb="FFF4F6F8"/>
      </patternFill>
    </fill>
    <fill>
      <patternFill patternType="solid">
        <fgColor rgb="FF141B2E"/>
        <bgColor rgb="FF1A2233"/>
      </patternFill>
    </fill>
    <fill>
      <patternFill patternType="solid">
        <fgColor rgb="FFFFF2CC"/>
        <bgColor rgb="FFFBF1F2"/>
      </patternFill>
    </fill>
    <fill>
      <patternFill patternType="solid">
        <fgColor rgb="FF3A101A"/>
        <bgColor rgb="FF3A1115"/>
      </patternFill>
    </fill>
    <fill>
      <patternFill patternType="solid">
        <fgColor rgb="FFF4F6F8"/>
        <bgColor rgb="FFF8FAFC"/>
      </patternFill>
    </fill>
    <fill>
      <patternFill patternType="solid">
        <fgColor rgb="FF2A2D34"/>
        <bgColor rgb="FF1E293B"/>
      </patternFill>
    </fill>
    <fill>
      <patternFill patternType="solid">
        <fgColor rgb="FF071E41"/>
        <bgColor rgb="FF141B2E"/>
      </patternFill>
    </fill>
    <fill>
      <patternFill patternType="solid">
        <fgColor rgb="FF11151C"/>
        <bgColor rgb="FF0B1020"/>
      </patternFill>
    </fill>
    <fill>
      <patternFill patternType="solid">
        <fgColor rgb="FF0B0C10"/>
        <bgColor rgb="FF0B1020"/>
      </patternFill>
    </fill>
  </fills>
  <borders count="5">
    <border>
      <left/>
      <right/>
      <top/>
      <bottom/>
      <diagonal/>
    </border>
    <border>
      <left/>
      <right/>
      <top/>
      <bottom style="thick">
        <color rgb="FFE3363E"/>
      </bottom>
      <diagonal/>
    </border>
    <border>
      <left/>
      <right/>
      <top/>
      <bottom style="thin">
        <color rgb="FFE3363E"/>
      </bottom>
      <diagonal/>
    </border>
    <border>
      <left style="medium">
        <color rgb="FFE3363E"/>
      </left>
      <right/>
      <top/>
      <bottom/>
      <diagonal/>
    </border>
    <border>
      <left/>
      <right/>
      <top style="thin">
        <color rgb="FFE3363E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8" fillId="11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vertical="center" indent="1"/>
    </xf>
    <xf numFmtId="0" fontId="17" fillId="0" borderId="0" xfId="0" applyFont="1" applyAlignment="1">
      <alignment vertical="center"/>
    </xf>
    <xf numFmtId="0" fontId="11" fillId="6" borderId="4" xfId="0" applyFont="1" applyFill="1" applyBorder="1" applyAlignment="1">
      <alignment horizontal="left" vertical="center" wrapText="1" indent="1"/>
    </xf>
    <xf numFmtId="0" fontId="8" fillId="6" borderId="0" xfId="0" applyFont="1" applyFill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 wrapText="1" indent="1"/>
    </xf>
    <xf numFmtId="165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4" borderId="0" xfId="0" applyFont="1" applyFill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/>
    <xf numFmtId="0" fontId="2" fillId="3" borderId="0" xfId="0" applyFont="1" applyFill="1"/>
    <xf numFmtId="0" fontId="2" fillId="0" borderId="0" xfId="0" applyFont="1"/>
    <xf numFmtId="0" fontId="2" fillId="2" borderId="2" xfId="0" applyFont="1" applyFill="1" applyBorder="1"/>
    <xf numFmtId="0" fontId="5" fillId="4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5" fontId="8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0" fontId="2" fillId="5" borderId="0" xfId="0" applyFont="1" applyFill="1"/>
    <xf numFmtId="165" fontId="2" fillId="0" borderId="0" xfId="0" applyNumberFormat="1" applyFont="1"/>
    <xf numFmtId="165" fontId="5" fillId="4" borderId="0" xfId="0" applyNumberFormat="1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2" fillId="0" borderId="0" xfId="0" applyFont="1" applyAlignment="1">
      <alignment wrapText="1"/>
    </xf>
    <xf numFmtId="0" fontId="8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11" fillId="6" borderId="0" xfId="0" applyFont="1" applyFill="1" applyAlignment="1">
      <alignment horizontal="left" vertical="center" wrapText="1" indent="1"/>
    </xf>
    <xf numFmtId="0" fontId="2" fillId="6" borderId="0" xfId="0" applyFont="1" applyFill="1" applyAlignment="1">
      <alignment wrapText="1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right" vertical="center"/>
    </xf>
    <xf numFmtId="0" fontId="0" fillId="2" borderId="2" xfId="0" applyFill="1" applyBorder="1"/>
    <xf numFmtId="0" fontId="0" fillId="6" borderId="0" xfId="0" applyFill="1"/>
    <xf numFmtId="0" fontId="5" fillId="0" borderId="0" xfId="0" applyFont="1" applyAlignment="1">
      <alignment vertical="center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3" fillId="7" borderId="0" xfId="0" applyFont="1" applyFill="1" applyAlignment="1">
      <alignment vertical="top" wrapText="1"/>
    </xf>
    <xf numFmtId="4" fontId="15" fillId="7" borderId="0" xfId="0" applyNumberFormat="1" applyFont="1" applyFill="1" applyAlignment="1">
      <alignment vertical="top" wrapText="1"/>
    </xf>
    <xf numFmtId="165" fontId="15" fillId="7" borderId="0" xfId="0" applyNumberFormat="1" applyFont="1" applyFill="1" applyAlignment="1">
      <alignment vertical="top" wrapText="1"/>
    </xf>
    <xf numFmtId="166" fontId="15" fillId="7" borderId="0" xfId="0" applyNumberFormat="1" applyFont="1" applyFill="1" applyAlignment="1">
      <alignment vertical="top" wrapText="1"/>
    </xf>
    <xf numFmtId="3" fontId="14" fillId="0" borderId="0" xfId="0" applyNumberFormat="1" applyFont="1" applyAlignment="1">
      <alignment vertical="top" wrapText="1"/>
    </xf>
    <xf numFmtId="165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2" fontId="14" fillId="0" borderId="0" xfId="0" applyNumberFormat="1" applyFont="1" applyAlignment="1">
      <alignment vertical="top" wrapText="1"/>
    </xf>
    <xf numFmtId="167" fontId="14" fillId="0" borderId="0" xfId="0" applyNumberFormat="1" applyFont="1" applyAlignment="1">
      <alignment vertical="top" wrapText="1"/>
    </xf>
    <xf numFmtId="0" fontId="16" fillId="0" borderId="0" xfId="0" applyFont="1"/>
    <xf numFmtId="1" fontId="14" fillId="0" borderId="0" xfId="0" applyNumberFormat="1" applyFont="1"/>
    <xf numFmtId="0" fontId="17" fillId="0" borderId="0" xfId="0" applyFont="1"/>
    <xf numFmtId="0" fontId="18" fillId="8" borderId="0" xfId="0" applyFont="1" applyFill="1"/>
    <xf numFmtId="3" fontId="18" fillId="8" borderId="0" xfId="0" applyNumberFormat="1" applyFont="1" applyFill="1"/>
    <xf numFmtId="164" fontId="13" fillId="0" borderId="0" xfId="0" applyNumberFormat="1" applyFont="1"/>
    <xf numFmtId="0" fontId="19" fillId="9" borderId="0" xfId="0" applyFont="1" applyFill="1"/>
    <xf numFmtId="164" fontId="19" fillId="9" borderId="0" xfId="0" applyNumberFormat="1" applyFont="1" applyFill="1"/>
    <xf numFmtId="3" fontId="13" fillId="0" borderId="0" xfId="0" applyNumberFormat="1" applyFont="1"/>
    <xf numFmtId="0" fontId="19" fillId="0" borderId="0" xfId="0" applyFont="1"/>
    <xf numFmtId="164" fontId="16" fillId="0" borderId="0" xfId="0" applyNumberFormat="1" applyFont="1"/>
    <xf numFmtId="0" fontId="13" fillId="0" borderId="0" xfId="0" applyFont="1"/>
    <xf numFmtId="165" fontId="13" fillId="0" borderId="0" xfId="0" applyNumberFormat="1" applyFont="1"/>
    <xf numFmtId="167" fontId="13" fillId="0" borderId="0" xfId="0" applyNumberFormat="1" applyFont="1"/>
    <xf numFmtId="2" fontId="13" fillId="0" borderId="0" xfId="0" applyNumberFormat="1" applyFont="1"/>
    <xf numFmtId="168" fontId="13" fillId="0" borderId="0" xfId="0" applyNumberFormat="1" applyFont="1"/>
    <xf numFmtId="0" fontId="13" fillId="0" borderId="0" xfId="0" applyFont="1" applyAlignment="1">
      <alignment wrapText="1"/>
    </xf>
    <xf numFmtId="167" fontId="19" fillId="9" borderId="0" xfId="0" applyNumberFormat="1" applyFont="1" applyFill="1"/>
    <xf numFmtId="0" fontId="0" fillId="2" borderId="1" xfId="0" applyFill="1" applyBorder="1"/>
    <xf numFmtId="0" fontId="17" fillId="0" borderId="0" xfId="0" applyFont="1" applyAlignment="1">
      <alignment vertical="center"/>
    </xf>
    <xf numFmtId="169" fontId="13" fillId="0" borderId="0" xfId="0" applyNumberFormat="1" applyFont="1"/>
    <xf numFmtId="169" fontId="20" fillId="0" borderId="0" xfId="0" applyNumberFormat="1" applyFont="1" applyAlignment="1">
      <alignment horizontal="left" vertical="center" wrapText="1"/>
    </xf>
    <xf numFmtId="165" fontId="20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166" fontId="19" fillId="9" borderId="0" xfId="0" applyNumberFormat="1" applyFont="1" applyFill="1"/>
    <xf numFmtId="166" fontId="13" fillId="0" borderId="0" xfId="0" applyNumberFormat="1" applyFont="1"/>
    <xf numFmtId="0" fontId="5" fillId="2" borderId="2" xfId="0" applyFont="1" applyFill="1" applyBorder="1" applyAlignment="1">
      <alignment vertical="center" indent="1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right" vertical="center"/>
    </xf>
    <xf numFmtId="165" fontId="16" fillId="0" borderId="0" xfId="0" applyNumberFormat="1" applyFont="1" applyAlignment="1">
      <alignment horizontal="left" vertical="center"/>
    </xf>
    <xf numFmtId="164" fontId="16" fillId="0" borderId="0" xfId="0" applyNumberFormat="1" applyFont="1" applyAlignment="1">
      <alignment horizontal="right" vertical="center"/>
    </xf>
    <xf numFmtId="169" fontId="13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165" fontId="16" fillId="0" borderId="0" xfId="0" applyNumberFormat="1" applyFont="1"/>
    <xf numFmtId="0" fontId="22" fillId="0" borderId="0" xfId="0" applyFont="1" applyAlignment="1">
      <alignment horizontal="left" vertical="center"/>
    </xf>
    <xf numFmtId="0" fontId="22" fillId="0" borderId="0" xfId="0" applyFont="1"/>
    <xf numFmtId="164" fontId="22" fillId="0" borderId="0" xfId="0" applyNumberFormat="1" applyFont="1"/>
    <xf numFmtId="0" fontId="20" fillId="10" borderId="0" xfId="0" applyFont="1" applyFill="1" applyAlignment="1">
      <alignment horizontal="left" vertical="center" wrapText="1"/>
    </xf>
    <xf numFmtId="0" fontId="16" fillId="2" borderId="2" xfId="0" applyFont="1" applyFill="1" applyBorder="1"/>
    <xf numFmtId="0" fontId="5" fillId="4" borderId="0" xfId="0" applyFont="1" applyFill="1"/>
    <xf numFmtId="166" fontId="16" fillId="0" borderId="0" xfId="0" applyNumberFormat="1" applyFont="1"/>
    <xf numFmtId="0" fontId="24" fillId="13" borderId="0" xfId="0" applyFont="1" applyFill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3" fillId="12" borderId="0" xfId="0" applyFont="1" applyFill="1" applyAlignment="1">
      <alignment horizontal="left" vertical="center" wrapText="1"/>
    </xf>
    <xf numFmtId="0" fontId="20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A1115"/>
      <rgbColor rgb="FF166534"/>
      <rgbColor rgb="FF0B1020"/>
      <rgbColor rgb="FF808000"/>
      <rgbColor rgb="FF1E2A44"/>
      <rgbColor rgb="FF1E6B3A"/>
      <rgbColor rgb="FFB0B0B0"/>
      <rgbColor rgb="FF475569"/>
      <rgbColor rgb="FF9999FF"/>
      <rgbColor rgb="FF6B2737"/>
      <rgbColor rgb="FFFFF2CC"/>
      <rgbColor rgb="FFDCFCE7"/>
      <rgbColor rgb="FF3A101A"/>
      <rgbColor rgb="FFFF8080"/>
      <rgbColor rgb="FF1F4E79"/>
      <rgbColor rgb="FFCBD5E1"/>
      <rgbColor rgb="FF141B2E"/>
      <rgbColor rgb="FFFF00FF"/>
      <rgbColor rgb="FFFFFF00"/>
      <rgbColor rgb="FF00FFFF"/>
      <rgbColor rgb="FF0B0C10"/>
      <rgbColor rgb="FF11151C"/>
      <rgbColor rgb="FF008080"/>
      <rgbColor rgb="FF0000FF"/>
      <rgbColor rgb="FF00CCFF"/>
      <rgbColor rgb="FFF4F6F8"/>
      <rgbColor rgb="FFE8E8E8"/>
      <rgbColor rgb="FFFBF1F2"/>
      <rgbColor rgb="FFF8FAFC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71E41"/>
      <rgbColor rgb="FF339966"/>
      <rgbColor rgb="FF1A2233"/>
      <rgbColor rgb="FF1E293B"/>
      <rgbColor rgb="FFB91C1C"/>
      <rgbColor rgb="FFE3363E"/>
      <rgbColor rgb="FF334155"/>
      <rgbColor rgb="FF2A2D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1416960</xdr:colOff>
      <xdr:row>0</xdr:row>
      <xdr:rowOff>302760</xdr:rowOff>
    </xdr:to>
    <xdr:pic>
      <xdr:nvPicPr>
        <xdr:cNvPr id="2" name="Image 3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416960" cy="302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3363E"/>
    <pageSetUpPr fitToPage="1"/>
  </sheetPr>
  <dimension ref="A1:K37"/>
  <sheetViews>
    <sheetView showGridLines="0" topLeftCell="A16" zoomScaleNormal="100" workbookViewId="0">
      <selection activeCell="A17" sqref="A17:I17"/>
    </sheetView>
  </sheetViews>
  <sheetFormatPr defaultColWidth="8.6640625" defaultRowHeight="13.2" x14ac:dyDescent="0.25"/>
  <cols>
    <col min="1" max="1" width="30" customWidth="1"/>
    <col min="2" max="2" width="16" customWidth="1"/>
    <col min="3" max="3" width="8" customWidth="1"/>
    <col min="4" max="4" width="40" customWidth="1"/>
    <col min="5" max="5" width="4" customWidth="1"/>
    <col min="6" max="6" width="30" customWidth="1"/>
    <col min="7" max="7" width="16" customWidth="1"/>
    <col min="8" max="8" width="9" customWidth="1"/>
    <col min="9" max="9" width="34" customWidth="1"/>
    <col min="10" max="11" width="14" customWidth="1"/>
  </cols>
  <sheetData>
    <row r="1" spans="1:11" ht="49.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5"/>
      <c r="K1" s="15"/>
    </row>
    <row r="2" spans="1:11" ht="30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6"/>
      <c r="K2" s="16"/>
    </row>
    <row r="3" spans="1:11" ht="1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21.75" customHeight="1" x14ac:dyDescent="0.25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8"/>
      <c r="K4" s="18"/>
    </row>
    <row r="5" spans="1:11" ht="21.75" customHeight="1" x14ac:dyDescent="0.25">
      <c r="A5" s="19" t="s">
        <v>3</v>
      </c>
      <c r="B5" s="19" t="s">
        <v>4</v>
      </c>
      <c r="C5" s="19" t="s">
        <v>5</v>
      </c>
      <c r="D5" s="10" t="s">
        <v>6</v>
      </c>
      <c r="E5" s="10"/>
      <c r="F5" s="10"/>
      <c r="G5" s="10"/>
      <c r="H5" s="10"/>
      <c r="I5" s="10"/>
      <c r="J5" s="20"/>
      <c r="K5" s="20"/>
    </row>
    <row r="6" spans="1:11" ht="24" customHeight="1" x14ac:dyDescent="0.25">
      <c r="A6" s="21" t="s">
        <v>7</v>
      </c>
      <c r="B6" s="22">
        <f>Financing_DCF!K4</f>
        <v>29033.666427652854</v>
      </c>
      <c r="C6" s="23" t="s">
        <v>8</v>
      </c>
      <c r="D6" s="9" t="s">
        <v>9</v>
      </c>
      <c r="E6" s="9"/>
      <c r="F6" s="9"/>
      <c r="G6" s="9"/>
      <c r="H6" s="9"/>
      <c r="I6" s="9"/>
      <c r="J6" s="20"/>
      <c r="K6" s="20"/>
    </row>
    <row r="7" spans="1:11" ht="24" customHeight="1" x14ac:dyDescent="0.25">
      <c r="A7" s="21" t="s">
        <v>10</v>
      </c>
      <c r="B7" s="22">
        <f>Financing_DCF!K15</f>
        <v>18635.256806055004</v>
      </c>
      <c r="C7" s="23" t="s">
        <v>8</v>
      </c>
      <c r="D7" s="9" t="s">
        <v>11</v>
      </c>
      <c r="E7" s="9"/>
      <c r="F7" s="9"/>
      <c r="G7" s="9"/>
      <c r="H7" s="9"/>
      <c r="I7" s="9"/>
      <c r="J7" s="20"/>
      <c r="K7" s="20"/>
    </row>
    <row r="8" spans="1:11" ht="24" customHeight="1" x14ac:dyDescent="0.25">
      <c r="A8" s="21" t="s">
        <v>12</v>
      </c>
      <c r="B8" s="22">
        <f>Capex_Model!K22</f>
        <v>85910</v>
      </c>
      <c r="C8" s="23" t="s">
        <v>8</v>
      </c>
      <c r="D8" s="9" t="s">
        <v>13</v>
      </c>
      <c r="E8" s="9"/>
      <c r="F8" s="9"/>
      <c r="G8" s="9"/>
      <c r="H8" s="9"/>
      <c r="I8" s="9"/>
      <c r="J8" s="20"/>
      <c r="K8" s="20"/>
    </row>
    <row r="9" spans="1:11" ht="24" customHeight="1" x14ac:dyDescent="0.25">
      <c r="A9" s="21" t="s">
        <v>14</v>
      </c>
      <c r="B9" s="22">
        <f>Financing_DCF!N4</f>
        <v>45538.630142959642</v>
      </c>
      <c r="C9" s="25" t="s">
        <v>8</v>
      </c>
      <c r="D9" s="8" t="s">
        <v>15</v>
      </c>
      <c r="E9" s="8"/>
      <c r="F9" s="8"/>
      <c r="G9" s="8"/>
      <c r="H9" s="8"/>
      <c r="I9" s="8"/>
      <c r="J9" s="20"/>
      <c r="K9" s="20"/>
    </row>
    <row r="10" spans="1:11" ht="24" customHeight="1" x14ac:dyDescent="0.25">
      <c r="A10" s="21" t="s">
        <v>16</v>
      </c>
      <c r="B10" s="26">
        <f>Financing_DCF!N5</f>
        <v>0.38486847760536436</v>
      </c>
      <c r="C10" s="23" t="s">
        <v>17</v>
      </c>
      <c r="D10" s="9" t="s">
        <v>18</v>
      </c>
      <c r="E10" s="9"/>
      <c r="F10" s="9"/>
      <c r="G10" s="9"/>
      <c r="H10" s="9"/>
      <c r="I10" s="9"/>
      <c r="J10" s="20"/>
      <c r="K10" s="20"/>
    </row>
    <row r="11" spans="1:11" ht="18" customHeight="1" x14ac:dyDescent="0.25">
      <c r="A11" s="21" t="s">
        <v>19</v>
      </c>
      <c r="B11" s="22">
        <f>MAX(Load_Tariff!B4:K4)</f>
        <v>2400</v>
      </c>
      <c r="C11" s="23" t="s">
        <v>20</v>
      </c>
      <c r="D11" s="9" t="s">
        <v>21</v>
      </c>
      <c r="E11" s="9"/>
      <c r="F11" s="9"/>
      <c r="G11" s="9"/>
      <c r="H11" s="9"/>
      <c r="I11" s="9"/>
      <c r="J11" s="17"/>
      <c r="K11" s="17"/>
    </row>
    <row r="12" spans="1:11" ht="1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1.75" customHeight="1" x14ac:dyDescent="0.25">
      <c r="A13" s="11" t="s">
        <v>22</v>
      </c>
      <c r="B13" s="11"/>
      <c r="C13" s="11"/>
      <c r="D13" s="11"/>
      <c r="E13" s="11"/>
      <c r="F13" s="11"/>
      <c r="G13" s="11"/>
      <c r="H13" s="11"/>
      <c r="I13" s="11"/>
      <c r="J13" s="18"/>
      <c r="K13" s="18"/>
    </row>
    <row r="14" spans="1:11" ht="30" customHeight="1" x14ac:dyDescent="0.25">
      <c r="A14" s="7" t="s">
        <v>23</v>
      </c>
      <c r="B14" s="7"/>
      <c r="C14" s="7"/>
      <c r="D14" s="7"/>
      <c r="E14" s="7"/>
      <c r="F14" s="7"/>
      <c r="G14" s="7"/>
      <c r="H14" s="7"/>
      <c r="I14" s="7"/>
      <c r="J14" s="27"/>
      <c r="K14" s="27"/>
    </row>
    <row r="15" spans="1:11" ht="30" customHeight="1" x14ac:dyDescent="0.25">
      <c r="A15" s="7" t="s">
        <v>24</v>
      </c>
      <c r="B15" s="7"/>
      <c r="C15" s="7"/>
      <c r="D15" s="7"/>
      <c r="E15" s="7"/>
      <c r="F15" s="7"/>
      <c r="G15" s="7"/>
      <c r="H15" s="7"/>
      <c r="I15" s="7"/>
      <c r="J15" s="27"/>
      <c r="K15" s="27"/>
    </row>
    <row r="16" spans="1:11" ht="30" customHeight="1" x14ac:dyDescent="0.25">
      <c r="A16" s="7" t="s">
        <v>25</v>
      </c>
      <c r="B16" s="7"/>
      <c r="C16" s="7"/>
      <c r="D16" s="7"/>
      <c r="E16" s="7"/>
      <c r="F16" s="7"/>
      <c r="G16" s="7"/>
      <c r="H16" s="7"/>
      <c r="I16" s="7"/>
      <c r="J16" s="27"/>
      <c r="K16" s="27"/>
    </row>
    <row r="17" spans="1:11" ht="30" customHeight="1" x14ac:dyDescent="0.25">
      <c r="A17" s="7" t="s">
        <v>26</v>
      </c>
      <c r="B17" s="7"/>
      <c r="C17" s="7"/>
      <c r="D17" s="7"/>
      <c r="E17" s="7"/>
      <c r="F17" s="7"/>
      <c r="G17" s="7"/>
      <c r="H17" s="7"/>
      <c r="I17" s="7"/>
      <c r="J17" s="27"/>
      <c r="K17" s="27"/>
    </row>
    <row r="18" spans="1:11" ht="15" customHeight="1" x14ac:dyDescent="0.25">
      <c r="A18" s="17"/>
      <c r="B18" s="17"/>
      <c r="C18" s="28"/>
      <c r="D18" s="17"/>
      <c r="E18" s="17"/>
      <c r="F18" s="17"/>
      <c r="G18" s="17"/>
      <c r="H18" s="28"/>
      <c r="I18" s="17"/>
      <c r="J18" s="17"/>
      <c r="K18" s="17"/>
    </row>
    <row r="19" spans="1:11" ht="21.75" customHeight="1" x14ac:dyDescent="0.25">
      <c r="A19" s="11" t="s">
        <v>27</v>
      </c>
      <c r="B19" s="11"/>
      <c r="C19" s="11"/>
      <c r="D19" s="11"/>
      <c r="E19" s="18"/>
      <c r="F19" s="6" t="s">
        <v>28</v>
      </c>
      <c r="G19" s="6"/>
      <c r="H19" s="6"/>
      <c r="I19" s="6"/>
      <c r="J19" s="18"/>
      <c r="K19" s="18"/>
    </row>
    <row r="20" spans="1:11" ht="19.5" customHeight="1" x14ac:dyDescent="0.25">
      <c r="A20" s="19" t="s">
        <v>29</v>
      </c>
      <c r="B20" s="19" t="s">
        <v>30</v>
      </c>
      <c r="C20" s="19" t="s">
        <v>31</v>
      </c>
      <c r="D20" s="19" t="s">
        <v>32</v>
      </c>
      <c r="E20" s="17"/>
      <c r="F20" s="19" t="s">
        <v>33</v>
      </c>
      <c r="G20" s="19" t="s">
        <v>34</v>
      </c>
      <c r="H20" s="29" t="s">
        <v>35</v>
      </c>
      <c r="I20" s="19" t="s">
        <v>32</v>
      </c>
      <c r="J20" s="17"/>
      <c r="K20" s="17"/>
    </row>
    <row r="21" spans="1:11" ht="21.75" customHeight="1" x14ac:dyDescent="0.25">
      <c r="A21" s="30" t="s">
        <v>36</v>
      </c>
      <c r="B21" s="31">
        <f>Revenue_Bridge!K4</f>
        <v>10542.760375</v>
      </c>
      <c r="C21" s="32">
        <f>B21/Revenue_Bridge!$K$10</f>
        <v>0.3631219088801903</v>
      </c>
      <c r="D21" s="24" t="s">
        <v>37</v>
      </c>
      <c r="E21" s="17"/>
      <c r="F21" s="30" t="s">
        <v>38</v>
      </c>
      <c r="G21" s="31">
        <f>SUM(Capex_Model!B9:K9)</f>
        <v>36400</v>
      </c>
      <c r="H21" s="32">
        <f>G21/Capex_Model!$K$22</f>
        <v>0.42369922011407285</v>
      </c>
      <c r="I21" s="24" t="s">
        <v>39</v>
      </c>
      <c r="J21" s="17"/>
      <c r="K21" s="17"/>
    </row>
    <row r="22" spans="1:11" ht="21.75" customHeight="1" x14ac:dyDescent="0.25">
      <c r="A22" s="30" t="s">
        <v>40</v>
      </c>
      <c r="B22" s="31">
        <f>Revenue_Bridge!K5+Revenue_Bridge!K7</f>
        <v>2205.84</v>
      </c>
      <c r="C22" s="32">
        <f>B22/Revenue_Bridge!$K$10</f>
        <v>7.5975247752349581E-2</v>
      </c>
      <c r="D22" s="24" t="s">
        <v>41</v>
      </c>
      <c r="E22" s="17"/>
      <c r="F22" s="30" t="s">
        <v>42</v>
      </c>
      <c r="G22" s="31">
        <f>SUM(Capex_Model!B10:K10)</f>
        <v>12000</v>
      </c>
      <c r="H22" s="32">
        <f>G22/Capex_Model!$K$22</f>
        <v>0.13968106157606797</v>
      </c>
      <c r="I22" s="24" t="s">
        <v>43</v>
      </c>
      <c r="J22" s="17"/>
      <c r="K22" s="17"/>
    </row>
    <row r="23" spans="1:11" ht="21.75" customHeight="1" x14ac:dyDescent="0.25">
      <c r="A23" s="30" t="s">
        <v>44</v>
      </c>
      <c r="B23" s="31">
        <f>Revenue_Bridge!K8+Revenue_Bridge!K9</f>
        <v>16285.066052652857</v>
      </c>
      <c r="C23" s="32">
        <f>B23/Revenue_Bridge!$K$10</f>
        <v>0.56090284336746021</v>
      </c>
      <c r="D23" s="24" t="s">
        <v>45</v>
      </c>
      <c r="E23" s="17"/>
      <c r="F23" s="30" t="s">
        <v>46</v>
      </c>
      <c r="G23" s="31">
        <f>SUM(Capex_Model!B11:K11)</f>
        <v>10500</v>
      </c>
      <c r="H23" s="32">
        <f>G23/Capex_Model!$K$22</f>
        <v>0.12222092887905948</v>
      </c>
      <c r="I23" s="24" t="s">
        <v>47</v>
      </c>
      <c r="J23" s="33"/>
      <c r="K23" s="33"/>
    </row>
    <row r="24" spans="1:11" ht="21.75" customHeight="1" x14ac:dyDescent="0.25">
      <c r="A24" s="30" t="s">
        <v>48</v>
      </c>
      <c r="B24" s="34" t="s">
        <v>49</v>
      </c>
      <c r="C24" s="34" t="s">
        <v>50</v>
      </c>
      <c r="D24" s="24" t="s">
        <v>51</v>
      </c>
      <c r="E24" s="33"/>
      <c r="F24" s="30" t="s">
        <v>52</v>
      </c>
      <c r="G24" s="31">
        <f>SUM(Capex_Model!B12:K12)</f>
        <v>19200</v>
      </c>
      <c r="H24" s="32">
        <f>G24/Capex_Model!$K$22</f>
        <v>0.22348969852170877</v>
      </c>
      <c r="I24" s="24" t="s">
        <v>53</v>
      </c>
      <c r="J24" s="33"/>
      <c r="K24" s="33"/>
    </row>
    <row r="25" spans="1:11" ht="21.75" customHeight="1" x14ac:dyDescent="0.25">
      <c r="A25" s="21" t="s">
        <v>54</v>
      </c>
      <c r="B25" s="35">
        <f>SUM(B21:B23)</f>
        <v>29033.666427652857</v>
      </c>
      <c r="C25" s="36">
        <f>SUM(C21:C23)</f>
        <v>1</v>
      </c>
      <c r="D25" s="33"/>
      <c r="E25" s="33"/>
      <c r="F25" s="30" t="s">
        <v>55</v>
      </c>
      <c r="G25" s="31">
        <f>Capex_Model!K22-SUM(Capex_Model!B9:K12)</f>
        <v>7810</v>
      </c>
      <c r="H25" s="32">
        <f>G25/Capex_Model!$K$22</f>
        <v>9.0909090909090912E-2</v>
      </c>
      <c r="I25" s="24" t="s">
        <v>56</v>
      </c>
      <c r="J25" s="33"/>
      <c r="K25" s="33"/>
    </row>
    <row r="26" spans="1:11" ht="19.5" customHeight="1" x14ac:dyDescent="0.25">
      <c r="A26" s="33"/>
      <c r="B26" s="33"/>
      <c r="C26" s="33"/>
      <c r="D26" s="33"/>
      <c r="E26" s="33"/>
      <c r="F26" s="21" t="s">
        <v>54</v>
      </c>
      <c r="G26" s="35">
        <f>SUM(G21:G25)</f>
        <v>85910</v>
      </c>
      <c r="H26" s="36">
        <f>SUM(H21:H25)</f>
        <v>0.99999999999999989</v>
      </c>
      <c r="I26" s="33"/>
      <c r="J26" s="33"/>
      <c r="K26" s="33"/>
    </row>
    <row r="27" spans="1:11" ht="33.75" customHeight="1" x14ac:dyDescent="0.25">
      <c r="A27" s="37"/>
      <c r="B27" s="38"/>
      <c r="C27" s="38"/>
      <c r="D27" s="38"/>
      <c r="E27" s="38"/>
      <c r="F27" s="39" t="s">
        <v>57</v>
      </c>
      <c r="G27" s="40" t="s">
        <v>58</v>
      </c>
      <c r="H27" s="5" t="s">
        <v>59</v>
      </c>
      <c r="I27" s="5"/>
      <c r="J27" s="38"/>
      <c r="K27" s="38"/>
    </row>
    <row r="28" spans="1:11" ht="7.5" customHeight="1" x14ac:dyDescent="0.25">
      <c r="A28" s="33"/>
      <c r="B28" s="33"/>
      <c r="C28" s="33"/>
      <c r="D28" s="33"/>
      <c r="E28" s="33"/>
      <c r="F28" s="17"/>
      <c r="G28" s="33"/>
      <c r="H28" s="33"/>
      <c r="I28" s="33"/>
      <c r="J28" s="33"/>
      <c r="K28" s="33"/>
    </row>
    <row r="29" spans="1:11" ht="21.75" customHeight="1" x14ac:dyDescent="0.25">
      <c r="A29" s="11" t="s">
        <v>60</v>
      </c>
      <c r="B29" s="11"/>
      <c r="C29" s="11"/>
      <c r="D29" s="11"/>
      <c r="E29" s="11"/>
      <c r="F29" s="11"/>
      <c r="G29" s="11"/>
      <c r="H29" s="11"/>
      <c r="I29" s="11"/>
      <c r="J29" s="41"/>
      <c r="K29" s="41"/>
    </row>
    <row r="30" spans="1:11" ht="19.5" customHeight="1" x14ac:dyDescent="0.25">
      <c r="A30" s="19" t="s">
        <v>61</v>
      </c>
      <c r="B30" s="19" t="s">
        <v>62</v>
      </c>
      <c r="C30" s="19" t="s">
        <v>63</v>
      </c>
      <c r="D30" s="19" t="s">
        <v>64</v>
      </c>
      <c r="F30" s="10" t="s">
        <v>65</v>
      </c>
      <c r="G30" s="10"/>
      <c r="H30" s="10"/>
      <c r="I30" s="10"/>
    </row>
    <row r="31" spans="1:11" ht="18" customHeight="1" x14ac:dyDescent="0.25">
      <c r="A31" s="30" t="s">
        <v>66</v>
      </c>
      <c r="B31" s="30" t="s">
        <v>67</v>
      </c>
      <c r="C31" s="34" t="s">
        <v>68</v>
      </c>
      <c r="D31" s="34" t="s">
        <v>69</v>
      </c>
      <c r="F31" s="9" t="s">
        <v>70</v>
      </c>
      <c r="G31" s="9"/>
      <c r="H31" s="9"/>
      <c r="I31" s="9"/>
    </row>
    <row r="32" spans="1:11" ht="18" customHeight="1" x14ac:dyDescent="0.25">
      <c r="A32" s="30" t="s">
        <v>71</v>
      </c>
      <c r="B32" s="30" t="s">
        <v>72</v>
      </c>
      <c r="C32" s="34" t="s">
        <v>73</v>
      </c>
      <c r="D32" s="34" t="s">
        <v>74</v>
      </c>
      <c r="F32" s="9" t="s">
        <v>75</v>
      </c>
      <c r="G32" s="9"/>
      <c r="H32" s="9"/>
      <c r="I32" s="9"/>
    </row>
    <row r="33" spans="1:11" ht="18" customHeight="1" x14ac:dyDescent="0.25">
      <c r="A33" s="30" t="s">
        <v>76</v>
      </c>
      <c r="B33" s="30" t="s">
        <v>77</v>
      </c>
      <c r="C33" s="34" t="s">
        <v>78</v>
      </c>
      <c r="D33" s="34" t="s">
        <v>79</v>
      </c>
      <c r="F33" s="9" t="s">
        <v>80</v>
      </c>
      <c r="G33" s="9"/>
      <c r="H33" s="9"/>
      <c r="I33" s="9"/>
    </row>
    <row r="34" spans="1:11" ht="18" customHeight="1" x14ac:dyDescent="0.25">
      <c r="A34" s="30" t="s">
        <v>81</v>
      </c>
      <c r="B34" s="30" t="s">
        <v>82</v>
      </c>
      <c r="C34" s="34" t="s">
        <v>83</v>
      </c>
      <c r="D34" s="34" t="s">
        <v>84</v>
      </c>
      <c r="F34" s="9" t="s">
        <v>85</v>
      </c>
      <c r="G34" s="9"/>
      <c r="H34" s="9"/>
      <c r="I34" s="9"/>
    </row>
    <row r="35" spans="1:11" ht="18" customHeight="1" x14ac:dyDescent="0.25">
      <c r="A35" s="30" t="s">
        <v>86</v>
      </c>
      <c r="B35" s="30" t="s">
        <v>87</v>
      </c>
      <c r="C35" s="34" t="s">
        <v>88</v>
      </c>
      <c r="D35" s="34" t="s">
        <v>89</v>
      </c>
      <c r="F35" s="9" t="s">
        <v>90</v>
      </c>
      <c r="G35" s="9"/>
      <c r="H35" s="9"/>
      <c r="I35" s="9"/>
    </row>
    <row r="36" spans="1:11" ht="18" customHeight="1" x14ac:dyDescent="0.25">
      <c r="A36" s="30" t="s">
        <v>91</v>
      </c>
      <c r="B36" s="30" t="s">
        <v>92</v>
      </c>
      <c r="C36" s="34" t="s">
        <v>93</v>
      </c>
      <c r="D36" s="34" t="s">
        <v>89</v>
      </c>
      <c r="F36" s="9" t="s">
        <v>94</v>
      </c>
      <c r="G36" s="9"/>
      <c r="H36" s="9"/>
      <c r="I36" s="9"/>
    </row>
    <row r="37" spans="1:11" ht="30" customHeight="1" x14ac:dyDescent="0.25">
      <c r="A37" s="4" t="s">
        <v>95</v>
      </c>
      <c r="B37" s="4"/>
      <c r="C37" s="4"/>
      <c r="D37" s="4"/>
      <c r="E37" s="4"/>
      <c r="F37" s="4"/>
      <c r="G37" s="4"/>
      <c r="H37" s="4"/>
      <c r="I37" s="4"/>
      <c r="J37" s="42"/>
      <c r="K37" s="42"/>
    </row>
  </sheetData>
  <mergeCells count="27">
    <mergeCell ref="F36:I36"/>
    <mergeCell ref="A37:I37"/>
    <mergeCell ref="F31:I31"/>
    <mergeCell ref="F32:I32"/>
    <mergeCell ref="F33:I33"/>
    <mergeCell ref="F34:I34"/>
    <mergeCell ref="F35:I35"/>
    <mergeCell ref="A19:D19"/>
    <mergeCell ref="F19:I19"/>
    <mergeCell ref="H27:I27"/>
    <mergeCell ref="A29:I29"/>
    <mergeCell ref="F30:I30"/>
    <mergeCell ref="A13:I13"/>
    <mergeCell ref="A14:I14"/>
    <mergeCell ref="A15:I15"/>
    <mergeCell ref="A16:I16"/>
    <mergeCell ref="A17:I17"/>
    <mergeCell ref="D7:I7"/>
    <mergeCell ref="D8:I8"/>
    <mergeCell ref="D9:I9"/>
    <mergeCell ref="D10:I10"/>
    <mergeCell ref="D11:I11"/>
    <mergeCell ref="A1:I1"/>
    <mergeCell ref="A2:I2"/>
    <mergeCell ref="A4:I4"/>
    <mergeCell ref="D5:I5"/>
    <mergeCell ref="D6:I6"/>
  </mergeCells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020"/>
    <pageSetUpPr fitToPage="1"/>
  </sheetPr>
  <dimension ref="A1:K56"/>
  <sheetViews>
    <sheetView topLeftCell="A36" zoomScaleNormal="100" workbookViewId="0">
      <selection activeCell="B7" sqref="B7"/>
    </sheetView>
  </sheetViews>
  <sheetFormatPr defaultColWidth="8.6640625" defaultRowHeight="13.2" x14ac:dyDescent="0.25"/>
  <cols>
    <col min="1" max="1" width="34" customWidth="1"/>
    <col min="2" max="2" width="24" customWidth="1"/>
    <col min="3" max="3" width="16" customWidth="1"/>
    <col min="4" max="4" width="64" customWidth="1"/>
  </cols>
  <sheetData>
    <row r="1" spans="1:11" ht="42" customHeight="1" x14ac:dyDescent="0.25">
      <c r="A1" s="14" t="s">
        <v>96</v>
      </c>
      <c r="B1" s="14"/>
      <c r="C1" s="14"/>
      <c r="D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97</v>
      </c>
      <c r="B3" s="19" t="s">
        <v>4</v>
      </c>
      <c r="C3" s="19" t="s">
        <v>5</v>
      </c>
      <c r="D3" s="19" t="s">
        <v>98</v>
      </c>
      <c r="E3" s="19"/>
      <c r="F3" s="19"/>
      <c r="G3" s="19"/>
      <c r="H3" s="19"/>
      <c r="I3" s="19"/>
      <c r="J3" s="19"/>
      <c r="K3" s="19"/>
    </row>
    <row r="4" spans="1:11" ht="27.75" customHeight="1" x14ac:dyDescent="0.25">
      <c r="A4" s="44" t="s">
        <v>99</v>
      </c>
      <c r="B4" s="45" t="s">
        <v>100</v>
      </c>
      <c r="C4" s="44"/>
      <c r="D4" s="44" t="s">
        <v>101</v>
      </c>
    </row>
    <row r="5" spans="1:11" ht="27.75" customHeight="1" x14ac:dyDescent="0.25">
      <c r="A5" s="44" t="s">
        <v>102</v>
      </c>
      <c r="B5" s="45" t="s">
        <v>103</v>
      </c>
      <c r="C5" s="44"/>
      <c r="D5" s="44" t="s">
        <v>104</v>
      </c>
    </row>
    <row r="6" spans="1:11" ht="27.75" customHeight="1" x14ac:dyDescent="0.25">
      <c r="A6" s="44" t="s">
        <v>105</v>
      </c>
      <c r="B6" s="45" t="s">
        <v>106</v>
      </c>
      <c r="C6" s="44"/>
      <c r="D6" s="44" t="s">
        <v>107</v>
      </c>
    </row>
    <row r="7" spans="1:11" ht="27.75" customHeight="1" x14ac:dyDescent="0.25">
      <c r="A7" s="44" t="s">
        <v>108</v>
      </c>
      <c r="B7" s="45" t="s">
        <v>109</v>
      </c>
      <c r="C7" s="44"/>
      <c r="D7" s="44" t="s">
        <v>110</v>
      </c>
    </row>
    <row r="8" spans="1:11" ht="27.75" customHeight="1" x14ac:dyDescent="0.25">
      <c r="A8" s="46" t="s">
        <v>111</v>
      </c>
      <c r="B8" s="47">
        <v>17</v>
      </c>
      <c r="C8" s="46" t="s">
        <v>112</v>
      </c>
      <c r="D8" s="44" t="s">
        <v>113</v>
      </c>
    </row>
    <row r="9" spans="1:11" ht="27.75" customHeight="1" x14ac:dyDescent="0.25">
      <c r="A9" s="46" t="s">
        <v>114</v>
      </c>
      <c r="B9" s="48">
        <v>0.15</v>
      </c>
      <c r="C9" s="46" t="s">
        <v>17</v>
      </c>
      <c r="D9" s="44" t="s">
        <v>115</v>
      </c>
    </row>
    <row r="10" spans="1:11" ht="27.75" customHeight="1" x14ac:dyDescent="0.25">
      <c r="A10" s="46" t="s">
        <v>116</v>
      </c>
      <c r="B10" s="49">
        <v>8</v>
      </c>
      <c r="C10" s="46" t="s">
        <v>117</v>
      </c>
      <c r="D10" s="44" t="s">
        <v>118</v>
      </c>
    </row>
    <row r="11" spans="1:11" ht="15" customHeight="1" x14ac:dyDescent="0.25">
      <c r="A11" s="46" t="s">
        <v>119</v>
      </c>
      <c r="B11" s="48">
        <v>0.27</v>
      </c>
      <c r="C11" s="46" t="s">
        <v>17</v>
      </c>
      <c r="D11" s="44" t="s">
        <v>120</v>
      </c>
    </row>
    <row r="12" spans="1:11" ht="15" customHeight="1" x14ac:dyDescent="0.25">
      <c r="A12" s="44" t="s">
        <v>121</v>
      </c>
      <c r="B12" s="50">
        <v>75000</v>
      </c>
      <c r="C12" s="44" t="s">
        <v>122</v>
      </c>
      <c r="D12" s="44" t="s">
        <v>123</v>
      </c>
    </row>
    <row r="13" spans="1:11" ht="15" customHeight="1" x14ac:dyDescent="0.25">
      <c r="A13" s="46" t="s">
        <v>124</v>
      </c>
      <c r="B13" s="48">
        <v>0.12</v>
      </c>
      <c r="C13" s="46" t="s">
        <v>125</v>
      </c>
      <c r="D13" s="44" t="s">
        <v>126</v>
      </c>
    </row>
    <row r="14" spans="1:11" ht="15" customHeight="1" x14ac:dyDescent="0.25">
      <c r="A14" s="46" t="s">
        <v>127</v>
      </c>
      <c r="B14" s="48">
        <v>0.12</v>
      </c>
      <c r="C14" s="46" t="s">
        <v>125</v>
      </c>
      <c r="D14" s="44" t="s">
        <v>128</v>
      </c>
    </row>
    <row r="15" spans="1:11" ht="15" customHeight="1" x14ac:dyDescent="0.25">
      <c r="A15" s="44" t="s">
        <v>129</v>
      </c>
      <c r="B15" s="51">
        <v>0.15</v>
      </c>
      <c r="C15" s="44" t="s">
        <v>130</v>
      </c>
      <c r="D15" s="44" t="s">
        <v>131</v>
      </c>
    </row>
    <row r="16" spans="1:11" ht="27.75" customHeight="1" x14ac:dyDescent="0.25">
      <c r="A16" s="44" t="s">
        <v>132</v>
      </c>
      <c r="B16" s="51">
        <v>7.4999999999999997E-2</v>
      </c>
      <c r="C16" s="44" t="s">
        <v>133</v>
      </c>
      <c r="D16" s="44" t="s">
        <v>134</v>
      </c>
    </row>
    <row r="17" spans="1:4" ht="27.75" customHeight="1" x14ac:dyDescent="0.25">
      <c r="A17" s="44" t="s">
        <v>135</v>
      </c>
      <c r="B17" s="51">
        <v>0.98</v>
      </c>
      <c r="C17" s="44" t="s">
        <v>17</v>
      </c>
      <c r="D17" s="44" t="s">
        <v>136</v>
      </c>
    </row>
    <row r="18" spans="1:4" ht="27.75" customHeight="1" x14ac:dyDescent="0.25">
      <c r="A18" s="44" t="s">
        <v>137</v>
      </c>
      <c r="B18" s="52">
        <v>19</v>
      </c>
      <c r="C18" s="44" t="s">
        <v>138</v>
      </c>
      <c r="D18" s="44" t="s">
        <v>139</v>
      </c>
    </row>
    <row r="19" spans="1:4" ht="15" customHeight="1" x14ac:dyDescent="0.25">
      <c r="A19" s="44" t="s">
        <v>140</v>
      </c>
      <c r="B19" s="52">
        <v>24</v>
      </c>
      <c r="C19" s="44" t="s">
        <v>138</v>
      </c>
      <c r="D19" s="44" t="s">
        <v>141</v>
      </c>
    </row>
    <row r="20" spans="1:4" ht="15" customHeight="1" x14ac:dyDescent="0.25">
      <c r="A20" s="44" t="s">
        <v>142</v>
      </c>
      <c r="B20" s="53">
        <v>1.2</v>
      </c>
      <c r="C20" s="44" t="s">
        <v>143</v>
      </c>
      <c r="D20" s="44" t="s">
        <v>144</v>
      </c>
    </row>
    <row r="21" spans="1:4" ht="15" customHeight="1" x14ac:dyDescent="0.25">
      <c r="A21" s="44" t="s">
        <v>145</v>
      </c>
      <c r="B21" s="53">
        <v>0.8</v>
      </c>
      <c r="C21" s="44" t="s">
        <v>143</v>
      </c>
      <c r="D21" s="44" t="s">
        <v>146</v>
      </c>
    </row>
    <row r="22" spans="1:4" ht="27.75" customHeight="1" x14ac:dyDescent="0.25">
      <c r="A22" s="44" t="s">
        <v>147</v>
      </c>
      <c r="B22" s="53">
        <v>0.6</v>
      </c>
      <c r="C22" s="44" t="s">
        <v>143</v>
      </c>
      <c r="D22" s="44" t="s">
        <v>148</v>
      </c>
    </row>
    <row r="23" spans="1:4" ht="27.75" customHeight="1" x14ac:dyDescent="0.25">
      <c r="A23" s="44" t="s">
        <v>149</v>
      </c>
      <c r="B23" s="53">
        <v>0.5</v>
      </c>
      <c r="C23" s="44" t="s">
        <v>143</v>
      </c>
      <c r="D23" s="44" t="s">
        <v>150</v>
      </c>
    </row>
    <row r="24" spans="1:4" ht="15" customHeight="1" x14ac:dyDescent="0.25">
      <c r="A24" s="44" t="s">
        <v>151</v>
      </c>
      <c r="B24" s="53">
        <v>0.3</v>
      </c>
      <c r="C24" s="44" t="s">
        <v>143</v>
      </c>
      <c r="D24" s="44" t="s">
        <v>152</v>
      </c>
    </row>
    <row r="25" spans="1:4" ht="27.75" customHeight="1" x14ac:dyDescent="0.25">
      <c r="A25" s="44" t="s">
        <v>153</v>
      </c>
      <c r="B25" s="53">
        <v>2.5</v>
      </c>
      <c r="C25" s="44" t="s">
        <v>143</v>
      </c>
      <c r="D25" s="44" t="s">
        <v>154</v>
      </c>
    </row>
    <row r="26" spans="1:4" ht="15" customHeight="1" x14ac:dyDescent="0.25">
      <c r="A26" s="44" t="s">
        <v>155</v>
      </c>
      <c r="B26" s="51">
        <v>0.02</v>
      </c>
      <c r="C26" s="44" t="s">
        <v>125</v>
      </c>
      <c r="D26" s="44" t="s">
        <v>156</v>
      </c>
    </row>
    <row r="27" spans="1:4" ht="27.75" customHeight="1" x14ac:dyDescent="0.25">
      <c r="A27" s="44" t="s">
        <v>157</v>
      </c>
      <c r="B27" s="54">
        <v>0.75</v>
      </c>
      <c r="C27" s="44" t="s">
        <v>158</v>
      </c>
      <c r="D27" s="44" t="s">
        <v>159</v>
      </c>
    </row>
    <row r="28" spans="1:4" ht="27.75" customHeight="1" x14ac:dyDescent="0.25">
      <c r="A28" s="44" t="s">
        <v>160</v>
      </c>
      <c r="B28" s="53">
        <v>80</v>
      </c>
      <c r="C28" s="44" t="s">
        <v>161</v>
      </c>
      <c r="D28" s="44" t="s">
        <v>162</v>
      </c>
    </row>
    <row r="29" spans="1:4" ht="27.75" customHeight="1" x14ac:dyDescent="0.25">
      <c r="A29" s="44" t="s">
        <v>163</v>
      </c>
      <c r="B29" s="54">
        <v>3</v>
      </c>
      <c r="C29" s="44" t="s">
        <v>164</v>
      </c>
      <c r="D29" s="44" t="s">
        <v>165</v>
      </c>
    </row>
    <row r="30" spans="1:4" ht="15" customHeight="1" x14ac:dyDescent="0.25">
      <c r="A30" s="44" t="s">
        <v>166</v>
      </c>
      <c r="B30" s="53">
        <v>2</v>
      </c>
      <c r="C30" s="44" t="s">
        <v>143</v>
      </c>
      <c r="D30" s="44" t="s">
        <v>167</v>
      </c>
    </row>
    <row r="31" spans="1:4" ht="15" customHeight="1" x14ac:dyDescent="0.25">
      <c r="A31" s="44" t="s">
        <v>168</v>
      </c>
      <c r="B31" s="52">
        <v>25</v>
      </c>
      <c r="C31" s="44" t="s">
        <v>169</v>
      </c>
      <c r="D31" s="44" t="s">
        <v>170</v>
      </c>
    </row>
    <row r="32" spans="1:4" ht="15" customHeight="1" x14ac:dyDescent="0.25">
      <c r="A32" s="44" t="s">
        <v>171</v>
      </c>
      <c r="B32" s="54">
        <v>700</v>
      </c>
      <c r="C32" s="44" t="s">
        <v>172</v>
      </c>
      <c r="D32" s="44" t="s">
        <v>173</v>
      </c>
    </row>
    <row r="33" spans="1:4" ht="15" customHeight="1" x14ac:dyDescent="0.25">
      <c r="A33" s="44" t="s">
        <v>174</v>
      </c>
      <c r="B33" s="54">
        <v>12.5</v>
      </c>
      <c r="C33" s="44" t="s">
        <v>175</v>
      </c>
      <c r="D33" s="44" t="s">
        <v>176</v>
      </c>
    </row>
    <row r="34" spans="1:4" ht="15" customHeight="1" x14ac:dyDescent="0.25">
      <c r="A34" s="44" t="s">
        <v>177</v>
      </c>
      <c r="B34" s="51">
        <v>0.05</v>
      </c>
      <c r="C34" s="44" t="s">
        <v>17</v>
      </c>
      <c r="D34" s="44" t="s">
        <v>178</v>
      </c>
    </row>
    <row r="35" spans="1:4" ht="27.75" customHeight="1" x14ac:dyDescent="0.25">
      <c r="A35" s="44" t="s">
        <v>179</v>
      </c>
      <c r="B35" s="54">
        <v>20</v>
      </c>
      <c r="C35" s="44" t="s">
        <v>180</v>
      </c>
      <c r="D35" s="44" t="s">
        <v>181</v>
      </c>
    </row>
    <row r="36" spans="1:4" ht="27.75" customHeight="1" x14ac:dyDescent="0.25">
      <c r="A36" s="44" t="s">
        <v>182</v>
      </c>
      <c r="B36" s="54">
        <v>5</v>
      </c>
      <c r="C36" s="44" t="s">
        <v>180</v>
      </c>
      <c r="D36" s="44" t="s">
        <v>183</v>
      </c>
    </row>
    <row r="37" spans="1:4" ht="15" customHeight="1" x14ac:dyDescent="0.25">
      <c r="A37" s="44" t="s">
        <v>184</v>
      </c>
      <c r="B37" s="54">
        <v>7</v>
      </c>
      <c r="C37" s="44" t="s">
        <v>180</v>
      </c>
      <c r="D37" s="44" t="s">
        <v>185</v>
      </c>
    </row>
    <row r="38" spans="1:4" ht="15" customHeight="1" x14ac:dyDescent="0.25">
      <c r="A38" s="44" t="s">
        <v>186</v>
      </c>
      <c r="B38" s="54">
        <v>40</v>
      </c>
      <c r="C38" s="44" t="s">
        <v>180</v>
      </c>
      <c r="D38" s="44" t="s">
        <v>187</v>
      </c>
    </row>
    <row r="39" spans="1:4" ht="27.75" customHeight="1" x14ac:dyDescent="0.25">
      <c r="A39" s="44" t="s">
        <v>188</v>
      </c>
      <c r="B39" s="54">
        <v>550</v>
      </c>
      <c r="C39" s="44" t="s">
        <v>180</v>
      </c>
      <c r="D39" s="44" t="s">
        <v>189</v>
      </c>
    </row>
    <row r="40" spans="1:4" ht="27.75" customHeight="1" x14ac:dyDescent="0.25">
      <c r="A40" s="44" t="s">
        <v>190</v>
      </c>
      <c r="B40" s="54">
        <v>180</v>
      </c>
      <c r="C40" s="44" t="s">
        <v>191</v>
      </c>
      <c r="D40" s="44" t="s">
        <v>192</v>
      </c>
    </row>
    <row r="41" spans="1:4" ht="27.75" customHeight="1" x14ac:dyDescent="0.25">
      <c r="A41" s="44" t="s">
        <v>193</v>
      </c>
      <c r="B41" s="51">
        <v>0.1</v>
      </c>
      <c r="C41" s="44" t="s">
        <v>125</v>
      </c>
      <c r="D41" s="44" t="s">
        <v>194</v>
      </c>
    </row>
    <row r="42" spans="1:4" ht="15" customHeight="1" x14ac:dyDescent="0.25">
      <c r="A42" s="44" t="s">
        <v>195</v>
      </c>
      <c r="B42" s="51">
        <v>0.35</v>
      </c>
      <c r="C42" s="44" t="s">
        <v>196</v>
      </c>
      <c r="D42" s="44" t="s">
        <v>197</v>
      </c>
    </row>
    <row r="43" spans="1:4" ht="15" customHeight="1" x14ac:dyDescent="0.25">
      <c r="A43" s="44" t="s">
        <v>55</v>
      </c>
      <c r="B43" s="51">
        <v>0.1</v>
      </c>
      <c r="C43" s="44" t="s">
        <v>17</v>
      </c>
      <c r="D43" s="44" t="s">
        <v>198</v>
      </c>
    </row>
    <row r="44" spans="1:4" ht="15" customHeight="1" x14ac:dyDescent="0.25">
      <c r="A44" s="44" t="s">
        <v>199</v>
      </c>
      <c r="B44" s="51">
        <v>0.5</v>
      </c>
      <c r="C44" s="44" t="s">
        <v>17</v>
      </c>
      <c r="D44" s="44" t="s">
        <v>200</v>
      </c>
    </row>
    <row r="45" spans="1:4" ht="27.75" customHeight="1" x14ac:dyDescent="0.25">
      <c r="A45" s="44" t="s">
        <v>201</v>
      </c>
      <c r="B45" s="51">
        <v>0.5</v>
      </c>
      <c r="C45" s="44" t="s">
        <v>17</v>
      </c>
      <c r="D45" s="44" t="s">
        <v>202</v>
      </c>
    </row>
    <row r="46" spans="1:4" ht="15" customHeight="1" x14ac:dyDescent="0.25">
      <c r="A46" s="44" t="s">
        <v>203</v>
      </c>
      <c r="B46" s="51">
        <v>0.55000000000000004</v>
      </c>
      <c r="C46" s="44" t="s">
        <v>17</v>
      </c>
      <c r="D46" s="44" t="s">
        <v>204</v>
      </c>
    </row>
    <row r="47" spans="1:4" ht="15" customHeight="1" x14ac:dyDescent="0.25">
      <c r="A47" s="44" t="s">
        <v>205</v>
      </c>
      <c r="B47" s="51">
        <v>0.35</v>
      </c>
      <c r="C47" s="44" t="s">
        <v>17</v>
      </c>
      <c r="D47" s="44" t="s">
        <v>206</v>
      </c>
    </row>
    <row r="48" spans="1:4" ht="15" customHeight="1" x14ac:dyDescent="0.25">
      <c r="A48" s="44" t="s">
        <v>207</v>
      </c>
      <c r="B48" s="51">
        <v>0.1</v>
      </c>
      <c r="C48" s="44" t="s">
        <v>17</v>
      </c>
      <c r="D48" s="44" t="s">
        <v>208</v>
      </c>
    </row>
    <row r="49" spans="1:4" ht="15" customHeight="1" x14ac:dyDescent="0.25">
      <c r="A49" s="44" t="s">
        <v>209</v>
      </c>
      <c r="B49" s="51">
        <v>0.3</v>
      </c>
      <c r="C49" s="44" t="s">
        <v>17</v>
      </c>
      <c r="D49" s="44" t="s">
        <v>210</v>
      </c>
    </row>
    <row r="50" spans="1:4" ht="15" customHeight="1" x14ac:dyDescent="0.25">
      <c r="A50" s="44" t="s">
        <v>211</v>
      </c>
      <c r="B50" s="51">
        <v>0.2</v>
      </c>
      <c r="C50" s="44" t="s">
        <v>17</v>
      </c>
      <c r="D50" s="44" t="s">
        <v>212</v>
      </c>
    </row>
    <row r="51" spans="1:4" ht="15" customHeight="1" x14ac:dyDescent="0.25">
      <c r="A51" s="44" t="s">
        <v>213</v>
      </c>
      <c r="B51" s="51">
        <v>0.13</v>
      </c>
      <c r="C51" s="44" t="s">
        <v>125</v>
      </c>
      <c r="D51" s="44" t="s">
        <v>214</v>
      </c>
    </row>
    <row r="52" spans="1:4" ht="15" customHeight="1" x14ac:dyDescent="0.25">
      <c r="A52" s="44" t="s">
        <v>215</v>
      </c>
      <c r="B52" s="52">
        <v>7</v>
      </c>
      <c r="C52" s="44" t="s">
        <v>216</v>
      </c>
      <c r="D52" s="44" t="s">
        <v>217</v>
      </c>
    </row>
    <row r="53" spans="1:4" ht="15" customHeight="1" x14ac:dyDescent="0.25">
      <c r="A53" s="44" t="s">
        <v>218</v>
      </c>
      <c r="B53" s="52">
        <v>1</v>
      </c>
      <c r="C53" s="44" t="s">
        <v>216</v>
      </c>
      <c r="D53" s="44" t="s">
        <v>219</v>
      </c>
    </row>
    <row r="54" spans="1:4" ht="15" customHeight="1" x14ac:dyDescent="0.3">
      <c r="A54" s="55" t="s">
        <v>220</v>
      </c>
      <c r="B54" s="56">
        <v>0</v>
      </c>
      <c r="C54" s="55" t="s">
        <v>221</v>
      </c>
      <c r="D54" s="55" t="s">
        <v>222</v>
      </c>
    </row>
    <row r="56" spans="1:4" ht="12.75" customHeight="1" x14ac:dyDescent="0.25">
      <c r="A56" s="57" t="s">
        <v>223</v>
      </c>
    </row>
  </sheetData>
  <mergeCells count="1">
    <mergeCell ref="A1:D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4155"/>
    <pageSetUpPr fitToPage="1"/>
  </sheetPr>
  <dimension ref="A1:K26"/>
  <sheetViews>
    <sheetView zoomScaleNormal="100" workbookViewId="0">
      <selection sqref="A1:K1"/>
    </sheetView>
  </sheetViews>
  <sheetFormatPr defaultColWidth="8.6640625" defaultRowHeight="13.2" x14ac:dyDescent="0.25"/>
  <cols>
    <col min="1" max="1" width="30" customWidth="1"/>
    <col min="2" max="11" width="12" customWidth="1"/>
  </cols>
  <sheetData>
    <row r="1" spans="1:11" ht="42" customHeight="1" x14ac:dyDescent="0.25">
      <c r="A1" s="14" t="s">
        <v>224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225</v>
      </c>
      <c r="B3" s="19" t="s">
        <v>226</v>
      </c>
      <c r="C3" s="19" t="s">
        <v>227</v>
      </c>
      <c r="D3" s="19" t="s">
        <v>92</v>
      </c>
      <c r="E3" s="19" t="s">
        <v>228</v>
      </c>
      <c r="F3" s="19" t="s">
        <v>229</v>
      </c>
      <c r="G3" s="19" t="s">
        <v>230</v>
      </c>
      <c r="H3" s="19" t="s">
        <v>231</v>
      </c>
      <c r="I3" s="19" t="s">
        <v>232</v>
      </c>
      <c r="J3" s="19" t="s">
        <v>233</v>
      </c>
      <c r="K3" s="19" t="s">
        <v>234</v>
      </c>
    </row>
    <row r="4" spans="1:11" ht="15" customHeight="1" x14ac:dyDescent="0.3">
      <c r="A4" s="58" t="s">
        <v>100</v>
      </c>
      <c r="B4" s="59"/>
      <c r="C4" s="59"/>
      <c r="D4" s="59"/>
      <c r="E4" s="59"/>
      <c r="F4" s="59"/>
      <c r="G4" s="59"/>
      <c r="H4" s="59"/>
      <c r="I4" s="59"/>
      <c r="J4" s="59"/>
      <c r="K4" s="59"/>
    </row>
    <row r="5" spans="1:11" ht="15" customHeight="1" x14ac:dyDescent="0.3">
      <c r="A5" s="55" t="s">
        <v>235</v>
      </c>
      <c r="B5" s="60">
        <v>20</v>
      </c>
      <c r="C5" s="60">
        <v>100</v>
      </c>
      <c r="D5" s="60">
        <v>200</v>
      </c>
      <c r="E5" s="60">
        <v>200</v>
      </c>
      <c r="F5" s="60">
        <v>200</v>
      </c>
      <c r="G5" s="60">
        <v>200</v>
      </c>
      <c r="H5" s="60">
        <v>200</v>
      </c>
      <c r="I5" s="60">
        <v>200</v>
      </c>
      <c r="J5" s="60">
        <v>200</v>
      </c>
      <c r="K5" s="60">
        <v>200</v>
      </c>
    </row>
    <row r="6" spans="1:11" ht="15" customHeight="1" x14ac:dyDescent="0.3">
      <c r="A6" s="55" t="s">
        <v>236</v>
      </c>
      <c r="B6" s="60">
        <v>20</v>
      </c>
      <c r="C6" s="60">
        <v>350</v>
      </c>
      <c r="D6" s="60">
        <v>350</v>
      </c>
      <c r="E6" s="60">
        <v>350</v>
      </c>
      <c r="F6" s="60">
        <v>350</v>
      </c>
      <c r="G6" s="60">
        <v>350</v>
      </c>
      <c r="H6" s="60">
        <v>350</v>
      </c>
      <c r="I6" s="60">
        <v>350</v>
      </c>
      <c r="J6" s="60">
        <v>350</v>
      </c>
      <c r="K6" s="60">
        <v>350</v>
      </c>
    </row>
    <row r="7" spans="1:11" ht="15" customHeight="1" x14ac:dyDescent="0.3">
      <c r="A7" s="55" t="s">
        <v>237</v>
      </c>
      <c r="B7" s="60">
        <v>0</v>
      </c>
      <c r="C7" s="60">
        <v>450</v>
      </c>
      <c r="D7" s="60">
        <v>450</v>
      </c>
      <c r="E7" s="60">
        <v>450</v>
      </c>
      <c r="F7" s="60">
        <v>450</v>
      </c>
      <c r="G7" s="60">
        <v>450</v>
      </c>
      <c r="H7" s="60">
        <v>450</v>
      </c>
      <c r="I7" s="60">
        <v>450</v>
      </c>
      <c r="J7" s="60">
        <v>450</v>
      </c>
      <c r="K7" s="60">
        <v>450</v>
      </c>
    </row>
    <row r="8" spans="1:11" ht="15" customHeight="1" x14ac:dyDescent="0.3">
      <c r="A8" s="55" t="s">
        <v>238</v>
      </c>
      <c r="B8" s="60">
        <v>0</v>
      </c>
      <c r="C8" s="60">
        <v>350</v>
      </c>
      <c r="D8" s="60">
        <v>350</v>
      </c>
      <c r="E8" s="60">
        <v>350</v>
      </c>
      <c r="F8" s="60">
        <v>350</v>
      </c>
      <c r="G8" s="60">
        <v>350</v>
      </c>
      <c r="H8" s="60">
        <v>350</v>
      </c>
      <c r="I8" s="60">
        <v>350</v>
      </c>
      <c r="J8" s="60">
        <v>350</v>
      </c>
      <c r="K8" s="60">
        <v>350</v>
      </c>
    </row>
    <row r="9" spans="1:11" ht="15" customHeight="1" x14ac:dyDescent="0.3">
      <c r="A9" s="55" t="s">
        <v>239</v>
      </c>
      <c r="B9" s="60">
        <v>0</v>
      </c>
      <c r="C9" s="60">
        <v>100</v>
      </c>
      <c r="D9" s="60">
        <v>650</v>
      </c>
      <c r="E9" s="60">
        <v>850</v>
      </c>
      <c r="F9" s="60">
        <v>1050</v>
      </c>
      <c r="G9" s="60">
        <v>1050</v>
      </c>
      <c r="H9" s="60">
        <v>1050</v>
      </c>
      <c r="I9" s="60">
        <v>1050</v>
      </c>
      <c r="J9" s="60">
        <v>1050</v>
      </c>
      <c r="K9" s="60">
        <v>1050</v>
      </c>
    </row>
    <row r="10" spans="1:11" ht="15" customHeight="1" x14ac:dyDescent="0.3">
      <c r="A10" s="61" t="s">
        <v>240</v>
      </c>
      <c r="B10" s="62">
        <v>40</v>
      </c>
      <c r="C10" s="62">
        <v>1350</v>
      </c>
      <c r="D10" s="62">
        <v>2000</v>
      </c>
      <c r="E10" s="62">
        <v>2200</v>
      </c>
      <c r="F10" s="62">
        <v>2400</v>
      </c>
      <c r="G10" s="62">
        <v>2400</v>
      </c>
      <c r="H10" s="62">
        <v>2400</v>
      </c>
      <c r="I10" s="62">
        <v>2400</v>
      </c>
      <c r="J10" s="62">
        <v>2400</v>
      </c>
      <c r="K10" s="62">
        <v>2400</v>
      </c>
    </row>
    <row r="11" spans="1:11" ht="15" customHeight="1" x14ac:dyDescent="0.3">
      <c r="A11" s="55"/>
      <c r="B11" s="63"/>
      <c r="C11" s="63"/>
      <c r="D11" s="63"/>
      <c r="E11" s="63"/>
      <c r="F11" s="63"/>
      <c r="G11" s="63"/>
      <c r="H11" s="63"/>
      <c r="I11" s="63"/>
      <c r="J11" s="63"/>
      <c r="K11" s="63"/>
    </row>
    <row r="12" spans="1:11" ht="15" customHeight="1" x14ac:dyDescent="0.3">
      <c r="A12" s="58" t="s">
        <v>241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</row>
    <row r="13" spans="1:11" ht="15" customHeight="1" x14ac:dyDescent="0.3">
      <c r="A13" s="55" t="s">
        <v>235</v>
      </c>
      <c r="B13" s="60">
        <v>20</v>
      </c>
      <c r="C13" s="60">
        <v>80</v>
      </c>
      <c r="D13" s="60">
        <v>120</v>
      </c>
      <c r="E13" s="60">
        <v>160</v>
      </c>
      <c r="F13" s="60">
        <v>200</v>
      </c>
      <c r="G13" s="60">
        <v>200</v>
      </c>
      <c r="H13" s="60">
        <v>200</v>
      </c>
      <c r="I13" s="60">
        <v>200</v>
      </c>
      <c r="J13" s="60">
        <v>200</v>
      </c>
      <c r="K13" s="60">
        <v>200</v>
      </c>
    </row>
    <row r="14" spans="1:11" ht="15" customHeight="1" x14ac:dyDescent="0.3">
      <c r="A14" s="55" t="s">
        <v>236</v>
      </c>
      <c r="B14" s="60">
        <v>20</v>
      </c>
      <c r="C14" s="60">
        <v>100</v>
      </c>
      <c r="D14" s="60">
        <v>200</v>
      </c>
      <c r="E14" s="60">
        <v>280</v>
      </c>
      <c r="F14" s="60">
        <v>350</v>
      </c>
      <c r="G14" s="60">
        <v>350</v>
      </c>
      <c r="H14" s="60">
        <v>350</v>
      </c>
      <c r="I14" s="60">
        <v>350</v>
      </c>
      <c r="J14" s="60">
        <v>350</v>
      </c>
      <c r="K14" s="60">
        <v>350</v>
      </c>
    </row>
    <row r="15" spans="1:11" ht="15" customHeight="1" x14ac:dyDescent="0.3">
      <c r="A15" s="55" t="s">
        <v>237</v>
      </c>
      <c r="B15" s="60">
        <v>0</v>
      </c>
      <c r="C15" s="60">
        <v>0</v>
      </c>
      <c r="D15" s="60">
        <v>150</v>
      </c>
      <c r="E15" s="60">
        <v>300</v>
      </c>
      <c r="F15" s="60">
        <v>450</v>
      </c>
      <c r="G15" s="60">
        <v>450</v>
      </c>
      <c r="H15" s="60">
        <v>450</v>
      </c>
      <c r="I15" s="60">
        <v>450</v>
      </c>
      <c r="J15" s="60">
        <v>450</v>
      </c>
      <c r="K15" s="60">
        <v>450</v>
      </c>
    </row>
    <row r="16" spans="1:11" ht="15" customHeight="1" x14ac:dyDescent="0.3">
      <c r="A16" s="55" t="s">
        <v>238</v>
      </c>
      <c r="B16" s="60">
        <v>0</v>
      </c>
      <c r="C16" s="60">
        <v>0</v>
      </c>
      <c r="D16" s="60">
        <v>0</v>
      </c>
      <c r="E16" s="60">
        <v>150</v>
      </c>
      <c r="F16" s="60">
        <v>300</v>
      </c>
      <c r="G16" s="60">
        <v>350</v>
      </c>
      <c r="H16" s="60">
        <v>350</v>
      </c>
      <c r="I16" s="60">
        <v>350</v>
      </c>
      <c r="J16" s="60">
        <v>350</v>
      </c>
      <c r="K16" s="60">
        <v>350</v>
      </c>
    </row>
    <row r="17" spans="1:11" ht="15" customHeight="1" x14ac:dyDescent="0.3">
      <c r="A17" s="55" t="s">
        <v>239</v>
      </c>
      <c r="B17" s="60">
        <v>0</v>
      </c>
      <c r="C17" s="60">
        <v>20</v>
      </c>
      <c r="D17" s="60">
        <v>130</v>
      </c>
      <c r="E17" s="60">
        <v>300</v>
      </c>
      <c r="F17" s="60">
        <v>500</v>
      </c>
      <c r="G17" s="60">
        <v>650</v>
      </c>
      <c r="H17" s="60">
        <v>850</v>
      </c>
      <c r="I17" s="60">
        <v>950</v>
      </c>
      <c r="J17" s="60">
        <v>1050</v>
      </c>
      <c r="K17" s="60">
        <v>1050</v>
      </c>
    </row>
    <row r="18" spans="1:11" ht="15" customHeight="1" x14ac:dyDescent="0.3">
      <c r="A18" s="61" t="s">
        <v>240</v>
      </c>
      <c r="B18" s="62">
        <v>40</v>
      </c>
      <c r="C18" s="62">
        <v>200</v>
      </c>
      <c r="D18" s="62">
        <v>600</v>
      </c>
      <c r="E18" s="62">
        <v>1190</v>
      </c>
      <c r="F18" s="62">
        <v>1800</v>
      </c>
      <c r="G18" s="62">
        <v>2000</v>
      </c>
      <c r="H18" s="62">
        <v>2200</v>
      </c>
      <c r="I18" s="62">
        <v>2300</v>
      </c>
      <c r="J18" s="62">
        <v>2400</v>
      </c>
      <c r="K18" s="62">
        <v>2400</v>
      </c>
    </row>
    <row r="19" spans="1:11" ht="15" customHeight="1" x14ac:dyDescent="0.3">
      <c r="A19" s="55"/>
      <c r="B19" s="63"/>
      <c r="C19" s="63"/>
      <c r="D19" s="63"/>
      <c r="E19" s="63"/>
      <c r="F19" s="63"/>
      <c r="G19" s="63"/>
      <c r="H19" s="63"/>
      <c r="I19" s="63"/>
      <c r="J19" s="63"/>
      <c r="K19" s="63"/>
    </row>
    <row r="20" spans="1:11" ht="15" customHeight="1" x14ac:dyDescent="0.3">
      <c r="A20" s="58" t="s">
        <v>242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</row>
    <row r="21" spans="1:11" ht="15" customHeight="1" x14ac:dyDescent="0.3">
      <c r="A21" s="55" t="s">
        <v>235</v>
      </c>
      <c r="B21" s="60">
        <v>10</v>
      </c>
      <c r="C21" s="60">
        <v>20</v>
      </c>
      <c r="D21" s="60">
        <v>30</v>
      </c>
      <c r="E21" s="60">
        <v>40</v>
      </c>
      <c r="F21" s="60">
        <v>50</v>
      </c>
      <c r="G21" s="60">
        <v>60</v>
      </c>
      <c r="H21" s="60">
        <v>70</v>
      </c>
      <c r="I21" s="60">
        <v>80</v>
      </c>
      <c r="J21" s="60">
        <v>90</v>
      </c>
      <c r="K21" s="60">
        <v>100</v>
      </c>
    </row>
    <row r="22" spans="1:11" ht="15" customHeight="1" x14ac:dyDescent="0.3">
      <c r="A22" s="55" t="s">
        <v>236</v>
      </c>
      <c r="B22" s="60">
        <v>10</v>
      </c>
      <c r="C22" s="60">
        <v>20</v>
      </c>
      <c r="D22" s="60">
        <v>40</v>
      </c>
      <c r="E22" s="60">
        <v>60</v>
      </c>
      <c r="F22" s="60">
        <v>80</v>
      </c>
      <c r="G22" s="60">
        <v>100</v>
      </c>
      <c r="H22" s="60">
        <v>120</v>
      </c>
      <c r="I22" s="60">
        <v>140</v>
      </c>
      <c r="J22" s="60">
        <v>160</v>
      </c>
      <c r="K22" s="60">
        <v>180</v>
      </c>
    </row>
    <row r="23" spans="1:11" ht="15" customHeight="1" x14ac:dyDescent="0.3">
      <c r="A23" s="55" t="s">
        <v>237</v>
      </c>
      <c r="B23" s="60">
        <v>0</v>
      </c>
      <c r="C23" s="60">
        <v>0</v>
      </c>
      <c r="D23" s="60">
        <v>0</v>
      </c>
      <c r="E23" s="60">
        <v>50</v>
      </c>
      <c r="F23" s="60">
        <v>100</v>
      </c>
      <c r="G23" s="60">
        <v>150</v>
      </c>
      <c r="H23" s="60">
        <v>200</v>
      </c>
      <c r="I23" s="60">
        <v>250</v>
      </c>
      <c r="J23" s="60">
        <v>300</v>
      </c>
      <c r="K23" s="60">
        <v>350</v>
      </c>
    </row>
    <row r="24" spans="1:11" ht="15" customHeight="1" x14ac:dyDescent="0.3">
      <c r="A24" s="55" t="s">
        <v>238</v>
      </c>
      <c r="B24" s="60">
        <v>0</v>
      </c>
      <c r="C24" s="60">
        <v>0</v>
      </c>
      <c r="D24" s="60">
        <v>0</v>
      </c>
      <c r="E24" s="60">
        <v>0</v>
      </c>
      <c r="F24" s="60">
        <v>50</v>
      </c>
      <c r="G24" s="60">
        <v>100</v>
      </c>
      <c r="H24" s="60">
        <v>150</v>
      </c>
      <c r="I24" s="60">
        <v>200</v>
      </c>
      <c r="J24" s="60">
        <v>250</v>
      </c>
      <c r="K24" s="60">
        <v>300</v>
      </c>
    </row>
    <row r="25" spans="1:11" ht="15" customHeight="1" x14ac:dyDescent="0.3">
      <c r="A25" s="55" t="s">
        <v>239</v>
      </c>
      <c r="B25" s="60">
        <v>0</v>
      </c>
      <c r="C25" s="60">
        <v>0</v>
      </c>
      <c r="D25" s="60">
        <v>20</v>
      </c>
      <c r="E25" s="60">
        <v>40</v>
      </c>
      <c r="F25" s="60">
        <v>80</v>
      </c>
      <c r="G25" s="60">
        <v>120</v>
      </c>
      <c r="H25" s="60">
        <v>180</v>
      </c>
      <c r="I25" s="60">
        <v>240</v>
      </c>
      <c r="J25" s="60">
        <v>300</v>
      </c>
      <c r="K25" s="60">
        <v>400</v>
      </c>
    </row>
    <row r="26" spans="1:11" ht="15" customHeight="1" x14ac:dyDescent="0.3">
      <c r="A26" s="61" t="s">
        <v>240</v>
      </c>
      <c r="B26" s="62">
        <v>20</v>
      </c>
      <c r="C26" s="62">
        <v>40</v>
      </c>
      <c r="D26" s="62">
        <v>90</v>
      </c>
      <c r="E26" s="62">
        <v>190</v>
      </c>
      <c r="F26" s="62">
        <v>360</v>
      </c>
      <c r="G26" s="62">
        <v>530</v>
      </c>
      <c r="H26" s="62">
        <v>720</v>
      </c>
      <c r="I26" s="62">
        <v>910</v>
      </c>
      <c r="J26" s="62">
        <v>1100</v>
      </c>
      <c r="K26" s="62">
        <v>1330</v>
      </c>
    </row>
  </sheetData>
  <mergeCells count="1">
    <mergeCell ref="A1:K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34155"/>
    <pageSetUpPr fitToPage="1"/>
  </sheetPr>
  <dimension ref="A1:O13"/>
  <sheetViews>
    <sheetView zoomScaleNormal="100" workbookViewId="0">
      <selection sqref="A1:O1"/>
    </sheetView>
  </sheetViews>
  <sheetFormatPr defaultColWidth="8.6640625" defaultRowHeight="13.2" x14ac:dyDescent="0.25"/>
  <cols>
    <col min="1" max="1" width="34" customWidth="1"/>
    <col min="2" max="13" width="16" customWidth="1"/>
  </cols>
  <sheetData>
    <row r="1" spans="1:15" ht="42" customHeight="1" x14ac:dyDescent="0.25">
      <c r="A1" s="14" t="s">
        <v>243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5" customHeight="1" x14ac:dyDescent="0.25">
      <c r="A3" s="19" t="s">
        <v>3</v>
      </c>
      <c r="B3" s="19" t="s">
        <v>67</v>
      </c>
      <c r="C3" s="19" t="s">
        <v>72</v>
      </c>
      <c r="D3" s="19" t="s">
        <v>244</v>
      </c>
      <c r="E3" s="19" t="s">
        <v>245</v>
      </c>
      <c r="F3" s="19" t="s">
        <v>246</v>
      </c>
      <c r="G3" s="19" t="s">
        <v>247</v>
      </c>
      <c r="H3" s="19" t="s">
        <v>248</v>
      </c>
      <c r="I3" s="19" t="s">
        <v>249</v>
      </c>
      <c r="J3" s="19" t="s">
        <v>250</v>
      </c>
      <c r="K3" s="19" t="s">
        <v>251</v>
      </c>
      <c r="L3" s="19" t="s">
        <v>252</v>
      </c>
      <c r="M3" s="19" t="s">
        <v>253</v>
      </c>
      <c r="N3" s="19"/>
      <c r="O3" s="19"/>
    </row>
    <row r="4" spans="1:15" ht="15" customHeight="1" x14ac:dyDescent="0.3">
      <c r="A4" s="64" t="s">
        <v>254</v>
      </c>
      <c r="B4" s="60">
        <v>20</v>
      </c>
      <c r="C4" s="60">
        <v>60</v>
      </c>
      <c r="D4" s="60">
        <v>100</v>
      </c>
      <c r="E4" s="60">
        <v>100</v>
      </c>
      <c r="F4" s="60">
        <v>150</v>
      </c>
      <c r="G4" s="60">
        <v>200</v>
      </c>
      <c r="H4" s="60">
        <v>200</v>
      </c>
      <c r="I4" s="60">
        <v>200</v>
      </c>
      <c r="J4" s="60">
        <v>200</v>
      </c>
      <c r="K4" s="60">
        <v>200</v>
      </c>
      <c r="L4" s="63">
        <v>200</v>
      </c>
      <c r="M4" s="63">
        <v>200</v>
      </c>
      <c r="N4" s="55"/>
      <c r="O4" s="55"/>
    </row>
    <row r="5" spans="1:15" ht="15" customHeight="1" x14ac:dyDescent="0.3">
      <c r="A5" s="64" t="s">
        <v>255</v>
      </c>
      <c r="B5" s="60">
        <v>20</v>
      </c>
      <c r="C5" s="60">
        <v>100</v>
      </c>
      <c r="D5" s="60">
        <v>200</v>
      </c>
      <c r="E5" s="60">
        <v>350</v>
      </c>
      <c r="F5" s="60">
        <v>350</v>
      </c>
      <c r="G5" s="60">
        <v>350</v>
      </c>
      <c r="H5" s="60">
        <v>350</v>
      </c>
      <c r="I5" s="60">
        <v>350</v>
      </c>
      <c r="J5" s="60">
        <v>350</v>
      </c>
      <c r="K5" s="60">
        <v>350</v>
      </c>
      <c r="L5" s="63">
        <v>350</v>
      </c>
      <c r="M5" s="63">
        <v>350</v>
      </c>
      <c r="N5" s="55"/>
      <c r="O5" s="55"/>
    </row>
    <row r="6" spans="1:15" ht="15" customHeight="1" x14ac:dyDescent="0.3">
      <c r="A6" s="64" t="s">
        <v>256</v>
      </c>
      <c r="B6" s="60">
        <v>0</v>
      </c>
      <c r="C6" s="60">
        <v>0</v>
      </c>
      <c r="D6" s="60">
        <v>0</v>
      </c>
      <c r="E6" s="60">
        <v>50</v>
      </c>
      <c r="F6" s="60">
        <v>150</v>
      </c>
      <c r="G6" s="60">
        <v>300</v>
      </c>
      <c r="H6" s="60">
        <v>450</v>
      </c>
      <c r="I6" s="60">
        <v>450</v>
      </c>
      <c r="J6" s="60">
        <v>450</v>
      </c>
      <c r="K6" s="60">
        <v>450</v>
      </c>
      <c r="L6" s="63">
        <v>450</v>
      </c>
      <c r="M6" s="63">
        <v>450</v>
      </c>
      <c r="N6" s="55"/>
      <c r="O6" s="55"/>
    </row>
    <row r="7" spans="1:15" ht="15" customHeight="1" x14ac:dyDescent="0.3">
      <c r="A7" s="64" t="s">
        <v>257</v>
      </c>
      <c r="B7" s="60">
        <v>0</v>
      </c>
      <c r="C7" s="60">
        <v>0</v>
      </c>
      <c r="D7" s="60">
        <v>0</v>
      </c>
      <c r="E7" s="60">
        <v>0</v>
      </c>
      <c r="F7" s="60">
        <v>50</v>
      </c>
      <c r="G7" s="60">
        <v>150</v>
      </c>
      <c r="H7" s="60">
        <v>275</v>
      </c>
      <c r="I7" s="60">
        <v>350</v>
      </c>
      <c r="J7" s="60">
        <v>350</v>
      </c>
      <c r="K7" s="60">
        <v>350</v>
      </c>
      <c r="L7" s="63">
        <v>350</v>
      </c>
      <c r="M7" s="63">
        <v>350</v>
      </c>
      <c r="N7" s="55"/>
      <c r="O7" s="55"/>
    </row>
    <row r="8" spans="1:15" ht="15" customHeight="1" x14ac:dyDescent="0.3">
      <c r="A8" s="64" t="s">
        <v>258</v>
      </c>
      <c r="B8" s="60">
        <v>0</v>
      </c>
      <c r="C8" s="60">
        <v>0</v>
      </c>
      <c r="D8" s="60">
        <v>0</v>
      </c>
      <c r="E8" s="60">
        <v>50</v>
      </c>
      <c r="F8" s="60">
        <v>100</v>
      </c>
      <c r="G8" s="60">
        <v>200</v>
      </c>
      <c r="H8" s="60">
        <v>275</v>
      </c>
      <c r="I8" s="60">
        <v>650</v>
      </c>
      <c r="J8" s="60">
        <v>800</v>
      </c>
      <c r="K8" s="60">
        <v>850</v>
      </c>
      <c r="L8" s="63">
        <v>850</v>
      </c>
      <c r="M8" s="63">
        <v>850</v>
      </c>
      <c r="N8" s="55"/>
      <c r="O8" s="55"/>
    </row>
    <row r="9" spans="1:15" ht="15" customHeight="1" x14ac:dyDescent="0.3">
      <c r="A9" s="61" t="s">
        <v>259</v>
      </c>
      <c r="B9" s="62">
        <v>40</v>
      </c>
      <c r="C9" s="62">
        <v>160</v>
      </c>
      <c r="D9" s="62">
        <v>300</v>
      </c>
      <c r="E9" s="62">
        <v>550</v>
      </c>
      <c r="F9" s="62">
        <v>800</v>
      </c>
      <c r="G9" s="62">
        <v>1200</v>
      </c>
      <c r="H9" s="62">
        <v>1550</v>
      </c>
      <c r="I9" s="62">
        <v>2000</v>
      </c>
      <c r="J9" s="62">
        <v>2150</v>
      </c>
      <c r="K9" s="62">
        <v>2200</v>
      </c>
      <c r="L9" s="61">
        <v>2200</v>
      </c>
      <c r="M9" s="61">
        <v>2200</v>
      </c>
      <c r="N9" s="55"/>
      <c r="O9" s="55"/>
    </row>
    <row r="10" spans="1:15" ht="15" customHeight="1" x14ac:dyDescent="0.3">
      <c r="A10" s="64" t="s">
        <v>260</v>
      </c>
      <c r="B10" s="65">
        <v>0</v>
      </c>
      <c r="C10" s="65">
        <v>0</v>
      </c>
      <c r="D10" s="65">
        <v>5</v>
      </c>
      <c r="E10" s="65">
        <v>20</v>
      </c>
      <c r="F10" s="65">
        <v>50</v>
      </c>
      <c r="G10" s="65">
        <v>100</v>
      </c>
      <c r="H10" s="65">
        <v>150</v>
      </c>
      <c r="I10" s="65">
        <v>250</v>
      </c>
      <c r="J10" s="65">
        <v>350</v>
      </c>
      <c r="K10" s="65">
        <v>450</v>
      </c>
      <c r="L10" s="55">
        <v>550</v>
      </c>
      <c r="M10" s="55">
        <v>600</v>
      </c>
      <c r="N10" s="55"/>
      <c r="O10" s="55"/>
    </row>
    <row r="11" spans="1:15" ht="15" customHeight="1" x14ac:dyDescent="0.3">
      <c r="A11" s="64" t="s">
        <v>261</v>
      </c>
      <c r="B11" s="65">
        <v>0</v>
      </c>
      <c r="C11" s="65">
        <v>0</v>
      </c>
      <c r="D11" s="65">
        <v>0</v>
      </c>
      <c r="E11" s="65">
        <v>0</v>
      </c>
      <c r="F11" s="65">
        <v>5</v>
      </c>
      <c r="G11" s="65">
        <v>25</v>
      </c>
      <c r="H11" s="65">
        <v>50</v>
      </c>
      <c r="I11" s="65">
        <v>100</v>
      </c>
      <c r="J11" s="65">
        <v>150</v>
      </c>
      <c r="K11" s="65">
        <v>200</v>
      </c>
      <c r="L11" s="55">
        <v>225</v>
      </c>
      <c r="M11" s="55">
        <v>250</v>
      </c>
      <c r="N11" s="55"/>
      <c r="O11" s="55"/>
    </row>
    <row r="12" spans="1:15" ht="15" customHeight="1" x14ac:dyDescent="0.3">
      <c r="A12" s="64" t="s">
        <v>262</v>
      </c>
      <c r="B12" s="55" t="s">
        <v>263</v>
      </c>
      <c r="C12" s="55" t="s">
        <v>264</v>
      </c>
      <c r="D12" s="55" t="s">
        <v>265</v>
      </c>
      <c r="E12" s="55" t="s">
        <v>266</v>
      </c>
      <c r="F12" s="55" t="s">
        <v>267</v>
      </c>
      <c r="G12" s="55" t="s">
        <v>268</v>
      </c>
      <c r="H12" s="55" t="s">
        <v>269</v>
      </c>
      <c r="I12" s="55" t="s">
        <v>270</v>
      </c>
      <c r="J12" s="55" t="s">
        <v>271</v>
      </c>
      <c r="K12" s="55" t="s">
        <v>272</v>
      </c>
      <c r="L12" s="55" t="s">
        <v>273</v>
      </c>
      <c r="M12" s="55" t="s">
        <v>274</v>
      </c>
      <c r="N12" s="55"/>
      <c r="O12" s="55"/>
    </row>
    <row r="13" spans="1:15" ht="15" customHeight="1" x14ac:dyDescent="0.3">
      <c r="A13" s="64" t="s">
        <v>275</v>
      </c>
      <c r="B13" s="60">
        <v>0.6</v>
      </c>
      <c r="C13" s="60">
        <v>3.2</v>
      </c>
      <c r="D13" s="60">
        <v>2.8</v>
      </c>
      <c r="E13" s="60">
        <v>6</v>
      </c>
      <c r="F13" s="60">
        <v>6</v>
      </c>
      <c r="G13" s="60">
        <v>8</v>
      </c>
      <c r="H13" s="60">
        <v>8</v>
      </c>
      <c r="I13" s="60">
        <v>12</v>
      </c>
      <c r="J13" s="60">
        <v>8</v>
      </c>
      <c r="K13" s="60">
        <v>6</v>
      </c>
      <c r="L13" s="66">
        <v>4</v>
      </c>
      <c r="M13" s="66">
        <v>2</v>
      </c>
      <c r="N13" s="55"/>
      <c r="O13" s="55"/>
    </row>
  </sheetData>
  <mergeCells count="1">
    <mergeCell ref="A1:O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75569"/>
    <pageSetUpPr fitToPage="1"/>
  </sheetPr>
  <dimension ref="A1:K8"/>
  <sheetViews>
    <sheetView zoomScaleNormal="100" workbookViewId="0">
      <selection sqref="A1:I1"/>
    </sheetView>
  </sheetViews>
  <sheetFormatPr defaultColWidth="8.6640625" defaultRowHeight="13.2" x14ac:dyDescent="0.25"/>
  <cols>
    <col min="1" max="7" width="20" customWidth="1"/>
    <col min="8" max="9" width="34" customWidth="1"/>
  </cols>
  <sheetData>
    <row r="1" spans="1:11" ht="42" customHeight="1" x14ac:dyDescent="0.25">
      <c r="A1" s="14" t="s">
        <v>276</v>
      </c>
      <c r="B1" s="14"/>
      <c r="C1" s="14"/>
      <c r="D1" s="14"/>
      <c r="E1" s="14"/>
      <c r="F1" s="14"/>
      <c r="G1" s="14"/>
      <c r="H1" s="14"/>
      <c r="I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277</v>
      </c>
      <c r="B3" s="19" t="s">
        <v>278</v>
      </c>
      <c r="C3" s="19" t="s">
        <v>279</v>
      </c>
      <c r="D3" s="19" t="s">
        <v>280</v>
      </c>
      <c r="E3" s="19" t="s">
        <v>281</v>
      </c>
      <c r="F3" s="19" t="s">
        <v>282</v>
      </c>
      <c r="G3" s="19" t="s">
        <v>283</v>
      </c>
      <c r="H3" s="19" t="s">
        <v>284</v>
      </c>
      <c r="I3" s="19" t="s">
        <v>285</v>
      </c>
      <c r="J3" s="19"/>
      <c r="K3" s="19"/>
    </row>
    <row r="4" spans="1:11" ht="27.75" customHeight="1" x14ac:dyDescent="0.25">
      <c r="A4" s="44" t="s">
        <v>286</v>
      </c>
      <c r="B4" s="44">
        <v>200</v>
      </c>
      <c r="C4" s="44">
        <v>0</v>
      </c>
      <c r="D4" s="44" t="s">
        <v>287</v>
      </c>
      <c r="E4" s="44" t="s">
        <v>288</v>
      </c>
      <c r="F4" s="44" t="s">
        <v>289</v>
      </c>
      <c r="G4" s="44" t="s">
        <v>290</v>
      </c>
      <c r="H4" s="44" t="s">
        <v>291</v>
      </c>
      <c r="I4" s="44" t="s">
        <v>292</v>
      </c>
    </row>
    <row r="5" spans="1:11" ht="54.75" customHeight="1" x14ac:dyDescent="0.25">
      <c r="A5" s="44" t="s">
        <v>293</v>
      </c>
      <c r="B5" s="44">
        <v>350</v>
      </c>
      <c r="C5" s="44">
        <v>500</v>
      </c>
      <c r="D5" s="44" t="s">
        <v>294</v>
      </c>
      <c r="E5" s="44" t="s">
        <v>295</v>
      </c>
      <c r="F5" s="44" t="s">
        <v>296</v>
      </c>
      <c r="G5" s="44" t="s">
        <v>297</v>
      </c>
      <c r="H5" s="44" t="s">
        <v>298</v>
      </c>
      <c r="I5" s="44" t="s">
        <v>299</v>
      </c>
    </row>
    <row r="6" spans="1:11" ht="41.25" customHeight="1" x14ac:dyDescent="0.25">
      <c r="A6" s="44" t="s">
        <v>300</v>
      </c>
      <c r="B6" s="44">
        <v>450</v>
      </c>
      <c r="C6" s="44">
        <v>500</v>
      </c>
      <c r="D6" s="44" t="s">
        <v>301</v>
      </c>
      <c r="E6" s="44" t="s">
        <v>302</v>
      </c>
      <c r="F6" s="44" t="s">
        <v>303</v>
      </c>
      <c r="G6" s="44" t="s">
        <v>304</v>
      </c>
      <c r="H6" s="44" t="s">
        <v>305</v>
      </c>
      <c r="I6" s="44" t="s">
        <v>306</v>
      </c>
    </row>
    <row r="7" spans="1:11" ht="41.25" customHeight="1" x14ac:dyDescent="0.25">
      <c r="A7" s="44" t="s">
        <v>307</v>
      </c>
      <c r="B7" s="44">
        <v>350</v>
      </c>
      <c r="C7" s="44">
        <v>450</v>
      </c>
      <c r="D7" s="44" t="s">
        <v>308</v>
      </c>
      <c r="E7" s="44" t="s">
        <v>309</v>
      </c>
      <c r="F7" s="44" t="s">
        <v>310</v>
      </c>
      <c r="G7" s="44" t="s">
        <v>311</v>
      </c>
      <c r="H7" s="44" t="s">
        <v>305</v>
      </c>
      <c r="I7" s="44" t="s">
        <v>312</v>
      </c>
    </row>
    <row r="8" spans="1:11" ht="41.25" customHeight="1" x14ac:dyDescent="0.25">
      <c r="A8" s="44" t="s">
        <v>313</v>
      </c>
      <c r="B8" s="44">
        <v>1050</v>
      </c>
      <c r="C8" s="44">
        <v>0</v>
      </c>
      <c r="D8" s="44" t="s">
        <v>314</v>
      </c>
      <c r="E8" s="44" t="s">
        <v>315</v>
      </c>
      <c r="F8" s="44" t="s">
        <v>316</v>
      </c>
      <c r="G8" s="44" t="s">
        <v>317</v>
      </c>
      <c r="H8" s="44" t="s">
        <v>318</v>
      </c>
      <c r="I8" s="44" t="s">
        <v>319</v>
      </c>
    </row>
  </sheetData>
  <mergeCells count="1">
    <mergeCell ref="A1:I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75569"/>
    <pageSetUpPr fitToPage="1"/>
  </sheetPr>
  <dimension ref="A1:K24"/>
  <sheetViews>
    <sheetView zoomScaleNormal="100" workbookViewId="0">
      <selection sqref="A1:K1"/>
    </sheetView>
  </sheetViews>
  <sheetFormatPr defaultColWidth="8.6640625" defaultRowHeight="13.2" x14ac:dyDescent="0.25"/>
  <cols>
    <col min="1" max="1" width="34" customWidth="1"/>
    <col min="2" max="11" width="13" customWidth="1"/>
  </cols>
  <sheetData>
    <row r="1" spans="1:11" ht="42" customHeight="1" x14ac:dyDescent="0.25">
      <c r="A1" s="14" t="s">
        <v>320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3</v>
      </c>
      <c r="B3" s="19" t="s">
        <v>226</v>
      </c>
      <c r="C3" s="19" t="s">
        <v>227</v>
      </c>
      <c r="D3" s="19" t="s">
        <v>92</v>
      </c>
      <c r="E3" s="19" t="s">
        <v>228</v>
      </c>
      <c r="F3" s="19" t="s">
        <v>229</v>
      </c>
      <c r="G3" s="19" t="s">
        <v>230</v>
      </c>
      <c r="H3" s="19" t="s">
        <v>231</v>
      </c>
      <c r="I3" s="19" t="s">
        <v>232</v>
      </c>
      <c r="J3" s="19" t="s">
        <v>233</v>
      </c>
      <c r="K3" s="19" t="s">
        <v>234</v>
      </c>
    </row>
    <row r="4" spans="1:11" ht="15" customHeight="1" x14ac:dyDescent="0.3">
      <c r="A4" s="64" t="s">
        <v>321</v>
      </c>
      <c r="B4" s="60">
        <f>Case_Ramp_Annual!B10</f>
        <v>40</v>
      </c>
      <c r="C4" s="60">
        <f>Case_Ramp_Annual!C10</f>
        <v>1350</v>
      </c>
      <c r="D4" s="60">
        <f>Case_Ramp_Annual!D10</f>
        <v>2000</v>
      </c>
      <c r="E4" s="60">
        <f>Case_Ramp_Annual!E10</f>
        <v>2200</v>
      </c>
      <c r="F4" s="60">
        <f>Case_Ramp_Annual!F10</f>
        <v>2400</v>
      </c>
      <c r="G4" s="60">
        <f>Case_Ramp_Annual!G10</f>
        <v>2400</v>
      </c>
      <c r="H4" s="60">
        <f>Case_Ramp_Annual!H10</f>
        <v>2400</v>
      </c>
      <c r="I4" s="60">
        <f>Case_Ramp_Annual!I10</f>
        <v>2400</v>
      </c>
      <c r="J4" s="60">
        <f>Case_Ramp_Annual!J10</f>
        <v>2400</v>
      </c>
      <c r="K4" s="60">
        <f>Case_Ramp_Annual!K10</f>
        <v>2400</v>
      </c>
    </row>
    <row r="5" spans="1:11" ht="15" customHeight="1" x14ac:dyDescent="0.3">
      <c r="A5" s="64" t="s">
        <v>322</v>
      </c>
      <c r="B5" s="60">
        <f>0</f>
        <v>0</v>
      </c>
      <c r="C5" s="60">
        <f t="shared" ref="C5:K5" si="0">B4</f>
        <v>40</v>
      </c>
      <c r="D5" s="60">
        <f t="shared" si="0"/>
        <v>1350</v>
      </c>
      <c r="E5" s="60">
        <f t="shared" si="0"/>
        <v>2000</v>
      </c>
      <c r="F5" s="60">
        <f t="shared" si="0"/>
        <v>2200</v>
      </c>
      <c r="G5" s="60">
        <f t="shared" si="0"/>
        <v>2400</v>
      </c>
      <c r="H5" s="60">
        <f t="shared" si="0"/>
        <v>2400</v>
      </c>
      <c r="I5" s="60">
        <f t="shared" si="0"/>
        <v>2400</v>
      </c>
      <c r="J5" s="60">
        <f t="shared" si="0"/>
        <v>2400</v>
      </c>
      <c r="K5" s="60">
        <f t="shared" si="0"/>
        <v>2400</v>
      </c>
    </row>
    <row r="6" spans="1:11" ht="15" customHeight="1" x14ac:dyDescent="0.3">
      <c r="A6" s="64" t="s">
        <v>323</v>
      </c>
      <c r="B6" s="60">
        <f t="shared" ref="B6:K6" si="1">AVERAGE(B4,B5)</f>
        <v>20</v>
      </c>
      <c r="C6" s="60">
        <f t="shared" si="1"/>
        <v>695</v>
      </c>
      <c r="D6" s="60">
        <f t="shared" si="1"/>
        <v>1675</v>
      </c>
      <c r="E6" s="60">
        <f t="shared" si="1"/>
        <v>2100</v>
      </c>
      <c r="F6" s="60">
        <f t="shared" si="1"/>
        <v>2300</v>
      </c>
      <c r="G6" s="60">
        <f t="shared" si="1"/>
        <v>2400</v>
      </c>
      <c r="H6" s="60">
        <f t="shared" si="1"/>
        <v>2400</v>
      </c>
      <c r="I6" s="60">
        <f t="shared" si="1"/>
        <v>2400</v>
      </c>
      <c r="J6" s="60">
        <f t="shared" si="1"/>
        <v>2400</v>
      </c>
      <c r="K6" s="60">
        <f t="shared" si="1"/>
        <v>2400</v>
      </c>
    </row>
    <row r="7" spans="1:11" ht="15" customHeight="1" x14ac:dyDescent="0.3">
      <c r="A7" s="64" t="s">
        <v>324</v>
      </c>
      <c r="B7" s="67">
        <f>0</f>
        <v>0</v>
      </c>
      <c r="C7" s="67">
        <f>0.05</f>
        <v>0.05</v>
      </c>
      <c r="D7" s="67">
        <f>0.1</f>
        <v>0.1</v>
      </c>
      <c r="E7" s="67">
        <f>0.15</f>
        <v>0.15</v>
      </c>
      <c r="F7" s="67">
        <f>0.2</f>
        <v>0.2</v>
      </c>
      <c r="G7" s="67">
        <f>0.25</f>
        <v>0.25</v>
      </c>
      <c r="H7" s="67">
        <f>0.3</f>
        <v>0.3</v>
      </c>
      <c r="I7" s="67">
        <f>0.3</f>
        <v>0.3</v>
      </c>
      <c r="J7" s="67">
        <f>0.3</f>
        <v>0.3</v>
      </c>
      <c r="K7" s="67">
        <f>0.3</f>
        <v>0.3</v>
      </c>
    </row>
    <row r="8" spans="1:11" ht="15" customHeight="1" x14ac:dyDescent="0.3">
      <c r="A8" s="64" t="s">
        <v>325</v>
      </c>
      <c r="B8" s="60">
        <f>0</f>
        <v>0</v>
      </c>
      <c r="C8" s="60">
        <f>0</f>
        <v>0</v>
      </c>
      <c r="D8" s="60">
        <f>5</f>
        <v>5</v>
      </c>
      <c r="E8" s="60">
        <f>50</f>
        <v>50</v>
      </c>
      <c r="F8" s="60">
        <f>100</f>
        <v>100</v>
      </c>
      <c r="G8" s="60">
        <f>250</f>
        <v>250</v>
      </c>
      <c r="H8" s="60">
        <f>250</f>
        <v>250</v>
      </c>
      <c r="I8" s="60">
        <f>250</f>
        <v>250</v>
      </c>
      <c r="J8" s="60">
        <f>250</f>
        <v>250</v>
      </c>
      <c r="K8" s="60">
        <f>250</f>
        <v>250</v>
      </c>
    </row>
    <row r="9" spans="1:11" ht="15" customHeight="1" x14ac:dyDescent="0.3">
      <c r="A9" s="64" t="s">
        <v>326</v>
      </c>
      <c r="B9" s="60">
        <f>MAX(0,MIN(B4*0.3-B8,B4*0))</f>
        <v>0</v>
      </c>
      <c r="C9" s="60">
        <f>MAX(0,MIN(C4*0.3-C8,C4*0.05))</f>
        <v>67.5</v>
      </c>
      <c r="D9" s="60">
        <f>MAX(0,MIN(D4*0.3-D8,D4*0.1))</f>
        <v>200</v>
      </c>
      <c r="E9" s="60">
        <f>MAX(0,MIN(E4*0.3-E8,E4*0.15))</f>
        <v>330</v>
      </c>
      <c r="F9" s="60">
        <f>MAX(0,MIN(F4*0.3-F8,F4*0.2))</f>
        <v>480</v>
      </c>
      <c r="G9" s="60">
        <f>MAX(0,MIN(G4*0.3-G8,G4*0.25))</f>
        <v>470</v>
      </c>
      <c r="H9" s="60">
        <f>MAX(0,MIN(H4*0.3-H8,H4*0.3))</f>
        <v>470</v>
      </c>
      <c r="I9" s="60">
        <f>MAX(0,MIN(I4*0.3-I8,I4*0.3))</f>
        <v>470</v>
      </c>
      <c r="J9" s="60">
        <f>MAX(0,MIN(J4*0.3-J8,J4*0.3))</f>
        <v>470</v>
      </c>
      <c r="K9" s="60">
        <f>MAX(0,MIN(K4*0.3-K8,K4*0.3))</f>
        <v>470</v>
      </c>
    </row>
    <row r="10" spans="1:11" ht="15" customHeight="1" x14ac:dyDescent="0.3">
      <c r="A10" s="64" t="s">
        <v>327</v>
      </c>
      <c r="B10" s="60">
        <f t="shared" ref="B10:K10" si="2">B8+B9</f>
        <v>0</v>
      </c>
      <c r="C10" s="60">
        <f t="shared" si="2"/>
        <v>67.5</v>
      </c>
      <c r="D10" s="60">
        <f t="shared" si="2"/>
        <v>205</v>
      </c>
      <c r="E10" s="60">
        <f t="shared" si="2"/>
        <v>380</v>
      </c>
      <c r="F10" s="60">
        <f t="shared" si="2"/>
        <v>580</v>
      </c>
      <c r="G10" s="60">
        <f t="shared" si="2"/>
        <v>720</v>
      </c>
      <c r="H10" s="60">
        <f t="shared" si="2"/>
        <v>720</v>
      </c>
      <c r="I10" s="60">
        <f t="shared" si="2"/>
        <v>720</v>
      </c>
      <c r="J10" s="60">
        <f t="shared" si="2"/>
        <v>720</v>
      </c>
      <c r="K10" s="60">
        <f t="shared" si="2"/>
        <v>720</v>
      </c>
    </row>
    <row r="11" spans="1:11" ht="15" customHeight="1" x14ac:dyDescent="0.3">
      <c r="A11" s="64" t="s">
        <v>328</v>
      </c>
      <c r="B11" s="60">
        <f t="shared" ref="B11:K11" si="3">MAX(0,B4-B10)</f>
        <v>40</v>
      </c>
      <c r="C11" s="60">
        <f t="shared" si="3"/>
        <v>1282.5</v>
      </c>
      <c r="D11" s="60">
        <f t="shared" si="3"/>
        <v>1795</v>
      </c>
      <c r="E11" s="60">
        <f t="shared" si="3"/>
        <v>1820</v>
      </c>
      <c r="F11" s="60">
        <f t="shared" si="3"/>
        <v>1820</v>
      </c>
      <c r="G11" s="60">
        <f t="shared" si="3"/>
        <v>1680</v>
      </c>
      <c r="H11" s="60">
        <f t="shared" si="3"/>
        <v>1680</v>
      </c>
      <c r="I11" s="60">
        <f t="shared" si="3"/>
        <v>1680</v>
      </c>
      <c r="J11" s="60">
        <f t="shared" si="3"/>
        <v>1680</v>
      </c>
      <c r="K11" s="60">
        <f t="shared" si="3"/>
        <v>1680</v>
      </c>
    </row>
    <row r="12" spans="1:11" ht="15" customHeight="1" x14ac:dyDescent="0.3">
      <c r="A12" s="64" t="s">
        <v>329</v>
      </c>
      <c r="B12" s="67">
        <f t="shared" ref="B12:K12" si="4">B10/B4</f>
        <v>0</v>
      </c>
      <c r="C12" s="67">
        <f t="shared" si="4"/>
        <v>0.05</v>
      </c>
      <c r="D12" s="67">
        <f t="shared" si="4"/>
        <v>0.10249999999999999</v>
      </c>
      <c r="E12" s="67">
        <f t="shared" si="4"/>
        <v>0.17272727272727273</v>
      </c>
      <c r="F12" s="67">
        <f t="shared" si="4"/>
        <v>0.24166666666666667</v>
      </c>
      <c r="G12" s="67">
        <f t="shared" si="4"/>
        <v>0.3</v>
      </c>
      <c r="H12" s="67">
        <f t="shared" si="4"/>
        <v>0.3</v>
      </c>
      <c r="I12" s="67">
        <f t="shared" si="4"/>
        <v>0.3</v>
      </c>
      <c r="J12" s="67">
        <f t="shared" si="4"/>
        <v>0.3</v>
      </c>
      <c r="K12" s="67">
        <f t="shared" si="4"/>
        <v>0.3</v>
      </c>
    </row>
    <row r="13" spans="1:11" ht="15" customHeight="1" x14ac:dyDescent="0.3">
      <c r="A13" s="64" t="s">
        <v>330</v>
      </c>
      <c r="B13" s="68">
        <f>B11*Scenario_Control!$B$18*365*Scenario_Control!$B$17/1000</f>
        <v>271.85199999999998</v>
      </c>
      <c r="C13" s="68">
        <f>C11*Scenario_Control!$B$18*365*Scenario_Control!$B$17/1000</f>
        <v>8716.2547500000001</v>
      </c>
      <c r="D13" s="68">
        <f>D11*Scenario_Control!$B$18*365*Scenario_Control!$B$17/1000</f>
        <v>12199.3585</v>
      </c>
      <c r="E13" s="68">
        <f>E11*Scenario_Control!$B$18*365*Scenario_Control!$B$17/1000</f>
        <v>12369.266</v>
      </c>
      <c r="F13" s="68">
        <f>F11*Scenario_Control!$B$18*365*Scenario_Control!$B$17/1000</f>
        <v>12369.266</v>
      </c>
      <c r="G13" s="68">
        <f>G11*Scenario_Control!$B$18*365*Scenario_Control!$B$17/1000</f>
        <v>11417.784</v>
      </c>
      <c r="H13" s="68">
        <f>H11*Scenario_Control!$B$18*365*Scenario_Control!$B$17/1000</f>
        <v>11417.784</v>
      </c>
      <c r="I13" s="68">
        <f>I11*Scenario_Control!$B$18*365*Scenario_Control!$B$17/1000</f>
        <v>11417.784</v>
      </c>
      <c r="J13" s="68">
        <f>J11*Scenario_Control!$B$18*365*Scenario_Control!$B$17/1000</f>
        <v>11417.784</v>
      </c>
      <c r="K13" s="68">
        <f>K11*Scenario_Control!$B$18*365*Scenario_Control!$B$17/1000</f>
        <v>11417.784</v>
      </c>
    </row>
    <row r="14" spans="1:11" ht="15" customHeight="1" x14ac:dyDescent="0.3">
      <c r="A14" s="64" t="s">
        <v>331</v>
      </c>
      <c r="B14" s="68">
        <f>B9*Scenario_Control!$B$19*365*Scenario_Control!$B$17/1000</f>
        <v>0</v>
      </c>
      <c r="C14" s="68">
        <f>C9*Scenario_Control!$B$19*365*Scenario_Control!$B$17/1000</f>
        <v>579.47400000000005</v>
      </c>
      <c r="D14" s="68">
        <f>D9*Scenario_Control!$B$19*365*Scenario_Control!$B$17/1000</f>
        <v>1716.96</v>
      </c>
      <c r="E14" s="68">
        <f>E9*Scenario_Control!$B$19*365*Scenario_Control!$B$17/1000</f>
        <v>2832.9839999999999</v>
      </c>
      <c r="F14" s="68">
        <f>F9*Scenario_Control!$B$19*365*Scenario_Control!$B$17/1000</f>
        <v>4120.7039999999997</v>
      </c>
      <c r="G14" s="68">
        <f>G9*Scenario_Control!$B$19*365*Scenario_Control!$B$17/1000</f>
        <v>4034.8560000000002</v>
      </c>
      <c r="H14" s="68">
        <f>H9*Scenario_Control!$B$19*365*Scenario_Control!$B$17/1000</f>
        <v>4034.8560000000002</v>
      </c>
      <c r="I14" s="68">
        <f>I9*Scenario_Control!$B$19*365*Scenario_Control!$B$17/1000</f>
        <v>4034.8560000000002</v>
      </c>
      <c r="J14" s="68">
        <f>J9*Scenario_Control!$B$19*365*Scenario_Control!$B$17/1000</f>
        <v>4034.8560000000002</v>
      </c>
      <c r="K14" s="68">
        <f>K9*Scenario_Control!$B$19*365*Scenario_Control!$B$17/1000</f>
        <v>4034.8560000000002</v>
      </c>
    </row>
    <row r="15" spans="1:11" ht="15" customHeight="1" x14ac:dyDescent="0.3">
      <c r="A15" s="64" t="s">
        <v>332</v>
      </c>
      <c r="B15" s="68">
        <f>B8*Scenario_Control!$B$19*365*Scenario_Control!$B$17/1000*Scenario_Control!$B$54</f>
        <v>0</v>
      </c>
      <c r="C15" s="68">
        <f>C8*Scenario_Control!$B$19*365*Scenario_Control!$B$17/1000*Scenario_Control!$B$54</f>
        <v>0</v>
      </c>
      <c r="D15" s="68">
        <f>D8*Scenario_Control!$B$19*365*Scenario_Control!$B$17/1000*Scenario_Control!$B$54</f>
        <v>0</v>
      </c>
      <c r="E15" s="68">
        <f>E8*Scenario_Control!$B$19*365*Scenario_Control!$B$17/1000*Scenario_Control!$B$54</f>
        <v>0</v>
      </c>
      <c r="F15" s="68">
        <f>F8*Scenario_Control!$B$19*365*Scenario_Control!$B$17/1000*Scenario_Control!$B$54</f>
        <v>0</v>
      </c>
      <c r="G15" s="68">
        <f>G8*Scenario_Control!$B$19*365*Scenario_Control!$B$17/1000*Scenario_Control!$B$54</f>
        <v>0</v>
      </c>
      <c r="H15" s="68">
        <f>H8*Scenario_Control!$B$19*365*Scenario_Control!$B$17/1000*Scenario_Control!$B$54</f>
        <v>0</v>
      </c>
      <c r="I15" s="68">
        <f>I8*Scenario_Control!$B$19*365*Scenario_Control!$B$17/1000*Scenario_Control!$B$54</f>
        <v>0</v>
      </c>
      <c r="J15" s="68">
        <f>J8*Scenario_Control!$B$19*365*Scenario_Control!$B$17/1000*Scenario_Control!$B$54</f>
        <v>0</v>
      </c>
      <c r="K15" s="68">
        <f>K8*Scenario_Control!$B$19*365*Scenario_Control!$B$17/1000*Scenario_Control!$B$54</f>
        <v>0</v>
      </c>
    </row>
    <row r="16" spans="1:11" ht="15" customHeight="1" x14ac:dyDescent="0.3">
      <c r="A16" s="64" t="s">
        <v>333</v>
      </c>
      <c r="B16" s="69">
        <f>Scenario_Control!$B$20</f>
        <v>1.2</v>
      </c>
      <c r="C16" s="69">
        <f>Scenario_Control!$B$21</f>
        <v>0.8</v>
      </c>
      <c r="D16" s="69">
        <f>Scenario_Control!$B$22</f>
        <v>0.6</v>
      </c>
      <c r="E16" s="69">
        <f>Scenario_Control!$B$23</f>
        <v>0.5</v>
      </c>
      <c r="F16" s="69">
        <f>Scenario_Control!$B$23</f>
        <v>0.5</v>
      </c>
      <c r="G16" s="69">
        <f>Scenario_Control!$B$23</f>
        <v>0.5</v>
      </c>
      <c r="H16" s="69">
        <f>Scenario_Control!$B$23</f>
        <v>0.5</v>
      </c>
      <c r="I16" s="69">
        <f>Scenario_Control!$B$23</f>
        <v>0.5</v>
      </c>
      <c r="J16" s="69">
        <f>Scenario_Control!$B$23</f>
        <v>0.5</v>
      </c>
      <c r="K16" s="69">
        <f>Scenario_Control!$B$23</f>
        <v>0.5</v>
      </c>
    </row>
    <row r="17" spans="1:11" ht="15" customHeight="1" x14ac:dyDescent="0.3">
      <c r="A17" s="64" t="s">
        <v>334</v>
      </c>
      <c r="B17" s="69">
        <f>B16+Scenario_Control!$B$24</f>
        <v>1.5</v>
      </c>
      <c r="C17" s="69">
        <f>C16+Scenario_Control!$B$24</f>
        <v>1.1000000000000001</v>
      </c>
      <c r="D17" s="69">
        <f>D16+Scenario_Control!$B$24</f>
        <v>0.89999999999999991</v>
      </c>
      <c r="E17" s="69">
        <f>E16+Scenario_Control!$B$24</f>
        <v>0.8</v>
      </c>
      <c r="F17" s="69">
        <f>F16+Scenario_Control!$B$24</f>
        <v>0.8</v>
      </c>
      <c r="G17" s="69">
        <f>G16+Scenario_Control!$B$24</f>
        <v>0.8</v>
      </c>
      <c r="H17" s="69">
        <f>H16+Scenario_Control!$B$24</f>
        <v>0.8</v>
      </c>
      <c r="I17" s="69">
        <f>I16+Scenario_Control!$B$24</f>
        <v>0.8</v>
      </c>
      <c r="J17" s="69">
        <f>J16+Scenario_Control!$B$24</f>
        <v>0.8</v>
      </c>
      <c r="K17" s="69">
        <f>K16+Scenario_Control!$B$24</f>
        <v>0.8</v>
      </c>
    </row>
    <row r="18" spans="1:11" ht="15" customHeight="1" x14ac:dyDescent="0.3">
      <c r="A18" s="64" t="s">
        <v>335</v>
      </c>
      <c r="B18" s="69">
        <f>Scenario_Control!$B$25*(1+Scenario_Control!$B$26)^(B$3-2026)</f>
        <v>2.5</v>
      </c>
      <c r="C18" s="69">
        <f>Scenario_Control!$B$25*(1+Scenario_Control!$B$26)^(C$3-2026)</f>
        <v>2.5499999999999998</v>
      </c>
      <c r="D18" s="69">
        <f>Scenario_Control!$B$25*(1+Scenario_Control!$B$26)^(D$3-2026)</f>
        <v>2.601</v>
      </c>
      <c r="E18" s="69">
        <f>Scenario_Control!$B$25*(1+Scenario_Control!$B$26)^(E$3-2026)</f>
        <v>2.6530199999999997</v>
      </c>
      <c r="F18" s="69">
        <f>Scenario_Control!$B$25*(1+Scenario_Control!$B$26)^(F$3-2026)</f>
        <v>2.7060803999999998</v>
      </c>
      <c r="G18" s="69">
        <f>Scenario_Control!$B$25*(1+Scenario_Control!$B$26)^(G$3-2026)</f>
        <v>2.7602020080000003</v>
      </c>
      <c r="H18" s="69">
        <f>Scenario_Control!$B$25*(1+Scenario_Control!$B$26)^(H$3-2026)</f>
        <v>2.8154060481600003</v>
      </c>
      <c r="I18" s="69">
        <f>Scenario_Control!$B$25*(1+Scenario_Control!$B$26)^(I$3-2026)</f>
        <v>2.8717141691231998</v>
      </c>
      <c r="J18" s="69">
        <f>Scenario_Control!$B$25*(1+Scenario_Control!$B$26)^(J$3-2026)</f>
        <v>2.9291484525056637</v>
      </c>
      <c r="K18" s="69">
        <f>Scenario_Control!$B$25*(1+Scenario_Control!$B$26)^(K$3-2026)</f>
        <v>2.9877314215557771</v>
      </c>
    </row>
    <row r="19" spans="1:11" ht="15" customHeight="1" x14ac:dyDescent="0.3">
      <c r="A19" s="64" t="s">
        <v>336</v>
      </c>
      <c r="B19" s="68">
        <f t="shared" ref="B19:K19" si="5">B13*B16</f>
        <v>326.22239999999994</v>
      </c>
      <c r="C19" s="68">
        <f t="shared" si="5"/>
        <v>6973.0038000000004</v>
      </c>
      <c r="D19" s="68">
        <f t="shared" si="5"/>
        <v>7319.6151</v>
      </c>
      <c r="E19" s="68">
        <f t="shared" si="5"/>
        <v>6184.6329999999998</v>
      </c>
      <c r="F19" s="68">
        <f t="shared" si="5"/>
        <v>6184.6329999999998</v>
      </c>
      <c r="G19" s="68">
        <f t="shared" si="5"/>
        <v>5708.8919999999998</v>
      </c>
      <c r="H19" s="68">
        <f t="shared" si="5"/>
        <v>5708.8919999999998</v>
      </c>
      <c r="I19" s="68">
        <f t="shared" si="5"/>
        <v>5708.8919999999998</v>
      </c>
      <c r="J19" s="68">
        <f t="shared" si="5"/>
        <v>5708.8919999999998</v>
      </c>
      <c r="K19" s="68">
        <f t="shared" si="5"/>
        <v>5708.8919999999998</v>
      </c>
    </row>
    <row r="20" spans="1:11" ht="15" customHeight="1" x14ac:dyDescent="0.3">
      <c r="A20" s="64" t="s">
        <v>337</v>
      </c>
      <c r="B20" s="68">
        <f t="shared" ref="B20:K20" si="6">B14*B17</f>
        <v>0</v>
      </c>
      <c r="C20" s="68">
        <f t="shared" si="6"/>
        <v>637.42140000000006</v>
      </c>
      <c r="D20" s="68">
        <f t="shared" si="6"/>
        <v>1545.2639999999999</v>
      </c>
      <c r="E20" s="68">
        <f t="shared" si="6"/>
        <v>2266.3872000000001</v>
      </c>
      <c r="F20" s="68">
        <f t="shared" si="6"/>
        <v>3296.5632000000001</v>
      </c>
      <c r="G20" s="68">
        <f t="shared" si="6"/>
        <v>3227.8848000000003</v>
      </c>
      <c r="H20" s="68">
        <f t="shared" si="6"/>
        <v>3227.8848000000003</v>
      </c>
      <c r="I20" s="68">
        <f t="shared" si="6"/>
        <v>3227.8848000000003</v>
      </c>
      <c r="J20" s="68">
        <f t="shared" si="6"/>
        <v>3227.8848000000003</v>
      </c>
      <c r="K20" s="68">
        <f t="shared" si="6"/>
        <v>3227.8848000000003</v>
      </c>
    </row>
    <row r="21" spans="1:11" ht="15" customHeight="1" x14ac:dyDescent="0.3">
      <c r="A21" s="64" t="s">
        <v>338</v>
      </c>
      <c r="B21" s="68">
        <f t="shared" ref="B21:K21" si="7">B15*B17</f>
        <v>0</v>
      </c>
      <c r="C21" s="68">
        <f t="shared" si="7"/>
        <v>0</v>
      </c>
      <c r="D21" s="68">
        <f t="shared" si="7"/>
        <v>0</v>
      </c>
      <c r="E21" s="68">
        <f t="shared" si="7"/>
        <v>0</v>
      </c>
      <c r="F21" s="68">
        <f t="shared" si="7"/>
        <v>0</v>
      </c>
      <c r="G21" s="68">
        <f t="shared" si="7"/>
        <v>0</v>
      </c>
      <c r="H21" s="68">
        <f t="shared" si="7"/>
        <v>0</v>
      </c>
      <c r="I21" s="68">
        <f t="shared" si="7"/>
        <v>0</v>
      </c>
      <c r="J21" s="68">
        <f t="shared" si="7"/>
        <v>0</v>
      </c>
      <c r="K21" s="68">
        <f t="shared" si="7"/>
        <v>0</v>
      </c>
    </row>
    <row r="22" spans="1:11" ht="15" customHeight="1" x14ac:dyDescent="0.3">
      <c r="A22" s="64" t="s">
        <v>339</v>
      </c>
      <c r="B22" s="68">
        <f t="shared" ref="B22:K22" si="8">B14*B18</f>
        <v>0</v>
      </c>
      <c r="C22" s="68">
        <f t="shared" si="8"/>
        <v>1477.6587</v>
      </c>
      <c r="D22" s="68">
        <f t="shared" si="8"/>
        <v>4465.8129600000002</v>
      </c>
      <c r="E22" s="68">
        <f t="shared" si="8"/>
        <v>7515.9632116799994</v>
      </c>
      <c r="F22" s="68">
        <f t="shared" si="8"/>
        <v>11150.956328601598</v>
      </c>
      <c r="G22" s="68">
        <f t="shared" si="8"/>
        <v>11137.01763319085</v>
      </c>
      <c r="H22" s="68">
        <f t="shared" si="8"/>
        <v>11359.757985854667</v>
      </c>
      <c r="I22" s="68">
        <f t="shared" si="8"/>
        <v>11586.953145571759</v>
      </c>
      <c r="J22" s="68">
        <f t="shared" si="8"/>
        <v>11818.692208483193</v>
      </c>
      <c r="K22" s="68">
        <f t="shared" si="8"/>
        <v>12055.066052652857</v>
      </c>
    </row>
    <row r="23" spans="1:11" ht="15" customHeight="1" x14ac:dyDescent="0.3">
      <c r="A23" s="64" t="s">
        <v>340</v>
      </c>
      <c r="B23" s="68">
        <f t="shared" ref="B23:K23" si="9">B22-B20</f>
        <v>0</v>
      </c>
      <c r="C23" s="68">
        <f t="shared" si="9"/>
        <v>840.23729999999989</v>
      </c>
      <c r="D23" s="68">
        <f t="shared" si="9"/>
        <v>2920.5489600000001</v>
      </c>
      <c r="E23" s="68">
        <f t="shared" si="9"/>
        <v>5249.5760116799993</v>
      </c>
      <c r="F23" s="68">
        <f t="shared" si="9"/>
        <v>7854.3931286015977</v>
      </c>
      <c r="G23" s="68">
        <f t="shared" si="9"/>
        <v>7909.1328331908499</v>
      </c>
      <c r="H23" s="68">
        <f t="shared" si="9"/>
        <v>8131.8731858546671</v>
      </c>
      <c r="I23" s="68">
        <f t="shared" si="9"/>
        <v>8359.068345571759</v>
      </c>
      <c r="J23" s="68">
        <f t="shared" si="9"/>
        <v>8590.8074084831933</v>
      </c>
      <c r="K23" s="68">
        <f t="shared" si="9"/>
        <v>8827.1812526528574</v>
      </c>
    </row>
    <row r="24" spans="1:11" ht="15" customHeight="1" x14ac:dyDescent="0.3">
      <c r="A24" s="64" t="s">
        <v>341</v>
      </c>
      <c r="B24" s="68">
        <f>MAX(0,Scenario_Control!$B$20-B16)*B13</f>
        <v>0</v>
      </c>
      <c r="C24" s="68">
        <f>MAX(0,Scenario_Control!$B$20-C16)*C13</f>
        <v>3486.5018999999993</v>
      </c>
      <c r="D24" s="68">
        <f>MAX(0,Scenario_Control!$B$20-D16)*D13</f>
        <v>7319.6151</v>
      </c>
      <c r="E24" s="68">
        <f>MAX(0,Scenario_Control!$B$20-E16)*E13</f>
        <v>8658.4861999999994</v>
      </c>
      <c r="F24" s="68">
        <f>MAX(0,Scenario_Control!$B$20-F16)*F13</f>
        <v>8658.4861999999994</v>
      </c>
      <c r="G24" s="68">
        <f>MAX(0,Scenario_Control!$B$20-G16)*G13</f>
        <v>7992.4487999999992</v>
      </c>
      <c r="H24" s="68">
        <f>MAX(0,Scenario_Control!$B$20-H16)*H13</f>
        <v>7992.4487999999992</v>
      </c>
      <c r="I24" s="68">
        <f>MAX(0,Scenario_Control!$B$20-I16)*I13</f>
        <v>7992.4487999999992</v>
      </c>
      <c r="J24" s="68">
        <f>MAX(0,Scenario_Control!$B$20-J16)*J13</f>
        <v>7992.4487999999992</v>
      </c>
      <c r="K24" s="68">
        <f>MAX(0,Scenario_Control!$B$20-K16)*K13</f>
        <v>7992.4487999999992</v>
      </c>
    </row>
  </sheetData>
  <mergeCells count="1">
    <mergeCell ref="A1:K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75569"/>
    <pageSetUpPr fitToPage="1"/>
  </sheetPr>
  <dimension ref="A1:K13"/>
  <sheetViews>
    <sheetView zoomScaleNormal="100" workbookViewId="0">
      <selection sqref="A1:K1"/>
    </sheetView>
  </sheetViews>
  <sheetFormatPr defaultColWidth="8.6640625" defaultRowHeight="13.2" x14ac:dyDescent="0.25"/>
  <cols>
    <col min="1" max="1" width="34" customWidth="1"/>
    <col min="2" max="11" width="13" customWidth="1"/>
  </cols>
  <sheetData>
    <row r="1" spans="1:11" ht="42" customHeight="1" x14ac:dyDescent="0.25">
      <c r="A1" s="14" t="s">
        <v>342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3</v>
      </c>
      <c r="B3" s="19" t="s">
        <v>226</v>
      </c>
      <c r="C3" s="19" t="s">
        <v>227</v>
      </c>
      <c r="D3" s="19" t="s">
        <v>92</v>
      </c>
      <c r="E3" s="19" t="s">
        <v>228</v>
      </c>
      <c r="F3" s="19" t="s">
        <v>229</v>
      </c>
      <c r="G3" s="19" t="s">
        <v>230</v>
      </c>
      <c r="H3" s="19" t="s">
        <v>231</v>
      </c>
      <c r="I3" s="19" t="s">
        <v>232</v>
      </c>
      <c r="J3" s="19" t="s">
        <v>233</v>
      </c>
      <c r="K3" s="19" t="s">
        <v>234</v>
      </c>
    </row>
    <row r="4" spans="1:11" ht="15" customHeight="1" x14ac:dyDescent="0.3">
      <c r="A4" s="64" t="s">
        <v>343</v>
      </c>
      <c r="B4" s="60">
        <f>Scenario_Control!$B$12*(1+Scenario_Control!$B$13)^(B$3-2026)</f>
        <v>75000</v>
      </c>
      <c r="C4" s="60">
        <f>Scenario_Control!$B$12*(1+Scenario_Control!$B$13)^(C$3-2026)</f>
        <v>84000.000000000015</v>
      </c>
      <c r="D4" s="60">
        <f>Scenario_Control!$B$12*(1+Scenario_Control!$B$13)^(D$3-2026)</f>
        <v>94080.000000000015</v>
      </c>
      <c r="E4" s="60">
        <f>Scenario_Control!$B$12*(1+Scenario_Control!$B$13)^(E$3-2026)</f>
        <v>105369.60000000003</v>
      </c>
      <c r="F4" s="60">
        <f>Scenario_Control!$B$12*(1+Scenario_Control!$B$13)^(F$3-2026)</f>
        <v>118013.95200000003</v>
      </c>
      <c r="G4" s="60">
        <f>Scenario_Control!$B$12*(1+Scenario_Control!$B$13)^(G$3-2026)</f>
        <v>132175.62624000004</v>
      </c>
      <c r="H4" s="60">
        <f>Scenario_Control!$B$12*(1+Scenario_Control!$B$13)^(H$3-2026)</f>
        <v>148036.70138880005</v>
      </c>
      <c r="I4" s="60">
        <f>Scenario_Control!$B$12*(1+Scenario_Control!$B$13)^(I$3-2026)</f>
        <v>165801.10555545607</v>
      </c>
      <c r="J4" s="60">
        <f>Scenario_Control!$B$12*(1+Scenario_Control!$B$13)^(J$3-2026)</f>
        <v>185697.23822211081</v>
      </c>
      <c r="K4" s="60">
        <f>Scenario_Control!$B$12*(1+Scenario_Control!$B$13)^(K$3-2026)</f>
        <v>207980.90680876412</v>
      </c>
    </row>
    <row r="5" spans="1:11" ht="15" customHeight="1" x14ac:dyDescent="0.3">
      <c r="A5" s="64" t="s">
        <v>344</v>
      </c>
      <c r="B5" s="60">
        <f>900000000*(1+Scenario_Control!$B$14)^(B$3-2026)</f>
        <v>900000000</v>
      </c>
      <c r="C5" s="60">
        <f>900000000*(1+Scenario_Control!$B$14)^(C$3-2026)</f>
        <v>1008000000.0000001</v>
      </c>
      <c r="D5" s="60">
        <f>900000000*(1+Scenario_Control!$B$14)^(D$3-2026)</f>
        <v>1128960000.0000002</v>
      </c>
      <c r="E5" s="60">
        <f>900000000*(1+Scenario_Control!$B$14)^(E$3-2026)</f>
        <v>1264435200.0000005</v>
      </c>
      <c r="F5" s="60">
        <f>900000000*(1+Scenario_Control!$B$14)^(F$3-2026)</f>
        <v>1416167424.0000002</v>
      </c>
      <c r="G5" s="60">
        <f>900000000*(1+Scenario_Control!$B$14)^(G$3-2026)</f>
        <v>1586107514.8800004</v>
      </c>
      <c r="H5" s="60">
        <f>900000000*(1+Scenario_Control!$B$14)^(H$3-2026)</f>
        <v>1776440416.6656008</v>
      </c>
      <c r="I5" s="60">
        <f>900000000*(1+Scenario_Control!$B$14)^(I$3-2026)</f>
        <v>1989613266.665473</v>
      </c>
      <c r="J5" s="60">
        <f>900000000*(1+Scenario_Control!$B$14)^(J$3-2026)</f>
        <v>2228366858.6653299</v>
      </c>
      <c r="K5" s="60">
        <f>900000000*(1+Scenario_Control!$B$14)^(K$3-2026)</f>
        <v>2495770881.7051697</v>
      </c>
    </row>
    <row r="6" spans="1:11" ht="15" customHeight="1" x14ac:dyDescent="0.3">
      <c r="A6" s="64" t="s">
        <v>345</v>
      </c>
      <c r="B6" s="70">
        <f>3.125</f>
        <v>3.125</v>
      </c>
      <c r="C6" s="70">
        <f>3.125</f>
        <v>3.125</v>
      </c>
      <c r="D6" s="70">
        <f>1.5625</f>
        <v>1.5625</v>
      </c>
      <c r="E6" s="70">
        <f>1.5625</f>
        <v>1.5625</v>
      </c>
      <c r="F6" s="70">
        <f>1.5625</f>
        <v>1.5625</v>
      </c>
      <c r="G6" s="70">
        <f>1.5625</f>
        <v>1.5625</v>
      </c>
      <c r="H6" s="70">
        <f>0.78125</f>
        <v>0.78125</v>
      </c>
      <c r="I6" s="70">
        <f>0.78125</f>
        <v>0.78125</v>
      </c>
      <c r="J6" s="70">
        <f>0.78125</f>
        <v>0.78125</v>
      </c>
      <c r="K6" s="70">
        <f>0.78125</f>
        <v>0.78125</v>
      </c>
    </row>
    <row r="7" spans="1:11" ht="15" customHeight="1" x14ac:dyDescent="0.3">
      <c r="A7" s="64" t="s">
        <v>346</v>
      </c>
      <c r="B7" s="67">
        <f>MIN(1,Scenario_Control!$B$15+Scenario_Control!$B$16*(B$3-2026))</f>
        <v>0.15</v>
      </c>
      <c r="C7" s="67">
        <f>MIN(1,Scenario_Control!$B$15+Scenario_Control!$B$16*(C$3-2026))</f>
        <v>0.22499999999999998</v>
      </c>
      <c r="D7" s="67">
        <f>MIN(1,Scenario_Control!$B$15+Scenario_Control!$B$16*(D$3-2026))</f>
        <v>0.3</v>
      </c>
      <c r="E7" s="67">
        <f>MIN(1,Scenario_Control!$B$15+Scenario_Control!$B$16*(E$3-2026))</f>
        <v>0.375</v>
      </c>
      <c r="F7" s="67">
        <f>MIN(1,Scenario_Control!$B$15+Scenario_Control!$B$16*(F$3-2026))</f>
        <v>0.44999999999999996</v>
      </c>
      <c r="G7" s="67">
        <f>MIN(1,Scenario_Control!$B$15+Scenario_Control!$B$16*(G$3-2026))</f>
        <v>0.52500000000000002</v>
      </c>
      <c r="H7" s="67">
        <f>MIN(1,Scenario_Control!$B$15+Scenario_Control!$B$16*(H$3-2026))</f>
        <v>0.6</v>
      </c>
      <c r="I7" s="67">
        <f>MIN(1,Scenario_Control!$B$15+Scenario_Control!$B$16*(I$3-2026))</f>
        <v>0.67500000000000004</v>
      </c>
      <c r="J7" s="67">
        <f>MIN(1,Scenario_Control!$B$15+Scenario_Control!$B$16*(J$3-2026))</f>
        <v>0.75</v>
      </c>
      <c r="K7" s="67">
        <f>MIN(1,Scenario_Control!$B$15+Scenario_Control!$B$16*(K$3-2026))</f>
        <v>0.82499999999999996</v>
      </c>
    </row>
    <row r="8" spans="1:11" ht="15" customHeight="1" x14ac:dyDescent="0.3">
      <c r="A8" s="64" t="s">
        <v>347</v>
      </c>
      <c r="B8" s="70">
        <f t="shared" ref="B8:K8" si="0">B6*(1+B7)</f>
        <v>3.5937499999999996</v>
      </c>
      <c r="C8" s="70">
        <f t="shared" si="0"/>
        <v>3.8281250000000004</v>
      </c>
      <c r="D8" s="70">
        <f t="shared" si="0"/>
        <v>2.03125</v>
      </c>
      <c r="E8" s="70">
        <f t="shared" si="0"/>
        <v>2.1484375</v>
      </c>
      <c r="F8" s="70">
        <f t="shared" si="0"/>
        <v>2.265625</v>
      </c>
      <c r="G8" s="70">
        <f t="shared" si="0"/>
        <v>2.3828125</v>
      </c>
      <c r="H8" s="70">
        <f t="shared" si="0"/>
        <v>1.25</v>
      </c>
      <c r="I8" s="70">
        <f t="shared" si="0"/>
        <v>1.30859375</v>
      </c>
      <c r="J8" s="70">
        <f t="shared" si="0"/>
        <v>1.3671875</v>
      </c>
      <c r="K8" s="70">
        <f t="shared" si="0"/>
        <v>1.42578125</v>
      </c>
    </row>
    <row r="9" spans="1:11" ht="15" customHeight="1" x14ac:dyDescent="0.3">
      <c r="A9" s="64" t="s">
        <v>348</v>
      </c>
      <c r="B9" s="68">
        <f t="shared" ref="B9:K9" si="1">B8*144*365</f>
        <v>188887.49999999997</v>
      </c>
      <c r="C9" s="68">
        <f t="shared" si="1"/>
        <v>201206.25000000003</v>
      </c>
      <c r="D9" s="68">
        <f t="shared" si="1"/>
        <v>106762.5</v>
      </c>
      <c r="E9" s="68">
        <f t="shared" si="1"/>
        <v>112921.875</v>
      </c>
      <c r="F9" s="68">
        <f t="shared" si="1"/>
        <v>119081.25</v>
      </c>
      <c r="G9" s="68">
        <f t="shared" si="1"/>
        <v>125240.625</v>
      </c>
      <c r="H9" s="68">
        <f t="shared" si="1"/>
        <v>65700</v>
      </c>
      <c r="I9" s="68">
        <f t="shared" si="1"/>
        <v>68779.6875</v>
      </c>
      <c r="J9" s="68">
        <f t="shared" si="1"/>
        <v>71859.375</v>
      </c>
      <c r="K9" s="68">
        <f t="shared" si="1"/>
        <v>74939.0625</v>
      </c>
    </row>
    <row r="10" spans="1:11" ht="15" customHeight="1" x14ac:dyDescent="0.3">
      <c r="A10" s="64" t="s">
        <v>349</v>
      </c>
      <c r="B10" s="60">
        <f>Load_Tariff!B11</f>
        <v>40</v>
      </c>
      <c r="C10" s="60">
        <f>Load_Tariff!C11</f>
        <v>1282.5</v>
      </c>
      <c r="D10" s="60">
        <f>Load_Tariff!D11</f>
        <v>1795</v>
      </c>
      <c r="E10" s="60">
        <f>Load_Tariff!E11</f>
        <v>1820</v>
      </c>
      <c r="F10" s="60">
        <f>Load_Tariff!F11</f>
        <v>1820</v>
      </c>
      <c r="G10" s="60">
        <f>Load_Tariff!G11</f>
        <v>1680</v>
      </c>
      <c r="H10" s="60">
        <f>Load_Tariff!H11</f>
        <v>1680</v>
      </c>
      <c r="I10" s="60">
        <f>Load_Tariff!I11</f>
        <v>1680</v>
      </c>
      <c r="J10" s="60">
        <f>Load_Tariff!J11</f>
        <v>1680</v>
      </c>
      <c r="K10" s="60">
        <f>Load_Tariff!K11</f>
        <v>1680</v>
      </c>
    </row>
    <row r="11" spans="1:11" ht="15" customHeight="1" x14ac:dyDescent="0.3">
      <c r="A11" s="64" t="s">
        <v>350</v>
      </c>
      <c r="B11" s="60">
        <f>B10/(1+Scenario_Control!$B$34)*1000000/(Scenario_Control!$B$32*Scenario_Control!$B$33)*Scenario_Control!$B$32*(Scenario_Control!$B$18/24)*Scenario_Control!$B$17</f>
        <v>2364444.4444444445</v>
      </c>
      <c r="C11" s="60">
        <f>C10/(1+Scenario_Control!$B$34)*1000000/(Scenario_Control!$B$32*Scenario_Control!$B$33)*Scenario_Control!$B$32*(Scenario_Control!$B$18/24)*Scenario_Control!$B$17</f>
        <v>75809999.999999985</v>
      </c>
      <c r="D11" s="60">
        <f>D10/(1+Scenario_Control!$B$34)*1000000/(Scenario_Control!$B$32*Scenario_Control!$B$33)*Scenario_Control!$B$32*(Scenario_Control!$B$18/24)*Scenario_Control!$B$17</f>
        <v>106104444.44444443</v>
      </c>
      <c r="E11" s="60">
        <f>E10/(1+Scenario_Control!$B$34)*1000000/(Scenario_Control!$B$32*Scenario_Control!$B$33)*Scenario_Control!$B$32*(Scenario_Control!$B$18/24)*Scenario_Control!$B$17</f>
        <v>107582222.22222221</v>
      </c>
      <c r="F11" s="60">
        <f>F10/(1+Scenario_Control!$B$34)*1000000/(Scenario_Control!$B$32*Scenario_Control!$B$33)*Scenario_Control!$B$32*(Scenario_Control!$B$18/24)*Scenario_Control!$B$17</f>
        <v>107582222.22222221</v>
      </c>
      <c r="G11" s="60">
        <f>G10/(1+Scenario_Control!$B$34)*1000000/(Scenario_Control!$B$32*Scenario_Control!$B$33)*Scenario_Control!$B$32*(Scenario_Control!$B$18/24)*Scenario_Control!$B$17</f>
        <v>99306666.666666672</v>
      </c>
      <c r="H11" s="60">
        <f>H10/(1+Scenario_Control!$B$34)*1000000/(Scenario_Control!$B$32*Scenario_Control!$B$33)*Scenario_Control!$B$32*(Scenario_Control!$B$18/24)*Scenario_Control!$B$17</f>
        <v>99306666.666666672</v>
      </c>
      <c r="I11" s="60">
        <f>I10/(1+Scenario_Control!$B$34)*1000000/(Scenario_Control!$B$32*Scenario_Control!$B$33)*Scenario_Control!$B$32*(Scenario_Control!$B$18/24)*Scenario_Control!$B$17</f>
        <v>99306666.666666672</v>
      </c>
      <c r="J11" s="60">
        <f>J10/(1+Scenario_Control!$B$34)*1000000/(Scenario_Control!$B$32*Scenario_Control!$B$33)*Scenario_Control!$B$32*(Scenario_Control!$B$18/24)*Scenario_Control!$B$17</f>
        <v>99306666.666666672</v>
      </c>
      <c r="K11" s="60">
        <f>K10/(1+Scenario_Control!$B$34)*1000000/(Scenario_Control!$B$32*Scenario_Control!$B$33)*Scenario_Control!$B$32*(Scenario_Control!$B$18/24)*Scenario_Control!$B$17</f>
        <v>99306666.666666672</v>
      </c>
    </row>
    <row r="12" spans="1:11" ht="15" customHeight="1" x14ac:dyDescent="0.3">
      <c r="A12" s="64" t="s">
        <v>351</v>
      </c>
      <c r="B12" s="68">
        <f t="shared" ref="B12:K12" si="2">B11/B5*B9</f>
        <v>496.23777777777769</v>
      </c>
      <c r="C12" s="68">
        <f t="shared" si="2"/>
        <v>15132.386718749996</v>
      </c>
      <c r="D12" s="68">
        <f t="shared" si="2"/>
        <v>10033.992125496028</v>
      </c>
      <c r="E12" s="68">
        <f t="shared" si="2"/>
        <v>9607.7570839533673</v>
      </c>
      <c r="F12" s="68">
        <f t="shared" si="2"/>
        <v>9046.2647868392123</v>
      </c>
      <c r="G12" s="68">
        <f t="shared" si="2"/>
        <v>7841.3530503579768</v>
      </c>
      <c r="H12" s="68">
        <f t="shared" si="2"/>
        <v>3672.7648947812527</v>
      </c>
      <c r="I12" s="68">
        <f t="shared" si="2"/>
        <v>3432.9694189501106</v>
      </c>
      <c r="J12" s="68">
        <f t="shared" si="2"/>
        <v>3202.3968460355504</v>
      </c>
      <c r="K12" s="68">
        <f t="shared" si="2"/>
        <v>2981.8235938851426</v>
      </c>
    </row>
    <row r="13" spans="1:11" ht="15" customHeight="1" x14ac:dyDescent="0.3">
      <c r="A13" s="64" t="s">
        <v>352</v>
      </c>
      <c r="B13" s="68">
        <f>B12*B4*Scenario_Control!$B$8/1000000</f>
        <v>632.70316666666668</v>
      </c>
      <c r="C13" s="68">
        <f>C12*C4*Scenario_Control!$B$8/1000000</f>
        <v>21609.048234375001</v>
      </c>
      <c r="D13" s="68">
        <f>D12*D4*Scenario_Control!$B$8/1000000</f>
        <v>16047.96564583333</v>
      </c>
      <c r="E13" s="68">
        <f>E12*E4*Scenario_Control!$B$8/1000000</f>
        <v>17210.213854166661</v>
      </c>
      <c r="F13" s="68">
        <f>F12*F4*Scenario_Control!$B$8/1000000</f>
        <v>18148.952791666667</v>
      </c>
      <c r="G13" s="68">
        <f>G12*G4*Scenario_Control!$B$8/1000000</f>
        <v>17619.407750000002</v>
      </c>
      <c r="H13" s="68">
        <f>H12*H4*Scenario_Control!$B$8/1000000</f>
        <v>9242.9680000000008</v>
      </c>
      <c r="I13" s="68">
        <f>I12*I4*Scenario_Control!$B$8/1000000</f>
        <v>9676.2321250000005</v>
      </c>
      <c r="J13" s="68">
        <f>J12*J4*Scenario_Control!$B$8/1000000</f>
        <v>10109.496249999998</v>
      </c>
      <c r="K13" s="68">
        <f>K12*K4*Scenario_Control!$B$8/1000000</f>
        <v>10542.760375</v>
      </c>
    </row>
  </sheetData>
  <mergeCells count="1">
    <mergeCell ref="A1:K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75569"/>
    <pageSetUpPr fitToPage="1"/>
  </sheetPr>
  <dimension ref="A1:K13"/>
  <sheetViews>
    <sheetView zoomScaleNormal="100" workbookViewId="0">
      <selection sqref="A1:K1"/>
    </sheetView>
  </sheetViews>
  <sheetFormatPr defaultColWidth="8.6640625" defaultRowHeight="13.2" x14ac:dyDescent="0.25"/>
  <cols>
    <col min="1" max="1" width="40" customWidth="1"/>
    <col min="2" max="11" width="15" customWidth="1"/>
  </cols>
  <sheetData>
    <row r="1" spans="1:11" ht="42" customHeight="1" x14ac:dyDescent="0.25">
      <c r="A1" s="14" t="s">
        <v>353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354</v>
      </c>
      <c r="B3" s="19" t="s">
        <v>226</v>
      </c>
      <c r="C3" s="19" t="s">
        <v>227</v>
      </c>
      <c r="D3" s="19" t="s">
        <v>92</v>
      </c>
      <c r="E3" s="19" t="s">
        <v>228</v>
      </c>
      <c r="F3" s="19" t="s">
        <v>229</v>
      </c>
      <c r="G3" s="19" t="s">
        <v>230</v>
      </c>
      <c r="H3" s="19" t="s">
        <v>231</v>
      </c>
      <c r="I3" s="19" t="s">
        <v>232</v>
      </c>
      <c r="J3" s="19" t="s">
        <v>233</v>
      </c>
      <c r="K3" s="19" t="s">
        <v>234</v>
      </c>
    </row>
    <row r="4" spans="1:11" ht="15" customHeight="1" x14ac:dyDescent="0.3">
      <c r="A4" s="64" t="s">
        <v>355</v>
      </c>
      <c r="B4" s="60">
        <f>Load_Tariff!B11</f>
        <v>40</v>
      </c>
      <c r="C4" s="60">
        <f>Load_Tariff!C11</f>
        <v>1282.5</v>
      </c>
      <c r="D4" s="60">
        <f>Load_Tariff!D11</f>
        <v>1795</v>
      </c>
      <c r="E4" s="60">
        <f>Load_Tariff!E11</f>
        <v>1820</v>
      </c>
      <c r="F4" s="60">
        <f>Load_Tariff!F11</f>
        <v>1820</v>
      </c>
      <c r="G4" s="60">
        <f>Load_Tariff!G11</f>
        <v>1680</v>
      </c>
      <c r="H4" s="60">
        <f>Load_Tariff!H11</f>
        <v>1680</v>
      </c>
      <c r="I4" s="60">
        <f>Load_Tariff!I11</f>
        <v>1680</v>
      </c>
      <c r="J4" s="60">
        <f>Load_Tariff!J11</f>
        <v>1680</v>
      </c>
      <c r="K4" s="60">
        <f>Load_Tariff!K11</f>
        <v>1680</v>
      </c>
    </row>
    <row r="5" spans="1:11" ht="15" customHeight="1" x14ac:dyDescent="0.3">
      <c r="A5" s="64" t="s">
        <v>356</v>
      </c>
      <c r="B5" s="60">
        <f>MAX(0,B4-0)</f>
        <v>40</v>
      </c>
      <c r="C5" s="60">
        <f t="shared" ref="C5:K5" si="0">MAX(0,C4-B4)</f>
        <v>1242.5</v>
      </c>
      <c r="D5" s="60">
        <f t="shared" si="0"/>
        <v>512.5</v>
      </c>
      <c r="E5" s="60">
        <f t="shared" si="0"/>
        <v>25</v>
      </c>
      <c r="F5" s="60">
        <f t="shared" si="0"/>
        <v>0</v>
      </c>
      <c r="G5" s="60">
        <f t="shared" si="0"/>
        <v>0</v>
      </c>
      <c r="H5" s="60">
        <f t="shared" si="0"/>
        <v>0</v>
      </c>
      <c r="I5" s="60">
        <f t="shared" si="0"/>
        <v>0</v>
      </c>
      <c r="J5" s="60">
        <f t="shared" si="0"/>
        <v>0</v>
      </c>
      <c r="K5" s="60">
        <f t="shared" si="0"/>
        <v>0</v>
      </c>
    </row>
    <row r="6" spans="1:11" ht="15" customHeight="1" x14ac:dyDescent="0.3">
      <c r="A6" s="64" t="s">
        <v>357</v>
      </c>
      <c r="B6" s="68">
        <f>B4*1000*Scenario_Control!$B$28*12/1000000</f>
        <v>38.4</v>
      </c>
      <c r="C6" s="68">
        <f>C4*1000*Scenario_Control!$B$28*12/1000000</f>
        <v>1231.2</v>
      </c>
      <c r="D6" s="68">
        <f>D4*1000*Scenario_Control!$B$28*12/1000000</f>
        <v>1723.2</v>
      </c>
      <c r="E6" s="68">
        <f>E4*1000*Scenario_Control!$B$28*12/1000000</f>
        <v>1747.2</v>
      </c>
      <c r="F6" s="68">
        <f>F4*1000*Scenario_Control!$B$28*12/1000000</f>
        <v>1747.2</v>
      </c>
      <c r="G6" s="68">
        <f>G4*1000*Scenario_Control!$B$28*12/1000000</f>
        <v>1612.8</v>
      </c>
      <c r="H6" s="68">
        <f>H4*1000*Scenario_Control!$B$28*12/1000000</f>
        <v>1612.8</v>
      </c>
      <c r="I6" s="68">
        <f>I4*1000*Scenario_Control!$B$28*12/1000000</f>
        <v>1612.8</v>
      </c>
      <c r="J6" s="68">
        <f>J4*1000*Scenario_Control!$B$28*12/1000000</f>
        <v>1612.8</v>
      </c>
      <c r="K6" s="68">
        <f>K4*1000*Scenario_Control!$B$28*12/1000000</f>
        <v>1612.8</v>
      </c>
    </row>
    <row r="7" spans="1:11" ht="15" customHeight="1" x14ac:dyDescent="0.3">
      <c r="A7" s="64" t="s">
        <v>358</v>
      </c>
      <c r="B7" s="68">
        <f>B5*Scenario_Control!$B$29/2</f>
        <v>60</v>
      </c>
      <c r="C7" s="68">
        <f>C5*Scenario_Control!$B$29/2+B5*Scenario_Control!$B$29/2</f>
        <v>1923.75</v>
      </c>
      <c r="D7" s="68">
        <f>D5*Scenario_Control!$B$29/2+C5*Scenario_Control!$B$29/2</f>
        <v>2632.5</v>
      </c>
      <c r="E7" s="68">
        <f>E5*Scenario_Control!$B$29/2+D5*Scenario_Control!$B$29/2</f>
        <v>806.25</v>
      </c>
      <c r="F7" s="68">
        <f>F5*Scenario_Control!$B$29/2+E5*Scenario_Control!$B$29/2</f>
        <v>37.5</v>
      </c>
      <c r="G7" s="68">
        <f>G5*Scenario_Control!$B$29/2+F5*Scenario_Control!$B$29/2</f>
        <v>0</v>
      </c>
      <c r="H7" s="68">
        <f>H5*Scenario_Control!$B$29/2+G5*Scenario_Control!$B$29/2</f>
        <v>0</v>
      </c>
      <c r="I7" s="68">
        <f>I5*Scenario_Control!$B$29/2+H5*Scenario_Control!$B$29/2</f>
        <v>0</v>
      </c>
      <c r="J7" s="68">
        <f>J5*Scenario_Control!$B$29/2+I5*Scenario_Control!$B$29/2</f>
        <v>0</v>
      </c>
      <c r="K7" s="68">
        <f>K5*Scenario_Control!$B$29/2+J5*Scenario_Control!$B$29/2</f>
        <v>0</v>
      </c>
    </row>
    <row r="8" spans="1:11" ht="15" customHeight="1" x14ac:dyDescent="0.3">
      <c r="A8" s="64" t="s">
        <v>359</v>
      </c>
      <c r="B8" s="68">
        <f>B4*Scenario_Control!$B$31*Scenario_Control!$B$30/1000</f>
        <v>2</v>
      </c>
      <c r="C8" s="68">
        <f>C4*Scenario_Control!$B$31*Scenario_Control!$B$30/1000</f>
        <v>64.125</v>
      </c>
      <c r="D8" s="68">
        <f>D4*Scenario_Control!$B$31*Scenario_Control!$B$30/1000</f>
        <v>89.75</v>
      </c>
      <c r="E8" s="68">
        <f>E4*Scenario_Control!$B$31*Scenario_Control!$B$30/1000</f>
        <v>91</v>
      </c>
      <c r="F8" s="68">
        <f>F4*Scenario_Control!$B$31*Scenario_Control!$B$30/1000</f>
        <v>91</v>
      </c>
      <c r="G8" s="68">
        <f>G4*Scenario_Control!$B$31*Scenario_Control!$B$30/1000</f>
        <v>84</v>
      </c>
      <c r="H8" s="68">
        <f>H4*Scenario_Control!$B$31*Scenario_Control!$B$30/1000</f>
        <v>84</v>
      </c>
      <c r="I8" s="68">
        <f>I4*Scenario_Control!$B$31*Scenario_Control!$B$30/1000</f>
        <v>84</v>
      </c>
      <c r="J8" s="68">
        <f>J4*Scenario_Control!$B$31*Scenario_Control!$B$30/1000</f>
        <v>84</v>
      </c>
      <c r="K8" s="68">
        <f>K4*Scenario_Control!$B$31*Scenario_Control!$B$30/1000</f>
        <v>84</v>
      </c>
    </row>
    <row r="9" spans="1:11" ht="15" customHeight="1" x14ac:dyDescent="0.3">
      <c r="A9" s="64" t="s">
        <v>360</v>
      </c>
      <c r="B9" s="68">
        <f t="shared" ref="B9:K9" si="1">SUM(B6:B8)</f>
        <v>100.4</v>
      </c>
      <c r="C9" s="68">
        <f t="shared" si="1"/>
        <v>3219.0749999999998</v>
      </c>
      <c r="D9" s="68">
        <f t="shared" si="1"/>
        <v>4445.45</v>
      </c>
      <c r="E9" s="68">
        <f t="shared" si="1"/>
        <v>2644.45</v>
      </c>
      <c r="F9" s="68">
        <f t="shared" si="1"/>
        <v>1875.7</v>
      </c>
      <c r="G9" s="68">
        <f t="shared" si="1"/>
        <v>1696.8</v>
      </c>
      <c r="H9" s="68">
        <f t="shared" si="1"/>
        <v>1696.8</v>
      </c>
      <c r="I9" s="68">
        <f t="shared" si="1"/>
        <v>1696.8</v>
      </c>
      <c r="J9" s="68">
        <f t="shared" si="1"/>
        <v>1696.8</v>
      </c>
      <c r="K9" s="68">
        <f t="shared" si="1"/>
        <v>1696.8</v>
      </c>
    </row>
    <row r="10" spans="1:11" ht="15" customHeight="1" x14ac:dyDescent="0.3">
      <c r="A10" s="64" t="s">
        <v>361</v>
      </c>
      <c r="B10" s="68">
        <f>Load_Tariff!B24</f>
        <v>0</v>
      </c>
      <c r="C10" s="68">
        <f>Load_Tariff!C24</f>
        <v>3486.5018999999993</v>
      </c>
      <c r="D10" s="68">
        <f>Load_Tariff!D24</f>
        <v>7319.6151</v>
      </c>
      <c r="E10" s="68">
        <f>Load_Tariff!E24</f>
        <v>8658.4861999999994</v>
      </c>
      <c r="F10" s="68">
        <f>Load_Tariff!F24</f>
        <v>8658.4861999999994</v>
      </c>
      <c r="G10" s="68">
        <f>Load_Tariff!G24</f>
        <v>7992.4487999999992</v>
      </c>
      <c r="H10" s="68">
        <f>Load_Tariff!H24</f>
        <v>7992.4487999999992</v>
      </c>
      <c r="I10" s="68">
        <f>Load_Tariff!I24</f>
        <v>7992.4487999999992</v>
      </c>
      <c r="J10" s="68">
        <f>Load_Tariff!J24</f>
        <v>7992.4487999999992</v>
      </c>
      <c r="K10" s="68">
        <f>Load_Tariff!K24</f>
        <v>7992.4487999999992</v>
      </c>
    </row>
    <row r="11" spans="1:11" ht="15" customHeight="1" x14ac:dyDescent="0.3">
      <c r="A11" s="64" t="s">
        <v>362</v>
      </c>
      <c r="B11" s="68">
        <f t="shared" ref="B11:K11" si="2">B9+B10</f>
        <v>100.4</v>
      </c>
      <c r="C11" s="68">
        <f t="shared" si="2"/>
        <v>6705.5768999999991</v>
      </c>
      <c r="D11" s="68">
        <f t="shared" si="2"/>
        <v>11765.0651</v>
      </c>
      <c r="E11" s="68">
        <f t="shared" si="2"/>
        <v>11302.9362</v>
      </c>
      <c r="F11" s="68">
        <f t="shared" si="2"/>
        <v>10534.1862</v>
      </c>
      <c r="G11" s="68">
        <f t="shared" si="2"/>
        <v>9689.2487999999994</v>
      </c>
      <c r="H11" s="68">
        <f t="shared" si="2"/>
        <v>9689.2487999999994</v>
      </c>
      <c r="I11" s="68">
        <f t="shared" si="2"/>
        <v>9689.2487999999994</v>
      </c>
      <c r="J11" s="68">
        <f t="shared" si="2"/>
        <v>9689.2487999999994</v>
      </c>
      <c r="K11" s="68">
        <f t="shared" si="2"/>
        <v>9689.2487999999994</v>
      </c>
    </row>
    <row r="12" spans="1:11" ht="41.25" customHeight="1" x14ac:dyDescent="0.3">
      <c r="A12" s="64" t="s">
        <v>363</v>
      </c>
      <c r="B12" s="71" t="s">
        <v>364</v>
      </c>
      <c r="C12" s="71" t="s">
        <v>364</v>
      </c>
      <c r="D12" s="71" t="s">
        <v>364</v>
      </c>
      <c r="E12" s="71" t="s">
        <v>364</v>
      </c>
      <c r="F12" s="71" t="s">
        <v>364</v>
      </c>
      <c r="G12" s="71" t="s">
        <v>364</v>
      </c>
      <c r="H12" s="71" t="s">
        <v>364</v>
      </c>
      <c r="I12" s="71" t="s">
        <v>364</v>
      </c>
      <c r="J12" s="71" t="s">
        <v>364</v>
      </c>
      <c r="K12" s="71" t="s">
        <v>364</v>
      </c>
    </row>
    <row r="13" spans="1:11" ht="54.75" customHeight="1" x14ac:dyDescent="0.3">
      <c r="A13" s="64" t="s">
        <v>365</v>
      </c>
      <c r="B13" s="71" t="s">
        <v>366</v>
      </c>
      <c r="C13" s="71" t="s">
        <v>366</v>
      </c>
      <c r="D13" s="71" t="s">
        <v>366</v>
      </c>
      <c r="E13" s="71" t="s">
        <v>366</v>
      </c>
      <c r="F13" s="71" t="s">
        <v>366</v>
      </c>
      <c r="G13" s="71" t="s">
        <v>366</v>
      </c>
      <c r="H13" s="71" t="s">
        <v>366</v>
      </c>
      <c r="I13" s="71" t="s">
        <v>366</v>
      </c>
      <c r="J13" s="71" t="s">
        <v>366</v>
      </c>
      <c r="K13" s="71" t="s">
        <v>366</v>
      </c>
    </row>
  </sheetData>
  <mergeCells count="1">
    <mergeCell ref="A1:K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75569"/>
    <pageSetUpPr fitToPage="1"/>
  </sheetPr>
  <dimension ref="A1:K20"/>
  <sheetViews>
    <sheetView zoomScaleNormal="100" workbookViewId="0">
      <selection sqref="A1:K1"/>
    </sheetView>
  </sheetViews>
  <sheetFormatPr defaultColWidth="8.6640625" defaultRowHeight="13.2" x14ac:dyDescent="0.25"/>
  <cols>
    <col min="1" max="1" width="40" customWidth="1"/>
    <col min="2" max="11" width="15" customWidth="1"/>
  </cols>
  <sheetData>
    <row r="1" spans="1:11" ht="42" customHeight="1" x14ac:dyDescent="0.25">
      <c r="A1" s="14" t="s">
        <v>367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3</v>
      </c>
      <c r="B3" s="19" t="s">
        <v>226</v>
      </c>
      <c r="C3" s="19" t="s">
        <v>227</v>
      </c>
      <c r="D3" s="19" t="s">
        <v>92</v>
      </c>
      <c r="E3" s="19" t="s">
        <v>228</v>
      </c>
      <c r="F3" s="19" t="s">
        <v>229</v>
      </c>
      <c r="G3" s="19" t="s">
        <v>230</v>
      </c>
      <c r="H3" s="19" t="s">
        <v>231</v>
      </c>
      <c r="I3" s="19" t="s">
        <v>232</v>
      </c>
      <c r="J3" s="19" t="s">
        <v>233</v>
      </c>
      <c r="K3" s="19" t="s">
        <v>234</v>
      </c>
    </row>
    <row r="4" spans="1:11" ht="15" customHeight="1" x14ac:dyDescent="0.3">
      <c r="A4" s="64" t="s">
        <v>368</v>
      </c>
      <c r="B4" s="60">
        <f>Load_Tariff!B9</f>
        <v>0</v>
      </c>
      <c r="C4" s="60">
        <f>Load_Tariff!C9</f>
        <v>67.5</v>
      </c>
      <c r="D4" s="60">
        <f>Load_Tariff!D9</f>
        <v>200</v>
      </c>
      <c r="E4" s="60">
        <f>Load_Tariff!E9</f>
        <v>330</v>
      </c>
      <c r="F4" s="60">
        <f>Load_Tariff!F9</f>
        <v>480</v>
      </c>
      <c r="G4" s="60">
        <f>Load_Tariff!G9</f>
        <v>470</v>
      </c>
      <c r="H4" s="60">
        <f>Load_Tariff!H9</f>
        <v>470</v>
      </c>
      <c r="I4" s="60">
        <f>Load_Tariff!I9</f>
        <v>470</v>
      </c>
      <c r="J4" s="60">
        <f>Load_Tariff!J9</f>
        <v>470</v>
      </c>
      <c r="K4" s="60">
        <f>Load_Tariff!K9</f>
        <v>470</v>
      </c>
    </row>
    <row r="5" spans="1:11" ht="15" customHeight="1" x14ac:dyDescent="0.3">
      <c r="A5" s="64" t="s">
        <v>369</v>
      </c>
      <c r="B5" s="60">
        <f>Load_Tariff!B8</f>
        <v>0</v>
      </c>
      <c r="C5" s="60">
        <f>Load_Tariff!C8</f>
        <v>0</v>
      </c>
      <c r="D5" s="60">
        <f>Load_Tariff!D8</f>
        <v>5</v>
      </c>
      <c r="E5" s="60">
        <f>Load_Tariff!E8</f>
        <v>50</v>
      </c>
      <c r="F5" s="60">
        <f>Load_Tariff!F8</f>
        <v>100</v>
      </c>
      <c r="G5" s="60">
        <f>Load_Tariff!G8</f>
        <v>250</v>
      </c>
      <c r="H5" s="60">
        <f>Load_Tariff!H8</f>
        <v>250</v>
      </c>
      <c r="I5" s="60">
        <f>Load_Tariff!I8</f>
        <v>250</v>
      </c>
      <c r="J5" s="60">
        <f>Load_Tariff!J8</f>
        <v>250</v>
      </c>
      <c r="K5" s="60">
        <f>Load_Tariff!K8</f>
        <v>250</v>
      </c>
    </row>
    <row r="6" spans="1:11" ht="15" customHeight="1" x14ac:dyDescent="0.3">
      <c r="A6" s="64" t="s">
        <v>331</v>
      </c>
      <c r="B6" s="68">
        <f>Load_Tariff!B14</f>
        <v>0</v>
      </c>
      <c r="C6" s="68">
        <f>Load_Tariff!C14</f>
        <v>579.47400000000005</v>
      </c>
      <c r="D6" s="68">
        <f>Load_Tariff!D14</f>
        <v>1716.96</v>
      </c>
      <c r="E6" s="68">
        <f>Load_Tariff!E14</f>
        <v>2832.9839999999999</v>
      </c>
      <c r="F6" s="68">
        <f>Load_Tariff!F14</f>
        <v>4120.7039999999997</v>
      </c>
      <c r="G6" s="68">
        <f>Load_Tariff!G14</f>
        <v>4034.8560000000002</v>
      </c>
      <c r="H6" s="68">
        <f>Load_Tariff!H14</f>
        <v>4034.8560000000002</v>
      </c>
      <c r="I6" s="68">
        <f>Load_Tariff!I14</f>
        <v>4034.8560000000002</v>
      </c>
      <c r="J6" s="68">
        <f>Load_Tariff!J14</f>
        <v>4034.8560000000002</v>
      </c>
      <c r="K6" s="68">
        <f>Load_Tariff!K14</f>
        <v>4034.8560000000002</v>
      </c>
    </row>
    <row r="7" spans="1:11" ht="15" customHeight="1" x14ac:dyDescent="0.3">
      <c r="A7" s="64" t="s">
        <v>370</v>
      </c>
      <c r="B7" s="68">
        <f>Load_Tariff!B15</f>
        <v>0</v>
      </c>
      <c r="C7" s="68">
        <f>Load_Tariff!C15</f>
        <v>0</v>
      </c>
      <c r="D7" s="68">
        <f>Load_Tariff!D15</f>
        <v>0</v>
      </c>
      <c r="E7" s="68">
        <f>Load_Tariff!E15</f>
        <v>0</v>
      </c>
      <c r="F7" s="68">
        <f>Load_Tariff!F15</f>
        <v>0</v>
      </c>
      <c r="G7" s="68">
        <f>Load_Tariff!G15</f>
        <v>0</v>
      </c>
      <c r="H7" s="68">
        <f>Load_Tariff!H15</f>
        <v>0</v>
      </c>
      <c r="I7" s="68">
        <f>Load_Tariff!I15</f>
        <v>0</v>
      </c>
      <c r="J7" s="68">
        <f>Load_Tariff!J15</f>
        <v>0</v>
      </c>
      <c r="K7" s="68">
        <f>Load_Tariff!K15</f>
        <v>0</v>
      </c>
    </row>
    <row r="8" spans="1:11" ht="15" customHeight="1" x14ac:dyDescent="0.3">
      <c r="A8" s="64" t="s">
        <v>371</v>
      </c>
      <c r="B8" s="68">
        <f>Load_Tariff!B22</f>
        <v>0</v>
      </c>
      <c r="C8" s="68">
        <f>Load_Tariff!C22</f>
        <v>1477.6587</v>
      </c>
      <c r="D8" s="68">
        <f>Load_Tariff!D22</f>
        <v>4465.8129600000002</v>
      </c>
      <c r="E8" s="68">
        <f>Load_Tariff!E22</f>
        <v>7515.9632116799994</v>
      </c>
      <c r="F8" s="68">
        <f>Load_Tariff!F22</f>
        <v>11150.956328601598</v>
      </c>
      <c r="G8" s="68">
        <f>Load_Tariff!G22</f>
        <v>11137.01763319085</v>
      </c>
      <c r="H8" s="68">
        <f>Load_Tariff!H22</f>
        <v>11359.757985854667</v>
      </c>
      <c r="I8" s="68">
        <f>Load_Tariff!I22</f>
        <v>11586.953145571759</v>
      </c>
      <c r="J8" s="68">
        <f>Load_Tariff!J22</f>
        <v>11818.692208483193</v>
      </c>
      <c r="K8" s="68">
        <f>Load_Tariff!K22</f>
        <v>12055.066052652857</v>
      </c>
    </row>
    <row r="9" spans="1:11" ht="15" customHeight="1" x14ac:dyDescent="0.3">
      <c r="A9" s="64" t="s">
        <v>372</v>
      </c>
      <c r="B9" s="68">
        <f>Load_Tariff!B20</f>
        <v>0</v>
      </c>
      <c r="C9" s="68">
        <f>Load_Tariff!C20</f>
        <v>637.42140000000006</v>
      </c>
      <c r="D9" s="68">
        <f>Load_Tariff!D20</f>
        <v>1545.2639999999999</v>
      </c>
      <c r="E9" s="68">
        <f>Load_Tariff!E20</f>
        <v>2266.3872000000001</v>
      </c>
      <c r="F9" s="68">
        <f>Load_Tariff!F20</f>
        <v>3296.5632000000001</v>
      </c>
      <c r="G9" s="68">
        <f>Load_Tariff!G20</f>
        <v>3227.8848000000003</v>
      </c>
      <c r="H9" s="68">
        <f>Load_Tariff!H20</f>
        <v>3227.8848000000003</v>
      </c>
      <c r="I9" s="68">
        <f>Load_Tariff!I20</f>
        <v>3227.8848000000003</v>
      </c>
      <c r="J9" s="68">
        <f>Load_Tariff!J20</f>
        <v>3227.8848000000003</v>
      </c>
      <c r="K9" s="68">
        <f>Load_Tariff!K20</f>
        <v>3227.8848000000003</v>
      </c>
    </row>
    <row r="10" spans="1:11" ht="15" customHeight="1" x14ac:dyDescent="0.3">
      <c r="A10" s="64" t="s">
        <v>373</v>
      </c>
      <c r="B10" s="68">
        <f t="shared" ref="B10:K10" si="0">B8-B9</f>
        <v>0</v>
      </c>
      <c r="C10" s="68">
        <f t="shared" si="0"/>
        <v>840.23729999999989</v>
      </c>
      <c r="D10" s="68">
        <f t="shared" si="0"/>
        <v>2920.5489600000001</v>
      </c>
      <c r="E10" s="68">
        <f t="shared" si="0"/>
        <v>5249.5760116799993</v>
      </c>
      <c r="F10" s="68">
        <f t="shared" si="0"/>
        <v>7854.3931286015977</v>
      </c>
      <c r="G10" s="68">
        <f t="shared" si="0"/>
        <v>7909.1328331908499</v>
      </c>
      <c r="H10" s="68">
        <f t="shared" si="0"/>
        <v>8131.8731858546671</v>
      </c>
      <c r="I10" s="68">
        <f t="shared" si="0"/>
        <v>8359.068345571759</v>
      </c>
      <c r="J10" s="68">
        <f t="shared" si="0"/>
        <v>8590.8074084831933</v>
      </c>
      <c r="K10" s="68">
        <f t="shared" si="0"/>
        <v>8827.1812526528574</v>
      </c>
    </row>
    <row r="11" spans="1:11" ht="15" customHeight="1" x14ac:dyDescent="0.3">
      <c r="A11" s="64" t="s">
        <v>374</v>
      </c>
      <c r="B11" s="68">
        <f>B4*Scenario_Control!$B$27*12</f>
        <v>0</v>
      </c>
      <c r="C11" s="68">
        <f>C4*Scenario_Control!$B$27*12</f>
        <v>607.5</v>
      </c>
      <c r="D11" s="68">
        <f>D4*Scenario_Control!$B$27*12</f>
        <v>1800</v>
      </c>
      <c r="E11" s="68">
        <f>E4*Scenario_Control!$B$27*12</f>
        <v>2970</v>
      </c>
      <c r="F11" s="68">
        <f>F4*Scenario_Control!$B$27*12</f>
        <v>4320</v>
      </c>
      <c r="G11" s="68">
        <f>G4*Scenario_Control!$B$27*12</f>
        <v>4230</v>
      </c>
      <c r="H11" s="68">
        <f>H4*Scenario_Control!$B$27*12</f>
        <v>4230</v>
      </c>
      <c r="I11" s="68">
        <f>I4*Scenario_Control!$B$27*12</f>
        <v>4230</v>
      </c>
      <c r="J11" s="68">
        <f>J4*Scenario_Control!$B$27*12</f>
        <v>4230</v>
      </c>
      <c r="K11" s="68">
        <f>K4*Scenario_Control!$B$27*12</f>
        <v>4230</v>
      </c>
    </row>
    <row r="12" spans="1:11" ht="15" customHeight="1" x14ac:dyDescent="0.3">
      <c r="A12" s="64" t="s">
        <v>375</v>
      </c>
      <c r="B12" s="68">
        <f t="shared" ref="B12:K12" si="1">B11*0.15</f>
        <v>0</v>
      </c>
      <c r="C12" s="68">
        <f t="shared" si="1"/>
        <v>91.125</v>
      </c>
      <c r="D12" s="68">
        <f t="shared" si="1"/>
        <v>270</v>
      </c>
      <c r="E12" s="68">
        <f t="shared" si="1"/>
        <v>445.5</v>
      </c>
      <c r="F12" s="68">
        <f t="shared" si="1"/>
        <v>648</v>
      </c>
      <c r="G12" s="68">
        <f t="shared" si="1"/>
        <v>634.5</v>
      </c>
      <c r="H12" s="68">
        <f t="shared" si="1"/>
        <v>634.5</v>
      </c>
      <c r="I12" s="68">
        <f t="shared" si="1"/>
        <v>634.5</v>
      </c>
      <c r="J12" s="68">
        <f t="shared" si="1"/>
        <v>634.5</v>
      </c>
      <c r="K12" s="68">
        <f t="shared" si="1"/>
        <v>634.5</v>
      </c>
    </row>
    <row r="13" spans="1:11" ht="15" customHeight="1" x14ac:dyDescent="0.3">
      <c r="A13" s="64" t="s">
        <v>376</v>
      </c>
      <c r="B13" s="68">
        <f t="shared" ref="B13:K13" si="2">B10+B11-B12</f>
        <v>0</v>
      </c>
      <c r="C13" s="68">
        <f t="shared" si="2"/>
        <v>1356.6122999999998</v>
      </c>
      <c r="D13" s="68">
        <f t="shared" si="2"/>
        <v>4450.5489600000001</v>
      </c>
      <c r="E13" s="68">
        <f t="shared" si="2"/>
        <v>7774.0760116799993</v>
      </c>
      <c r="F13" s="68">
        <f t="shared" si="2"/>
        <v>11526.393128601598</v>
      </c>
      <c r="G13" s="68">
        <f t="shared" si="2"/>
        <v>11504.63283319085</v>
      </c>
      <c r="H13" s="68">
        <f t="shared" si="2"/>
        <v>11727.373185854667</v>
      </c>
      <c r="I13" s="68">
        <f t="shared" si="2"/>
        <v>11954.568345571759</v>
      </c>
      <c r="J13" s="68">
        <f t="shared" si="2"/>
        <v>12186.307408483193</v>
      </c>
      <c r="K13" s="68">
        <f t="shared" si="2"/>
        <v>12422.681252652857</v>
      </c>
    </row>
    <row r="14" spans="1:11" ht="15" customHeight="1" x14ac:dyDescent="0.3">
      <c r="A14" s="64" t="s">
        <v>377</v>
      </c>
      <c r="B14" s="68">
        <f>B5*Scenario_Control!$B$40*(1-Scenario_Control!$B$41)^MAX(0,B$3-2028)*Scenario_Control!$B$54</f>
        <v>0</v>
      </c>
      <c r="C14" s="68">
        <f>C5*Scenario_Control!$B$40*(1-Scenario_Control!$B$41)^MAX(0,C$3-2028)*Scenario_Control!$B$54</f>
        <v>0</v>
      </c>
      <c r="D14" s="68">
        <f>D5*Scenario_Control!$B$40*(1-Scenario_Control!$B$41)^MAX(0,D$3-2028)*Scenario_Control!$B$54</f>
        <v>0</v>
      </c>
      <c r="E14" s="68">
        <f>E5*Scenario_Control!$B$40*(1-Scenario_Control!$B$41)^MAX(0,E$3-2028)*Scenario_Control!$B$54</f>
        <v>0</v>
      </c>
      <c r="F14" s="68">
        <f>F5*Scenario_Control!$B$40*(1-Scenario_Control!$B$41)^MAX(0,F$3-2028)*Scenario_Control!$B$54</f>
        <v>0</v>
      </c>
      <c r="G14" s="68">
        <f>G5*Scenario_Control!$B$40*(1-Scenario_Control!$B$41)^MAX(0,G$3-2028)*Scenario_Control!$B$54</f>
        <v>0</v>
      </c>
      <c r="H14" s="68">
        <f>H5*Scenario_Control!$B$40*(1-Scenario_Control!$B$41)^MAX(0,H$3-2028)*Scenario_Control!$B$54</f>
        <v>0</v>
      </c>
      <c r="I14" s="68">
        <f>I5*Scenario_Control!$B$40*(1-Scenario_Control!$B$41)^MAX(0,I$3-2028)*Scenario_Control!$B$54</f>
        <v>0</v>
      </c>
      <c r="J14" s="68">
        <f>J5*Scenario_Control!$B$40*(1-Scenario_Control!$B$41)^MAX(0,J$3-2028)*Scenario_Control!$B$54</f>
        <v>0</v>
      </c>
      <c r="K14" s="68">
        <f>K5*Scenario_Control!$B$40*(1-Scenario_Control!$B$41)^MAX(0,K$3-2028)*Scenario_Control!$B$54</f>
        <v>0</v>
      </c>
    </row>
    <row r="15" spans="1:11" ht="15" customHeight="1" x14ac:dyDescent="0.3">
      <c r="A15" s="64" t="s">
        <v>378</v>
      </c>
      <c r="B15" s="68">
        <f>B14*Scenario_Control!$B$42</f>
        <v>0</v>
      </c>
      <c r="C15" s="68">
        <f>C14*Scenario_Control!$B$42</f>
        <v>0</v>
      </c>
      <c r="D15" s="68">
        <f>D14*Scenario_Control!$B$42</f>
        <v>0</v>
      </c>
      <c r="E15" s="68">
        <f>E14*Scenario_Control!$B$42</f>
        <v>0</v>
      </c>
      <c r="F15" s="68">
        <f>F14*Scenario_Control!$B$42</f>
        <v>0</v>
      </c>
      <c r="G15" s="68">
        <f>G14*Scenario_Control!$B$42</f>
        <v>0</v>
      </c>
      <c r="H15" s="68">
        <f>H14*Scenario_Control!$B$42</f>
        <v>0</v>
      </c>
      <c r="I15" s="68">
        <f>I14*Scenario_Control!$B$42</f>
        <v>0</v>
      </c>
      <c r="J15" s="68">
        <f>J14*Scenario_Control!$B$42</f>
        <v>0</v>
      </c>
      <c r="K15" s="68">
        <f>K14*Scenario_Control!$B$42</f>
        <v>0</v>
      </c>
    </row>
    <row r="16" spans="1:11" ht="15" customHeight="1" x14ac:dyDescent="0.3">
      <c r="A16" s="64" t="s">
        <v>338</v>
      </c>
      <c r="B16" s="68">
        <f>Load_Tariff!B21</f>
        <v>0</v>
      </c>
      <c r="C16" s="68">
        <f>Load_Tariff!C21</f>
        <v>0</v>
      </c>
      <c r="D16" s="68">
        <f>Load_Tariff!D21</f>
        <v>0</v>
      </c>
      <c r="E16" s="68">
        <f>Load_Tariff!E21</f>
        <v>0</v>
      </c>
      <c r="F16" s="68">
        <f>Load_Tariff!F21</f>
        <v>0</v>
      </c>
      <c r="G16" s="68">
        <f>Load_Tariff!G21</f>
        <v>0</v>
      </c>
      <c r="H16" s="68">
        <f>Load_Tariff!H21</f>
        <v>0</v>
      </c>
      <c r="I16" s="68">
        <f>Load_Tariff!I21</f>
        <v>0</v>
      </c>
      <c r="J16" s="68">
        <f>Load_Tariff!J21</f>
        <v>0</v>
      </c>
      <c r="K16" s="68">
        <f>Load_Tariff!K21</f>
        <v>0</v>
      </c>
    </row>
    <row r="17" spans="1:11" ht="15" customHeight="1" x14ac:dyDescent="0.3">
      <c r="A17" s="64" t="s">
        <v>379</v>
      </c>
      <c r="B17" s="68">
        <f t="shared" ref="B17:K17" si="3">B14-B15-B16</f>
        <v>0</v>
      </c>
      <c r="C17" s="68">
        <f t="shared" si="3"/>
        <v>0</v>
      </c>
      <c r="D17" s="68">
        <f t="shared" si="3"/>
        <v>0</v>
      </c>
      <c r="E17" s="68">
        <f t="shared" si="3"/>
        <v>0</v>
      </c>
      <c r="F17" s="68">
        <f t="shared" si="3"/>
        <v>0</v>
      </c>
      <c r="G17" s="68">
        <f t="shared" si="3"/>
        <v>0</v>
      </c>
      <c r="H17" s="68">
        <f t="shared" si="3"/>
        <v>0</v>
      </c>
      <c r="I17" s="68">
        <f t="shared" si="3"/>
        <v>0</v>
      </c>
      <c r="J17" s="68">
        <f t="shared" si="3"/>
        <v>0</v>
      </c>
      <c r="K17" s="68">
        <f t="shared" si="3"/>
        <v>0</v>
      </c>
    </row>
    <row r="18" spans="1:11" ht="15" customHeight="1" x14ac:dyDescent="0.3">
      <c r="A18" s="64" t="s">
        <v>380</v>
      </c>
      <c r="B18" s="68">
        <f t="shared" ref="B18:K18" si="4">B8+B11+B14</f>
        <v>0</v>
      </c>
      <c r="C18" s="68">
        <f t="shared" si="4"/>
        <v>2085.1587</v>
      </c>
      <c r="D18" s="68">
        <f t="shared" si="4"/>
        <v>6265.8129600000002</v>
      </c>
      <c r="E18" s="68">
        <f t="shared" si="4"/>
        <v>10485.963211679998</v>
      </c>
      <c r="F18" s="68">
        <f t="shared" si="4"/>
        <v>15470.956328601598</v>
      </c>
      <c r="G18" s="68">
        <f t="shared" si="4"/>
        <v>15367.01763319085</v>
      </c>
      <c r="H18" s="68">
        <f t="shared" si="4"/>
        <v>15589.757985854667</v>
      </c>
      <c r="I18" s="68">
        <f t="shared" si="4"/>
        <v>15816.953145571759</v>
      </c>
      <c r="J18" s="68">
        <f t="shared" si="4"/>
        <v>16048.692208483193</v>
      </c>
      <c r="K18" s="68">
        <f t="shared" si="4"/>
        <v>16285.066052652857</v>
      </c>
    </row>
    <row r="19" spans="1:11" ht="15" customHeight="1" x14ac:dyDescent="0.3">
      <c r="A19" s="64" t="s">
        <v>381</v>
      </c>
      <c r="B19" s="68">
        <f t="shared" ref="B19:K19" si="5">B13+B17</f>
        <v>0</v>
      </c>
      <c r="C19" s="68">
        <f t="shared" si="5"/>
        <v>1356.6122999999998</v>
      </c>
      <c r="D19" s="68">
        <f t="shared" si="5"/>
        <v>4450.5489600000001</v>
      </c>
      <c r="E19" s="68">
        <f t="shared" si="5"/>
        <v>7774.0760116799993</v>
      </c>
      <c r="F19" s="68">
        <f t="shared" si="5"/>
        <v>11526.393128601598</v>
      </c>
      <c r="G19" s="68">
        <f t="shared" si="5"/>
        <v>11504.63283319085</v>
      </c>
      <c r="H19" s="68">
        <f t="shared" si="5"/>
        <v>11727.373185854667</v>
      </c>
      <c r="I19" s="68">
        <f t="shared" si="5"/>
        <v>11954.568345571759</v>
      </c>
      <c r="J19" s="68">
        <f t="shared" si="5"/>
        <v>12186.307408483193</v>
      </c>
      <c r="K19" s="68">
        <f t="shared" si="5"/>
        <v>12422.681252652857</v>
      </c>
    </row>
    <row r="20" spans="1:11" ht="41.25" customHeight="1" x14ac:dyDescent="0.3">
      <c r="A20" s="64" t="s">
        <v>382</v>
      </c>
      <c r="B20" s="71" t="s">
        <v>383</v>
      </c>
      <c r="C20" s="71" t="s">
        <v>383</v>
      </c>
      <c r="D20" s="71" t="s">
        <v>384</v>
      </c>
      <c r="E20" s="71" t="s">
        <v>384</v>
      </c>
      <c r="F20" s="71" t="s">
        <v>385</v>
      </c>
      <c r="G20" s="71" t="s">
        <v>385</v>
      </c>
      <c r="H20" s="71" t="s">
        <v>385</v>
      </c>
      <c r="I20" s="71" t="s">
        <v>385</v>
      </c>
      <c r="J20" s="71" t="s">
        <v>385</v>
      </c>
      <c r="K20" s="71" t="s">
        <v>385</v>
      </c>
    </row>
  </sheetData>
  <mergeCells count="1">
    <mergeCell ref="A1:K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E293B"/>
    <pageSetUpPr fitToPage="1"/>
  </sheetPr>
  <dimension ref="A1:K24"/>
  <sheetViews>
    <sheetView zoomScaleNormal="100" workbookViewId="0">
      <selection sqref="A1:K1"/>
    </sheetView>
  </sheetViews>
  <sheetFormatPr defaultColWidth="8.6640625" defaultRowHeight="13.2" x14ac:dyDescent="0.25"/>
  <cols>
    <col min="1" max="1" width="45" customWidth="1"/>
    <col min="2" max="11" width="14" customWidth="1"/>
  </cols>
  <sheetData>
    <row r="1" spans="1:11" ht="42" customHeight="1" x14ac:dyDescent="0.25">
      <c r="A1" s="14" t="s">
        <v>386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387</v>
      </c>
      <c r="B3" s="19" t="s">
        <v>226</v>
      </c>
      <c r="C3" s="19" t="s">
        <v>227</v>
      </c>
      <c r="D3" s="19" t="s">
        <v>92</v>
      </c>
      <c r="E3" s="19" t="s">
        <v>228</v>
      </c>
      <c r="F3" s="19" t="s">
        <v>229</v>
      </c>
      <c r="G3" s="19" t="s">
        <v>230</v>
      </c>
      <c r="H3" s="19" t="s">
        <v>231</v>
      </c>
      <c r="I3" s="19" t="s">
        <v>232</v>
      </c>
      <c r="J3" s="19" t="s">
        <v>233</v>
      </c>
      <c r="K3" s="19" t="s">
        <v>234</v>
      </c>
    </row>
    <row r="4" spans="1:11" ht="15" customHeight="1" x14ac:dyDescent="0.3">
      <c r="A4" s="64" t="s">
        <v>388</v>
      </c>
      <c r="B4" s="60">
        <f>MAX(0,Load_Tariff!B4-0)</f>
        <v>40</v>
      </c>
      <c r="C4" s="60">
        <f>MAX(0,Load_Tariff!C4-Load_Tariff!B4)</f>
        <v>1310</v>
      </c>
      <c r="D4" s="60">
        <f>MAX(0,Load_Tariff!D4-Load_Tariff!C4)</f>
        <v>650</v>
      </c>
      <c r="E4" s="60">
        <f>MAX(0,Load_Tariff!E4-Load_Tariff!D4)</f>
        <v>200</v>
      </c>
      <c r="F4" s="60">
        <f>MAX(0,Load_Tariff!F4-Load_Tariff!E4)</f>
        <v>200</v>
      </c>
      <c r="G4" s="60">
        <f>MAX(0,Load_Tariff!G4-Load_Tariff!F4)</f>
        <v>0</v>
      </c>
      <c r="H4" s="60">
        <f>MAX(0,Load_Tariff!H4-Load_Tariff!G4)</f>
        <v>0</v>
      </c>
      <c r="I4" s="60">
        <f>MAX(0,Load_Tariff!I4-Load_Tariff!H4)</f>
        <v>0</v>
      </c>
      <c r="J4" s="60">
        <f>MAX(0,Load_Tariff!J4-Load_Tariff!I4)</f>
        <v>0</v>
      </c>
      <c r="K4" s="60">
        <f>MAX(0,Load_Tariff!K4-Load_Tariff!J4)</f>
        <v>0</v>
      </c>
    </row>
    <row r="5" spans="1:11" ht="15" customHeight="1" x14ac:dyDescent="0.3">
      <c r="A5" s="64" t="s">
        <v>389</v>
      </c>
      <c r="B5" s="60">
        <f>MAX(0,Load_Tariff!B11-0)</f>
        <v>40</v>
      </c>
      <c r="C5" s="60">
        <f>MAX(0,Load_Tariff!C11-Load_Tariff!B11)</f>
        <v>1242.5</v>
      </c>
      <c r="D5" s="60">
        <f>MAX(0,Load_Tariff!D11-Load_Tariff!C11)</f>
        <v>512.5</v>
      </c>
      <c r="E5" s="60">
        <f>MAX(0,Load_Tariff!E11-Load_Tariff!D11)</f>
        <v>25</v>
      </c>
      <c r="F5" s="60">
        <f>MAX(0,Load_Tariff!F11-Load_Tariff!E11)</f>
        <v>0</v>
      </c>
      <c r="G5" s="60">
        <f>MAX(0,Load_Tariff!G11-Load_Tariff!F11)</f>
        <v>0</v>
      </c>
      <c r="H5" s="60">
        <f>MAX(0,Load_Tariff!H11-Load_Tariff!G11)</f>
        <v>0</v>
      </c>
      <c r="I5" s="60">
        <f>MAX(0,Load_Tariff!I11-Load_Tariff!H11)</f>
        <v>0</v>
      </c>
      <c r="J5" s="60">
        <f>MAX(0,Load_Tariff!J11-Load_Tariff!I11)</f>
        <v>0</v>
      </c>
      <c r="K5" s="60">
        <f>MAX(0,Load_Tariff!K11-Load_Tariff!J11)</f>
        <v>0</v>
      </c>
    </row>
    <row r="6" spans="1:11" ht="15" customHeight="1" x14ac:dyDescent="0.3">
      <c r="A6" s="64" t="s">
        <v>390</v>
      </c>
      <c r="B6" s="60">
        <f>MAX(0,Load_Tariff!B9-0)</f>
        <v>0</v>
      </c>
      <c r="C6" s="60">
        <f>MAX(0,Load_Tariff!C9-Load_Tariff!B9)</f>
        <v>67.5</v>
      </c>
      <c r="D6" s="60">
        <f>MAX(0,Load_Tariff!D9-Load_Tariff!C9)</f>
        <v>132.5</v>
      </c>
      <c r="E6" s="60">
        <f>MAX(0,Load_Tariff!E9-Load_Tariff!D9)</f>
        <v>130</v>
      </c>
      <c r="F6" s="60">
        <f>MAX(0,Load_Tariff!F9-Load_Tariff!E9)</f>
        <v>150</v>
      </c>
      <c r="G6" s="60">
        <f>MAX(0,Load_Tariff!G9-Load_Tariff!F9)</f>
        <v>0</v>
      </c>
      <c r="H6" s="60">
        <f>MAX(0,Load_Tariff!H9-Load_Tariff!G9)</f>
        <v>0</v>
      </c>
      <c r="I6" s="60">
        <f>MAX(0,Load_Tariff!I9-Load_Tariff!H9)</f>
        <v>0</v>
      </c>
      <c r="J6" s="60">
        <f>MAX(0,Load_Tariff!J9-Load_Tariff!I9)</f>
        <v>0</v>
      </c>
      <c r="K6" s="60">
        <f>MAX(0,Load_Tariff!K9-Load_Tariff!J9)</f>
        <v>0</v>
      </c>
    </row>
    <row r="7" spans="1:11" ht="15" customHeight="1" x14ac:dyDescent="0.3">
      <c r="A7" s="64" t="s">
        <v>391</v>
      </c>
      <c r="B7" s="60">
        <f>MAX(0,Load_Tariff!B8-0)</f>
        <v>0</v>
      </c>
      <c r="C7" s="60">
        <f>MAX(0,Load_Tariff!C8-Load_Tariff!B8)</f>
        <v>0</v>
      </c>
      <c r="D7" s="60">
        <f>MAX(0,Load_Tariff!D8-Load_Tariff!C8)</f>
        <v>5</v>
      </c>
      <c r="E7" s="60">
        <f>MAX(0,Load_Tariff!E8-Load_Tariff!D8)</f>
        <v>45</v>
      </c>
      <c r="F7" s="60">
        <f>MAX(0,Load_Tariff!F8-Load_Tariff!E8)</f>
        <v>50</v>
      </c>
      <c r="G7" s="60">
        <f>MAX(0,Load_Tariff!G8-Load_Tariff!F8)</f>
        <v>150</v>
      </c>
      <c r="H7" s="60">
        <f>MAX(0,Load_Tariff!H8-Load_Tariff!G8)</f>
        <v>0</v>
      </c>
      <c r="I7" s="60">
        <f>MAX(0,Load_Tariff!I8-Load_Tariff!H8)</f>
        <v>0</v>
      </c>
      <c r="J7" s="60">
        <f>MAX(0,Load_Tariff!J8-Load_Tariff!I8)</f>
        <v>0</v>
      </c>
      <c r="K7" s="60">
        <f>MAX(0,Load_Tariff!K8-Load_Tariff!J8)</f>
        <v>0</v>
      </c>
    </row>
    <row r="8" spans="1:11" ht="15" customHeight="1" x14ac:dyDescent="0.3">
      <c r="A8" s="64" t="s">
        <v>392</v>
      </c>
      <c r="B8" s="60">
        <f>20</f>
        <v>20</v>
      </c>
      <c r="C8" s="60">
        <f>230</f>
        <v>230</v>
      </c>
      <c r="D8" s="60">
        <f>350</f>
        <v>350</v>
      </c>
      <c r="E8" s="60">
        <f>600</f>
        <v>600</v>
      </c>
      <c r="F8" s="60">
        <f>200</f>
        <v>200</v>
      </c>
      <c r="G8" s="60">
        <f>100</f>
        <v>100</v>
      </c>
      <c r="H8" s="60">
        <f>0</f>
        <v>0</v>
      </c>
      <c r="I8" s="60">
        <f>0</f>
        <v>0</v>
      </c>
      <c r="J8" s="60">
        <f>0</f>
        <v>0</v>
      </c>
      <c r="K8" s="60">
        <f>0</f>
        <v>0</v>
      </c>
    </row>
    <row r="9" spans="1:11" ht="15" customHeight="1" x14ac:dyDescent="0.3">
      <c r="A9" s="64" t="s">
        <v>393</v>
      </c>
      <c r="B9" s="68">
        <f>B5*Scenario_Control!$B$35</f>
        <v>800</v>
      </c>
      <c r="C9" s="68">
        <f>C5*Scenario_Control!$B$35</f>
        <v>24850</v>
      </c>
      <c r="D9" s="68">
        <f>D5*Scenario_Control!$B$35</f>
        <v>10250</v>
      </c>
      <c r="E9" s="68">
        <f>E5*Scenario_Control!$B$35</f>
        <v>500</v>
      </c>
      <c r="F9" s="68">
        <f>F5*Scenario_Control!$B$35</f>
        <v>0</v>
      </c>
      <c r="G9" s="68">
        <f>G5*Scenario_Control!$B$35</f>
        <v>0</v>
      </c>
      <c r="H9" s="68">
        <f>H5*Scenario_Control!$B$35</f>
        <v>0</v>
      </c>
      <c r="I9" s="68">
        <f>I5*Scenario_Control!$B$35</f>
        <v>0</v>
      </c>
      <c r="J9" s="68">
        <f>J5*Scenario_Control!$B$35</f>
        <v>0</v>
      </c>
      <c r="K9" s="68">
        <f>K5*Scenario_Control!$B$35</f>
        <v>0</v>
      </c>
    </row>
    <row r="10" spans="1:11" ht="15" customHeight="1" x14ac:dyDescent="0.3">
      <c r="A10" s="64" t="s">
        <v>394</v>
      </c>
      <c r="B10" s="68">
        <f>B4*Scenario_Control!$B$36</f>
        <v>200</v>
      </c>
      <c r="C10" s="68">
        <f>C4*Scenario_Control!$B$36</f>
        <v>6550</v>
      </c>
      <c r="D10" s="68">
        <f>D4*Scenario_Control!$B$36</f>
        <v>3250</v>
      </c>
      <c r="E10" s="68">
        <f>E4*Scenario_Control!$B$36</f>
        <v>1000</v>
      </c>
      <c r="F10" s="68">
        <f>F4*Scenario_Control!$B$36</f>
        <v>1000</v>
      </c>
      <c r="G10" s="68">
        <f>G4*Scenario_Control!$B$36</f>
        <v>0</v>
      </c>
      <c r="H10" s="68">
        <f>H4*Scenario_Control!$B$36</f>
        <v>0</v>
      </c>
      <c r="I10" s="68">
        <f>I4*Scenario_Control!$B$36</f>
        <v>0</v>
      </c>
      <c r="J10" s="68">
        <f>J4*Scenario_Control!$B$36</f>
        <v>0</v>
      </c>
      <c r="K10" s="68">
        <f>K4*Scenario_Control!$B$36</f>
        <v>0</v>
      </c>
    </row>
    <row r="11" spans="1:11" ht="15" customHeight="1" x14ac:dyDescent="0.3">
      <c r="A11" s="64" t="s">
        <v>395</v>
      </c>
      <c r="B11" s="68">
        <f>B8*Scenario_Control!$B$37</f>
        <v>140</v>
      </c>
      <c r="C11" s="68">
        <f>C8*Scenario_Control!$B$37</f>
        <v>1610</v>
      </c>
      <c r="D11" s="68">
        <f>D8*Scenario_Control!$B$37</f>
        <v>2450</v>
      </c>
      <c r="E11" s="68">
        <f>E8*Scenario_Control!$B$37</f>
        <v>4200</v>
      </c>
      <c r="F11" s="68">
        <f>F8*Scenario_Control!$B$37</f>
        <v>1400</v>
      </c>
      <c r="G11" s="68">
        <f>G8*Scenario_Control!$B$37</f>
        <v>700</v>
      </c>
      <c r="H11" s="68">
        <f>H8*Scenario_Control!$B$37</f>
        <v>0</v>
      </c>
      <c r="I11" s="68">
        <f>I8*Scenario_Control!$B$37</f>
        <v>0</v>
      </c>
      <c r="J11" s="68">
        <f>J8*Scenario_Control!$B$37</f>
        <v>0</v>
      </c>
      <c r="K11" s="68">
        <f>K8*Scenario_Control!$B$37</f>
        <v>0</v>
      </c>
    </row>
    <row r="12" spans="1:11" ht="15" customHeight="1" x14ac:dyDescent="0.3">
      <c r="A12" s="64" t="s">
        <v>396</v>
      </c>
      <c r="B12" s="68">
        <f>B6*Scenario_Control!$B$38</f>
        <v>0</v>
      </c>
      <c r="C12" s="68">
        <f>C6*Scenario_Control!$B$38</f>
        <v>2700</v>
      </c>
      <c r="D12" s="68">
        <f>D6*Scenario_Control!$B$38</f>
        <v>5300</v>
      </c>
      <c r="E12" s="68">
        <f>E6*Scenario_Control!$B$38</f>
        <v>5200</v>
      </c>
      <c r="F12" s="68">
        <f>F6*Scenario_Control!$B$38</f>
        <v>6000</v>
      </c>
      <c r="G12" s="68">
        <f>G6*Scenario_Control!$B$38</f>
        <v>0</v>
      </c>
      <c r="H12" s="68">
        <f>H6*Scenario_Control!$B$38</f>
        <v>0</v>
      </c>
      <c r="I12" s="68">
        <f>I6*Scenario_Control!$B$38</f>
        <v>0</v>
      </c>
      <c r="J12" s="68">
        <f>J6*Scenario_Control!$B$38</f>
        <v>0</v>
      </c>
      <c r="K12" s="68">
        <f>K6*Scenario_Control!$B$38</f>
        <v>0</v>
      </c>
    </row>
    <row r="13" spans="1:11" ht="15" customHeight="1" x14ac:dyDescent="0.3">
      <c r="A13" s="64" t="s">
        <v>397</v>
      </c>
      <c r="B13" s="68">
        <f>B7*Scenario_Control!$B$39*Scenario_Control!$B$54</f>
        <v>0</v>
      </c>
      <c r="C13" s="68">
        <f>C7*Scenario_Control!$B$39*Scenario_Control!$B$54</f>
        <v>0</v>
      </c>
      <c r="D13" s="68">
        <f>D7*Scenario_Control!$B$39*Scenario_Control!$B$54</f>
        <v>0</v>
      </c>
      <c r="E13" s="68">
        <f>E7*Scenario_Control!$B$39*Scenario_Control!$B$54</f>
        <v>0</v>
      </c>
      <c r="F13" s="68">
        <f>F7*Scenario_Control!$B$39*Scenario_Control!$B$54</f>
        <v>0</v>
      </c>
      <c r="G13" s="68">
        <f>G7*Scenario_Control!$B$39*Scenario_Control!$B$54</f>
        <v>0</v>
      </c>
      <c r="H13" s="68">
        <f>H7*Scenario_Control!$B$39*Scenario_Control!$B$54</f>
        <v>0</v>
      </c>
      <c r="I13" s="68">
        <f>I7*Scenario_Control!$B$39*Scenario_Control!$B$54</f>
        <v>0</v>
      </c>
      <c r="J13" s="68">
        <f>J7*Scenario_Control!$B$39*Scenario_Control!$B$54</f>
        <v>0</v>
      </c>
      <c r="K13" s="68">
        <f>K7*Scenario_Control!$B$39*Scenario_Control!$B$54</f>
        <v>0</v>
      </c>
    </row>
    <row r="14" spans="1:11" ht="15" customHeight="1" x14ac:dyDescent="0.3">
      <c r="A14" s="64" t="s">
        <v>398</v>
      </c>
      <c r="B14" s="68">
        <f t="shared" ref="B14:K14" si="0">SUM(B9:B12)</f>
        <v>1140</v>
      </c>
      <c r="C14" s="68">
        <f t="shared" si="0"/>
        <v>35710</v>
      </c>
      <c r="D14" s="68">
        <f t="shared" si="0"/>
        <v>21250</v>
      </c>
      <c r="E14" s="68">
        <f t="shared" si="0"/>
        <v>10900</v>
      </c>
      <c r="F14" s="68">
        <f t="shared" si="0"/>
        <v>8400</v>
      </c>
      <c r="G14" s="68">
        <f t="shared" si="0"/>
        <v>700</v>
      </c>
      <c r="H14" s="68">
        <f t="shared" si="0"/>
        <v>0</v>
      </c>
      <c r="I14" s="68">
        <f t="shared" si="0"/>
        <v>0</v>
      </c>
      <c r="J14" s="68">
        <f t="shared" si="0"/>
        <v>0</v>
      </c>
      <c r="K14" s="68">
        <f t="shared" si="0"/>
        <v>0</v>
      </c>
    </row>
    <row r="15" spans="1:11" ht="15" customHeight="1" x14ac:dyDescent="0.3">
      <c r="A15" s="61" t="s">
        <v>399</v>
      </c>
      <c r="B15" s="72">
        <f t="shared" ref="B15:K15" si="1">B14+B13</f>
        <v>1140</v>
      </c>
      <c r="C15" s="72">
        <f t="shared" si="1"/>
        <v>35710</v>
      </c>
      <c r="D15" s="72">
        <f t="shared" si="1"/>
        <v>21250</v>
      </c>
      <c r="E15" s="72">
        <f t="shared" si="1"/>
        <v>10900</v>
      </c>
      <c r="F15" s="72">
        <f t="shared" si="1"/>
        <v>8400</v>
      </c>
      <c r="G15" s="72">
        <f t="shared" si="1"/>
        <v>700</v>
      </c>
      <c r="H15" s="72">
        <f t="shared" si="1"/>
        <v>0</v>
      </c>
      <c r="I15" s="72">
        <f t="shared" si="1"/>
        <v>0</v>
      </c>
      <c r="J15" s="72">
        <f t="shared" si="1"/>
        <v>0</v>
      </c>
      <c r="K15" s="72">
        <f t="shared" si="1"/>
        <v>0</v>
      </c>
    </row>
    <row r="16" spans="1:11" ht="15" customHeight="1" x14ac:dyDescent="0.3">
      <c r="A16" s="61" t="s">
        <v>400</v>
      </c>
      <c r="B16" s="72">
        <f>B12*Scenario_Control!$B$44</f>
        <v>0</v>
      </c>
      <c r="C16" s="72">
        <f>C12*Scenario_Control!$B$44</f>
        <v>1350</v>
      </c>
      <c r="D16" s="72">
        <f>D12*Scenario_Control!$B$44</f>
        <v>2650</v>
      </c>
      <c r="E16" s="72">
        <f>E12*Scenario_Control!$B$44</f>
        <v>2600</v>
      </c>
      <c r="F16" s="72">
        <f>F12*Scenario_Control!$B$44</f>
        <v>3000</v>
      </c>
      <c r="G16" s="72">
        <f>G12*Scenario_Control!$B$44</f>
        <v>0</v>
      </c>
      <c r="H16" s="72">
        <f>H12*Scenario_Control!$B$44</f>
        <v>0</v>
      </c>
      <c r="I16" s="72">
        <f>I12*Scenario_Control!$B$44</f>
        <v>0</v>
      </c>
      <c r="J16" s="72">
        <f>J12*Scenario_Control!$B$44</f>
        <v>0</v>
      </c>
      <c r="K16" s="72">
        <f>K12*Scenario_Control!$B$44</f>
        <v>0</v>
      </c>
    </row>
    <row r="17" spans="1:11" ht="15" customHeight="1" x14ac:dyDescent="0.3">
      <c r="A17" s="64" t="s">
        <v>401</v>
      </c>
      <c r="B17" s="68">
        <f>B13*Scenario_Control!$B$45</f>
        <v>0</v>
      </c>
      <c r="C17" s="68">
        <f>C13*Scenario_Control!$B$45</f>
        <v>0</v>
      </c>
      <c r="D17" s="68">
        <f>D13*Scenario_Control!$B$45</f>
        <v>0</v>
      </c>
      <c r="E17" s="68">
        <f>E13*Scenario_Control!$B$45</f>
        <v>0</v>
      </c>
      <c r="F17" s="68">
        <f>F13*Scenario_Control!$B$45</f>
        <v>0</v>
      </c>
      <c r="G17" s="68">
        <f>G13*Scenario_Control!$B$45</f>
        <v>0</v>
      </c>
      <c r="H17" s="68">
        <f>H13*Scenario_Control!$B$45</f>
        <v>0</v>
      </c>
      <c r="I17" s="68">
        <f>I13*Scenario_Control!$B$45</f>
        <v>0</v>
      </c>
      <c r="J17" s="68">
        <f>J13*Scenario_Control!$B$45</f>
        <v>0</v>
      </c>
      <c r="K17" s="68">
        <f>K13*Scenario_Control!$B$45</f>
        <v>0</v>
      </c>
    </row>
    <row r="18" spans="1:11" ht="15" customHeight="1" x14ac:dyDescent="0.3">
      <c r="A18" s="64" t="s">
        <v>402</v>
      </c>
      <c r="B18" s="68">
        <f>(B9+B10+B11)*(1-Scenario_Control!$B$48)+B12*(1-Scenario_Control!$B$44)</f>
        <v>1026</v>
      </c>
      <c r="C18" s="68">
        <f>(C9+C10+C11)*(1-Scenario_Control!$B$48)+C12*(1-Scenario_Control!$B$44)</f>
        <v>31059</v>
      </c>
      <c r="D18" s="68">
        <f>(D9+D10+D11)*(1-Scenario_Control!$B$48)+D12*(1-Scenario_Control!$B$44)</f>
        <v>17005</v>
      </c>
      <c r="E18" s="68">
        <f>(E9+E10+E11)*(1-Scenario_Control!$B$48)+E12*(1-Scenario_Control!$B$44)</f>
        <v>7730</v>
      </c>
      <c r="F18" s="68">
        <f>(F9+F10+F11)*(1-Scenario_Control!$B$48)+F12*(1-Scenario_Control!$B$44)</f>
        <v>5160</v>
      </c>
      <c r="G18" s="68">
        <f>(G9+G10+G11)*(1-Scenario_Control!$B$48)+G12*(1-Scenario_Control!$B$44)</f>
        <v>630</v>
      </c>
      <c r="H18" s="68">
        <f>(H9+H10+H11)*(1-Scenario_Control!$B$48)+H12*(1-Scenario_Control!$B$44)</f>
        <v>0</v>
      </c>
      <c r="I18" s="68">
        <f>(I9+I10+I11)*(1-Scenario_Control!$B$48)+I12*(1-Scenario_Control!$B$44)</f>
        <v>0</v>
      </c>
      <c r="J18" s="68">
        <f>(J9+J10+J11)*(1-Scenario_Control!$B$48)+J12*(1-Scenario_Control!$B$44)</f>
        <v>0</v>
      </c>
      <c r="K18" s="68">
        <f>(K9+K10+K11)*(1-Scenario_Control!$B$48)+K12*(1-Scenario_Control!$B$44)</f>
        <v>0</v>
      </c>
    </row>
    <row r="19" spans="1:11" ht="15" customHeight="1" x14ac:dyDescent="0.3">
      <c r="A19" s="64" t="s">
        <v>403</v>
      </c>
      <c r="B19" s="68">
        <f>B13*(1-Scenario_Control!$B$45)</f>
        <v>0</v>
      </c>
      <c r="C19" s="68">
        <f>C13*(1-Scenario_Control!$B$45)</f>
        <v>0</v>
      </c>
      <c r="D19" s="68">
        <f>D13*(1-Scenario_Control!$B$45)</f>
        <v>0</v>
      </c>
      <c r="E19" s="68">
        <f>E13*(1-Scenario_Control!$B$45)</f>
        <v>0</v>
      </c>
      <c r="F19" s="68">
        <f>F13*(1-Scenario_Control!$B$45)</f>
        <v>0</v>
      </c>
      <c r="G19" s="68">
        <f>G13*(1-Scenario_Control!$B$45)</f>
        <v>0</v>
      </c>
      <c r="H19" s="68">
        <f>H13*(1-Scenario_Control!$B$45)</f>
        <v>0</v>
      </c>
      <c r="I19" s="68">
        <f>I13*(1-Scenario_Control!$B$45)</f>
        <v>0</v>
      </c>
      <c r="J19" s="68">
        <f>J13*(1-Scenario_Control!$B$45)</f>
        <v>0</v>
      </c>
      <c r="K19" s="68">
        <f>K13*(1-Scenario_Control!$B$45)</f>
        <v>0</v>
      </c>
    </row>
    <row r="20" spans="1:11" ht="15" customHeight="1" x14ac:dyDescent="0.3">
      <c r="A20" s="64" t="s">
        <v>404</v>
      </c>
      <c r="B20" s="68">
        <f>B15*Scenario_Control!$B$43</f>
        <v>114</v>
      </c>
      <c r="C20" s="68">
        <f>C15*Scenario_Control!$B$43</f>
        <v>3571</v>
      </c>
      <c r="D20" s="68">
        <f>D15*Scenario_Control!$B$43</f>
        <v>2125</v>
      </c>
      <c r="E20" s="68">
        <f>E15*Scenario_Control!$B$43</f>
        <v>1090</v>
      </c>
      <c r="F20" s="68">
        <f>F15*Scenario_Control!$B$43</f>
        <v>840</v>
      </c>
      <c r="G20" s="68">
        <f>G15*Scenario_Control!$B$43</f>
        <v>70</v>
      </c>
      <c r="H20" s="68">
        <f>H15*Scenario_Control!$B$43</f>
        <v>0</v>
      </c>
      <c r="I20" s="68">
        <f>I15*Scenario_Control!$B$43</f>
        <v>0</v>
      </c>
      <c r="J20" s="68">
        <f>J15*Scenario_Control!$B$43</f>
        <v>0</v>
      </c>
      <c r="K20" s="68">
        <f>K15*Scenario_Control!$B$43</f>
        <v>0</v>
      </c>
    </row>
    <row r="21" spans="1:11" ht="15" customHeight="1" x14ac:dyDescent="0.3">
      <c r="A21" s="61" t="s">
        <v>405</v>
      </c>
      <c r="B21" s="72">
        <f t="shared" ref="B21:K21" si="2">B18+B19+B20</f>
        <v>1140</v>
      </c>
      <c r="C21" s="72">
        <f t="shared" si="2"/>
        <v>34630</v>
      </c>
      <c r="D21" s="72">
        <f t="shared" si="2"/>
        <v>19130</v>
      </c>
      <c r="E21" s="72">
        <f t="shared" si="2"/>
        <v>8820</v>
      </c>
      <c r="F21" s="72">
        <f t="shared" si="2"/>
        <v>6000</v>
      </c>
      <c r="G21" s="72">
        <f t="shared" si="2"/>
        <v>700</v>
      </c>
      <c r="H21" s="72">
        <f t="shared" si="2"/>
        <v>0</v>
      </c>
      <c r="I21" s="72">
        <f t="shared" si="2"/>
        <v>0</v>
      </c>
      <c r="J21" s="72">
        <f t="shared" si="2"/>
        <v>0</v>
      </c>
      <c r="K21" s="72">
        <f t="shared" si="2"/>
        <v>0</v>
      </c>
    </row>
    <row r="22" spans="1:11" ht="15" customHeight="1" x14ac:dyDescent="0.3">
      <c r="A22" s="61" t="s">
        <v>406</v>
      </c>
      <c r="B22" s="72">
        <f>SUM($B$14:B14)*(1+Scenario_Control!$B$43)</f>
        <v>1254</v>
      </c>
      <c r="C22" s="72">
        <f>SUM($B$14:C14)*(1+Scenario_Control!$B$43)</f>
        <v>40535</v>
      </c>
      <c r="D22" s="72">
        <f>SUM($B$14:D14)*(1+Scenario_Control!$B$43)</f>
        <v>63910.000000000007</v>
      </c>
      <c r="E22" s="72">
        <f>SUM($B$14:E14)*(1+Scenario_Control!$B$43)</f>
        <v>75900</v>
      </c>
      <c r="F22" s="72">
        <f>SUM($B$14:F14)*(1+Scenario_Control!$B$43)</f>
        <v>85140</v>
      </c>
      <c r="G22" s="72">
        <f>SUM($B$14:G14)*(1+Scenario_Control!$B$43)</f>
        <v>85910</v>
      </c>
      <c r="H22" s="72">
        <f>SUM($B$14:H14)*(1+Scenario_Control!$B$43)</f>
        <v>85910</v>
      </c>
      <c r="I22" s="72">
        <f>SUM($B$14:I14)*(1+Scenario_Control!$B$43)</f>
        <v>85910</v>
      </c>
      <c r="J22" s="72">
        <f>SUM($B$14:J14)*(1+Scenario_Control!$B$43)</f>
        <v>85910</v>
      </c>
      <c r="K22" s="72">
        <f>SUM($B$14:K14)*(1+Scenario_Control!$B$43)</f>
        <v>85910</v>
      </c>
    </row>
    <row r="23" spans="1:11" ht="15" customHeight="1" x14ac:dyDescent="0.3">
      <c r="A23" s="61" t="s">
        <v>407</v>
      </c>
      <c r="B23" s="72">
        <f>SUM($B$15:B15)*(1+Scenario_Control!$B$43)</f>
        <v>1254</v>
      </c>
      <c r="C23" s="72">
        <f>SUM($B$15:C15)*(1+Scenario_Control!$B$43)</f>
        <v>40535</v>
      </c>
      <c r="D23" s="72">
        <f>SUM($B$15:D15)*(1+Scenario_Control!$B$43)</f>
        <v>63910.000000000007</v>
      </c>
      <c r="E23" s="72">
        <f>SUM($B$15:E15)*(1+Scenario_Control!$B$43)</f>
        <v>75900</v>
      </c>
      <c r="F23" s="72">
        <f>SUM($B$15:F15)*(1+Scenario_Control!$B$43)</f>
        <v>85140</v>
      </c>
      <c r="G23" s="72">
        <f>SUM($B$15:G15)*(1+Scenario_Control!$B$43)</f>
        <v>85910</v>
      </c>
      <c r="H23" s="72">
        <f>SUM($B$15:H15)*(1+Scenario_Control!$B$43)</f>
        <v>85910</v>
      </c>
      <c r="I23" s="72">
        <f>SUM($B$15:I15)*(1+Scenario_Control!$B$43)</f>
        <v>85910</v>
      </c>
      <c r="J23" s="72">
        <f>SUM($B$15:J15)*(1+Scenario_Control!$B$43)</f>
        <v>85910</v>
      </c>
      <c r="K23" s="72">
        <f>SUM($B$15:K15)*(1+Scenario_Control!$B$43)</f>
        <v>85910</v>
      </c>
    </row>
    <row r="24" spans="1:11" ht="15" customHeight="1" x14ac:dyDescent="0.3">
      <c r="A24" s="64" t="s">
        <v>408</v>
      </c>
      <c r="B24" s="67">
        <f t="shared" ref="B24:K24" si="3">IF(B15=0,0,B13/B15)</f>
        <v>0</v>
      </c>
      <c r="C24" s="67">
        <f t="shared" si="3"/>
        <v>0</v>
      </c>
      <c r="D24" s="67">
        <f t="shared" si="3"/>
        <v>0</v>
      </c>
      <c r="E24" s="67">
        <f t="shared" si="3"/>
        <v>0</v>
      </c>
      <c r="F24" s="67">
        <f t="shared" si="3"/>
        <v>0</v>
      </c>
      <c r="G24" s="67">
        <f t="shared" si="3"/>
        <v>0</v>
      </c>
      <c r="H24" s="67">
        <f t="shared" si="3"/>
        <v>0</v>
      </c>
      <c r="I24" s="67">
        <f t="shared" si="3"/>
        <v>0</v>
      </c>
      <c r="J24" s="67">
        <f t="shared" si="3"/>
        <v>0</v>
      </c>
      <c r="K24" s="67">
        <f t="shared" si="3"/>
        <v>0</v>
      </c>
    </row>
  </sheetData>
  <mergeCells count="1">
    <mergeCell ref="A1:K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E293B"/>
    <pageSetUpPr fitToPage="1"/>
  </sheetPr>
  <dimension ref="A1:K16"/>
  <sheetViews>
    <sheetView zoomScaleNormal="100" workbookViewId="0">
      <selection sqref="A1:K1"/>
    </sheetView>
  </sheetViews>
  <sheetFormatPr defaultColWidth="8.6640625" defaultRowHeight="13.2" x14ac:dyDescent="0.25"/>
  <cols>
    <col min="1" max="1" width="48" customWidth="1"/>
    <col min="2" max="11" width="14" customWidth="1"/>
  </cols>
  <sheetData>
    <row r="1" spans="1:11" ht="42" customHeight="1" x14ac:dyDescent="0.25">
      <c r="A1" s="14" t="s">
        <v>409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410</v>
      </c>
      <c r="B3" s="19" t="s">
        <v>226</v>
      </c>
      <c r="C3" s="19" t="s">
        <v>227</v>
      </c>
      <c r="D3" s="19" t="s">
        <v>92</v>
      </c>
      <c r="E3" s="19" t="s">
        <v>228</v>
      </c>
      <c r="F3" s="19" t="s">
        <v>229</v>
      </c>
      <c r="G3" s="19" t="s">
        <v>230</v>
      </c>
      <c r="H3" s="19" t="s">
        <v>231</v>
      </c>
      <c r="I3" s="19" t="s">
        <v>232</v>
      </c>
      <c r="J3" s="19" t="s">
        <v>233</v>
      </c>
      <c r="K3" s="19" t="s">
        <v>234</v>
      </c>
    </row>
    <row r="4" spans="1:11" ht="15" customHeight="1" x14ac:dyDescent="0.3">
      <c r="A4" s="64" t="s">
        <v>411</v>
      </c>
      <c r="B4" s="68">
        <f>BTC_Model!B13</f>
        <v>632.70316666666668</v>
      </c>
      <c r="C4" s="68">
        <f>BTC_Model!C13</f>
        <v>21609.048234375001</v>
      </c>
      <c r="D4" s="68">
        <f>BTC_Model!D13</f>
        <v>16047.96564583333</v>
      </c>
      <c r="E4" s="68">
        <f>BTC_Model!E13</f>
        <v>17210.213854166661</v>
      </c>
      <c r="F4" s="68">
        <f>BTC_Model!F13</f>
        <v>18148.952791666667</v>
      </c>
      <c r="G4" s="68">
        <f>BTC_Model!G13</f>
        <v>17619.407750000002</v>
      </c>
      <c r="H4" s="68">
        <f>BTC_Model!H13</f>
        <v>9242.9680000000008</v>
      </c>
      <c r="I4" s="68">
        <f>BTC_Model!I13</f>
        <v>9676.2321250000005</v>
      </c>
      <c r="J4" s="68">
        <f>BTC_Model!J13</f>
        <v>10109.496249999998</v>
      </c>
      <c r="K4" s="68">
        <f>BTC_Model!K13</f>
        <v>10542.760375</v>
      </c>
    </row>
    <row r="5" spans="1:11" ht="15" customHeight="1" x14ac:dyDescent="0.3">
      <c r="A5" s="64" t="s">
        <v>412</v>
      </c>
      <c r="B5" s="68">
        <f>DR_Model!B9</f>
        <v>100.4</v>
      </c>
      <c r="C5" s="68">
        <f>DR_Model!C9</f>
        <v>3219.0749999999998</v>
      </c>
      <c r="D5" s="68">
        <f>DR_Model!D9</f>
        <v>4445.45</v>
      </c>
      <c r="E5" s="68">
        <f>DR_Model!E9</f>
        <v>2644.45</v>
      </c>
      <c r="F5" s="68">
        <f>DR_Model!F9</f>
        <v>1875.7</v>
      </c>
      <c r="G5" s="68">
        <f>DR_Model!G9</f>
        <v>1696.8</v>
      </c>
      <c r="H5" s="68">
        <f>DR_Model!H9</f>
        <v>1696.8</v>
      </c>
      <c r="I5" s="68">
        <f>DR_Model!I9</f>
        <v>1696.8</v>
      </c>
      <c r="J5" s="68">
        <f>DR_Model!J9</f>
        <v>1696.8</v>
      </c>
      <c r="K5" s="68">
        <f>DR_Model!K9</f>
        <v>1696.8</v>
      </c>
    </row>
    <row r="6" spans="1:11" ht="15" customHeight="1" x14ac:dyDescent="0.3">
      <c r="A6" s="64" t="s">
        <v>413</v>
      </c>
      <c r="B6" s="68">
        <f>DR_Model!B10</f>
        <v>0</v>
      </c>
      <c r="C6" s="68">
        <f>DR_Model!C10</f>
        <v>3486.5018999999993</v>
      </c>
      <c r="D6" s="68">
        <f>DR_Model!D10</f>
        <v>7319.6151</v>
      </c>
      <c r="E6" s="68">
        <f>DR_Model!E10</f>
        <v>8658.4861999999994</v>
      </c>
      <c r="F6" s="68">
        <f>DR_Model!F10</f>
        <v>8658.4861999999994</v>
      </c>
      <c r="G6" s="68">
        <f>DR_Model!G10</f>
        <v>7992.4487999999992</v>
      </c>
      <c r="H6" s="68">
        <f>DR_Model!H10</f>
        <v>7992.4487999999992</v>
      </c>
      <c r="I6" s="68">
        <f>DR_Model!I10</f>
        <v>7992.4487999999992</v>
      </c>
      <c r="J6" s="68">
        <f>DR_Model!J10</f>
        <v>7992.4487999999992</v>
      </c>
      <c r="K6" s="68">
        <f>DR_Model!K10</f>
        <v>7992.4487999999992</v>
      </c>
    </row>
    <row r="7" spans="1:11" ht="15" customHeight="1" x14ac:dyDescent="0.3">
      <c r="A7" s="64" t="s">
        <v>414</v>
      </c>
      <c r="B7" s="68">
        <f>IF(B$3&lt;2028,0,DR_Model!B9*0.3)</f>
        <v>30.12</v>
      </c>
      <c r="C7" s="68">
        <f>IF(C$3&lt;2028,0,DR_Model!C9*0.3)</f>
        <v>965.72249999999985</v>
      </c>
      <c r="D7" s="68">
        <f>IF(D$3&lt;2028,0,DR_Model!D9*0.3)</f>
        <v>1333.635</v>
      </c>
      <c r="E7" s="68">
        <f>IF(E$3&lt;2028,0,DR_Model!E9*0.3)</f>
        <v>793.33499999999992</v>
      </c>
      <c r="F7" s="68">
        <f>IF(F$3&lt;2028,0,DR_Model!F9*0.3)</f>
        <v>562.71</v>
      </c>
      <c r="G7" s="68">
        <f>IF(G$3&lt;2028,0,DR_Model!G9*0.3)</f>
        <v>509.03999999999996</v>
      </c>
      <c r="H7" s="68">
        <f>IF(H$3&lt;2028,0,DR_Model!H9*0.3)</f>
        <v>509.03999999999996</v>
      </c>
      <c r="I7" s="68">
        <f>IF(I$3&lt;2028,0,DR_Model!I9*0.3)</f>
        <v>509.03999999999996</v>
      </c>
      <c r="J7" s="68">
        <f>IF(J$3&lt;2028,0,DR_Model!J9*0.3)</f>
        <v>509.03999999999996</v>
      </c>
      <c r="K7" s="68">
        <f>IF(K$3&lt;2028,0,DR_Model!K9*0.3)</f>
        <v>509.03999999999996</v>
      </c>
    </row>
    <row r="8" spans="1:11" ht="15" customHeight="1" x14ac:dyDescent="0.3">
      <c r="A8" s="64" t="s">
        <v>415</v>
      </c>
      <c r="B8" s="68">
        <f>AI_DC_Model!B8</f>
        <v>0</v>
      </c>
      <c r="C8" s="68">
        <f>AI_DC_Model!C8</f>
        <v>1477.6587</v>
      </c>
      <c r="D8" s="68">
        <f>AI_DC_Model!D8</f>
        <v>4465.8129600000002</v>
      </c>
      <c r="E8" s="68">
        <f>AI_DC_Model!E8</f>
        <v>7515.9632116799994</v>
      </c>
      <c r="F8" s="68">
        <f>AI_DC_Model!F8</f>
        <v>11150.956328601598</v>
      </c>
      <c r="G8" s="68">
        <f>AI_DC_Model!G8</f>
        <v>11137.01763319085</v>
      </c>
      <c r="H8" s="68">
        <f>AI_DC_Model!H8</f>
        <v>11359.757985854667</v>
      </c>
      <c r="I8" s="68">
        <f>AI_DC_Model!I8</f>
        <v>11586.953145571759</v>
      </c>
      <c r="J8" s="68">
        <f>AI_DC_Model!J8</f>
        <v>11818.692208483193</v>
      </c>
      <c r="K8" s="68">
        <f>AI_DC_Model!K8</f>
        <v>12055.066052652857</v>
      </c>
    </row>
    <row r="9" spans="1:11" ht="15" customHeight="1" x14ac:dyDescent="0.3">
      <c r="A9" s="64" t="s">
        <v>416</v>
      </c>
      <c r="B9" s="68">
        <f>AI_DC_Model!B11</f>
        <v>0</v>
      </c>
      <c r="C9" s="68">
        <f>AI_DC_Model!C11</f>
        <v>607.5</v>
      </c>
      <c r="D9" s="68">
        <f>AI_DC_Model!D11</f>
        <v>1800</v>
      </c>
      <c r="E9" s="68">
        <f>AI_DC_Model!E11</f>
        <v>2970</v>
      </c>
      <c r="F9" s="68">
        <f>AI_DC_Model!F11</f>
        <v>4320</v>
      </c>
      <c r="G9" s="68">
        <f>AI_DC_Model!G11</f>
        <v>4230</v>
      </c>
      <c r="H9" s="68">
        <f>AI_DC_Model!H11</f>
        <v>4230</v>
      </c>
      <c r="I9" s="68">
        <f>AI_DC_Model!I11</f>
        <v>4230</v>
      </c>
      <c r="J9" s="68">
        <f>AI_DC_Model!J11</f>
        <v>4230</v>
      </c>
      <c r="K9" s="68">
        <f>AI_DC_Model!K11</f>
        <v>4230</v>
      </c>
    </row>
    <row r="10" spans="1:11" ht="15" customHeight="1" x14ac:dyDescent="0.3">
      <c r="A10" s="61" t="s">
        <v>417</v>
      </c>
      <c r="B10" s="72">
        <f t="shared" ref="B10:K10" si="0">SUM(B4:B5,B7:B9)</f>
        <v>763.22316666666666</v>
      </c>
      <c r="C10" s="72">
        <f t="shared" si="0"/>
        <v>27879.004434375001</v>
      </c>
      <c r="D10" s="72">
        <f t="shared" si="0"/>
        <v>28092.863605833329</v>
      </c>
      <c r="E10" s="72">
        <f t="shared" si="0"/>
        <v>31133.962065846659</v>
      </c>
      <c r="F10" s="72">
        <f t="shared" si="0"/>
        <v>36058.319120268265</v>
      </c>
      <c r="G10" s="72">
        <f t="shared" si="0"/>
        <v>35192.265383190854</v>
      </c>
      <c r="H10" s="72">
        <f t="shared" si="0"/>
        <v>27038.565985854668</v>
      </c>
      <c r="I10" s="72">
        <f t="shared" si="0"/>
        <v>27699.025270571758</v>
      </c>
      <c r="J10" s="72">
        <f t="shared" si="0"/>
        <v>28364.02845848319</v>
      </c>
      <c r="K10" s="72">
        <f t="shared" si="0"/>
        <v>29033.666427652854</v>
      </c>
    </row>
    <row r="11" spans="1:11" ht="15" customHeight="1" x14ac:dyDescent="0.3">
      <c r="A11" s="64" t="s">
        <v>418</v>
      </c>
      <c r="B11" s="68">
        <f>AI_DC_Model!B14</f>
        <v>0</v>
      </c>
      <c r="C11" s="68">
        <f>AI_DC_Model!C14</f>
        <v>0</v>
      </c>
      <c r="D11" s="68">
        <f>AI_DC_Model!D14</f>
        <v>0</v>
      </c>
      <c r="E11" s="68">
        <f>AI_DC_Model!E14</f>
        <v>0</v>
      </c>
      <c r="F11" s="68">
        <f>AI_DC_Model!F14</f>
        <v>0</v>
      </c>
      <c r="G11" s="68">
        <f>AI_DC_Model!G14</f>
        <v>0</v>
      </c>
      <c r="H11" s="68">
        <f>AI_DC_Model!H14</f>
        <v>0</v>
      </c>
      <c r="I11" s="68">
        <f>AI_DC_Model!I14</f>
        <v>0</v>
      </c>
      <c r="J11" s="68">
        <f>AI_DC_Model!J14</f>
        <v>0</v>
      </c>
      <c r="K11" s="68">
        <f>AI_DC_Model!K14</f>
        <v>0</v>
      </c>
    </row>
    <row r="12" spans="1:11" ht="15" customHeight="1" x14ac:dyDescent="0.3">
      <c r="A12" s="61" t="s">
        <v>419</v>
      </c>
      <c r="B12" s="72">
        <f t="shared" ref="B12:K12" si="1">B10+B11</f>
        <v>763.22316666666666</v>
      </c>
      <c r="C12" s="72">
        <f t="shared" si="1"/>
        <v>27879.004434375001</v>
      </c>
      <c r="D12" s="72">
        <f t="shared" si="1"/>
        <v>28092.863605833329</v>
      </c>
      <c r="E12" s="72">
        <f t="shared" si="1"/>
        <v>31133.962065846659</v>
      </c>
      <c r="F12" s="72">
        <f t="shared" si="1"/>
        <v>36058.319120268265</v>
      </c>
      <c r="G12" s="72">
        <f t="shared" si="1"/>
        <v>35192.265383190854</v>
      </c>
      <c r="H12" s="72">
        <f t="shared" si="1"/>
        <v>27038.565985854668</v>
      </c>
      <c r="I12" s="72">
        <f t="shared" si="1"/>
        <v>27699.025270571758</v>
      </c>
      <c r="J12" s="72">
        <f t="shared" si="1"/>
        <v>28364.02845848319</v>
      </c>
      <c r="K12" s="72">
        <f t="shared" si="1"/>
        <v>29033.666427652854</v>
      </c>
    </row>
    <row r="13" spans="1:11" ht="15" customHeight="1" x14ac:dyDescent="0.3">
      <c r="A13" s="64" t="s">
        <v>420</v>
      </c>
      <c r="B13" s="67">
        <f t="shared" ref="B13:K13" si="2">IF(B12=0,0,B4/B12)</f>
        <v>0.8289884195077063</v>
      </c>
      <c r="C13" s="67">
        <f t="shared" si="2"/>
        <v>0.77510114413307019</v>
      </c>
      <c r="D13" s="67">
        <f t="shared" si="2"/>
        <v>0.57124705658347552</v>
      </c>
      <c r="E13" s="67">
        <f t="shared" si="2"/>
        <v>0.55277943159845777</v>
      </c>
      <c r="F13" s="67">
        <f t="shared" si="2"/>
        <v>0.50332220786922921</v>
      </c>
      <c r="G13" s="67">
        <f t="shared" si="2"/>
        <v>0.50066136857491683</v>
      </c>
      <c r="H13" s="67">
        <f t="shared" si="2"/>
        <v>0.34184386867393396</v>
      </c>
      <c r="I13" s="67">
        <f t="shared" si="2"/>
        <v>0.34933475205282072</v>
      </c>
      <c r="J13" s="67">
        <f t="shared" si="2"/>
        <v>0.3564196201818583</v>
      </c>
      <c r="K13" s="67">
        <f t="shared" si="2"/>
        <v>0.3631219088801903</v>
      </c>
    </row>
    <row r="14" spans="1:11" ht="15" customHeight="1" x14ac:dyDescent="0.3">
      <c r="A14" s="64" t="s">
        <v>421</v>
      </c>
      <c r="B14" s="67">
        <f t="shared" ref="B14:K14" si="3">IF(B12=0,0,(B5+B7)/B12)</f>
        <v>0.17101158049229379</v>
      </c>
      <c r="C14" s="67">
        <f t="shared" si="3"/>
        <v>0.15010570086355438</v>
      </c>
      <c r="D14" s="67">
        <f t="shared" si="3"/>
        <v>0.20571363179935864</v>
      </c>
      <c r="E14" s="67">
        <f t="shared" si="3"/>
        <v>0.11041912984699054</v>
      </c>
      <c r="F14" s="67">
        <f t="shared" si="3"/>
        <v>6.762406178355046E-2</v>
      </c>
      <c r="G14" s="67">
        <f t="shared" si="3"/>
        <v>6.2679681912537297E-2</v>
      </c>
      <c r="H14" s="67">
        <f t="shared" si="3"/>
        <v>8.1581249580839232E-2</v>
      </c>
      <c r="I14" s="67">
        <f t="shared" si="3"/>
        <v>7.9636015291250986E-2</v>
      </c>
      <c r="J14" s="67">
        <f t="shared" si="3"/>
        <v>7.7768924933519862E-2</v>
      </c>
      <c r="K14" s="67">
        <f t="shared" si="3"/>
        <v>7.5975247752349581E-2</v>
      </c>
    </row>
    <row r="15" spans="1:11" ht="15" customHeight="1" x14ac:dyDescent="0.3">
      <c r="A15" s="64" t="s">
        <v>422</v>
      </c>
      <c r="B15" s="67">
        <f t="shared" ref="B15:K15" si="4">IF(B12=0,0,(B8+B9+B11)/B12)</f>
        <v>0</v>
      </c>
      <c r="C15" s="67">
        <f t="shared" si="4"/>
        <v>7.4793155003375411E-2</v>
      </c>
      <c r="D15" s="67">
        <f t="shared" si="4"/>
        <v>0.22303931161716595</v>
      </c>
      <c r="E15" s="67">
        <f t="shared" si="4"/>
        <v>0.33680143855455175</v>
      </c>
      <c r="F15" s="67">
        <f t="shared" si="4"/>
        <v>0.42905373034722033</v>
      </c>
      <c r="G15" s="67">
        <f t="shared" si="4"/>
        <v>0.43665894951254586</v>
      </c>
      <c r="H15" s="67">
        <f t="shared" si="4"/>
        <v>0.57657488174522675</v>
      </c>
      <c r="I15" s="67">
        <f t="shared" si="4"/>
        <v>0.57102923265592831</v>
      </c>
      <c r="J15" s="67">
        <f t="shared" si="4"/>
        <v>0.56581145488462192</v>
      </c>
      <c r="K15" s="67">
        <f t="shared" si="4"/>
        <v>0.56090284336746021</v>
      </c>
    </row>
    <row r="16" spans="1:11" ht="54.75" customHeight="1" x14ac:dyDescent="0.3">
      <c r="A16" s="64" t="s">
        <v>423</v>
      </c>
      <c r="B16" s="71" t="s">
        <v>424</v>
      </c>
      <c r="C16" s="71" t="s">
        <v>425</v>
      </c>
      <c r="D16" s="71" t="s">
        <v>425</v>
      </c>
      <c r="E16" s="71" t="s">
        <v>426</v>
      </c>
      <c r="F16" s="71" t="s">
        <v>426</v>
      </c>
      <c r="G16" s="71" t="s">
        <v>426</v>
      </c>
      <c r="H16" s="71" t="s">
        <v>426</v>
      </c>
      <c r="I16" s="71" t="s">
        <v>426</v>
      </c>
      <c r="J16" s="71" t="s">
        <v>426</v>
      </c>
      <c r="K16" s="71" t="s">
        <v>426</v>
      </c>
    </row>
  </sheetData>
  <mergeCells count="1">
    <mergeCell ref="A1:K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E293B"/>
    <pageSetUpPr fitToPage="1"/>
  </sheetPr>
  <dimension ref="A1:O38"/>
  <sheetViews>
    <sheetView zoomScaleNormal="100" workbookViewId="0">
      <selection sqref="A1:K1"/>
    </sheetView>
  </sheetViews>
  <sheetFormatPr defaultColWidth="8.6640625" defaultRowHeight="13.2" x14ac:dyDescent="0.25"/>
  <cols>
    <col min="1" max="1" width="46" customWidth="1"/>
    <col min="2" max="11" width="14" customWidth="1"/>
    <col min="13" max="15" width="24" customWidth="1"/>
  </cols>
  <sheetData>
    <row r="1" spans="1:15" ht="42" customHeight="1" x14ac:dyDescent="0.25">
      <c r="A1" s="14" t="s">
        <v>427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73"/>
      <c r="M1" s="73"/>
      <c r="N1" s="73"/>
      <c r="O1" s="73"/>
    </row>
    <row r="2" spans="1:15" ht="15.75" customHeight="1" x14ac:dyDescent="0.25">
      <c r="A2" s="74" t="s">
        <v>428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5" customHeight="1" x14ac:dyDescent="0.25">
      <c r="A3" s="19" t="s">
        <v>3</v>
      </c>
      <c r="B3" s="19" t="s">
        <v>226</v>
      </c>
      <c r="C3" s="19" t="s">
        <v>227</v>
      </c>
      <c r="D3" s="19" t="s">
        <v>92</v>
      </c>
      <c r="E3" s="19" t="s">
        <v>228</v>
      </c>
      <c r="F3" s="19" t="s">
        <v>229</v>
      </c>
      <c r="G3" s="19" t="s">
        <v>230</v>
      </c>
      <c r="H3" s="19" t="s">
        <v>231</v>
      </c>
      <c r="I3" s="19" t="s">
        <v>232</v>
      </c>
      <c r="J3" s="19" t="s">
        <v>233</v>
      </c>
      <c r="K3" s="19" t="s">
        <v>234</v>
      </c>
      <c r="L3" s="19"/>
      <c r="M3" s="19" t="s">
        <v>429</v>
      </c>
      <c r="N3" s="19" t="s">
        <v>430</v>
      </c>
      <c r="O3" s="19" t="s">
        <v>431</v>
      </c>
    </row>
    <row r="4" spans="1:15" ht="15" customHeight="1" x14ac:dyDescent="0.3">
      <c r="A4" s="64" t="s">
        <v>432</v>
      </c>
      <c r="B4" s="68">
        <f>Revenue_Bridge!B10</f>
        <v>763.22316666666666</v>
      </c>
      <c r="C4" s="68">
        <f>Revenue_Bridge!C10</f>
        <v>27879.004434375001</v>
      </c>
      <c r="D4" s="68">
        <f>Revenue_Bridge!D10</f>
        <v>28092.863605833329</v>
      </c>
      <c r="E4" s="68">
        <f>Revenue_Bridge!E10</f>
        <v>31133.962065846659</v>
      </c>
      <c r="F4" s="68">
        <f>Revenue_Bridge!F10</f>
        <v>36058.319120268265</v>
      </c>
      <c r="G4" s="68">
        <f>Revenue_Bridge!G10</f>
        <v>35192.265383190854</v>
      </c>
      <c r="H4" s="68">
        <f>Revenue_Bridge!H10</f>
        <v>27038.565985854668</v>
      </c>
      <c r="I4" s="68">
        <f>Revenue_Bridge!I10</f>
        <v>27699.025270571758</v>
      </c>
      <c r="J4" s="68">
        <f>Revenue_Bridge!J10</f>
        <v>28364.02845848319</v>
      </c>
      <c r="K4" s="68">
        <f>Revenue_Bridge!K10</f>
        <v>29033.666427652854</v>
      </c>
      <c r="L4" s="55"/>
      <c r="M4" s="55" t="s">
        <v>433</v>
      </c>
      <c r="N4" s="75">
        <f>NPV(Scenario_Control!$B$9,B36:K36)</f>
        <v>45538.630142959642</v>
      </c>
      <c r="O4" s="76" t="s">
        <v>434</v>
      </c>
    </row>
    <row r="5" spans="1:15" ht="15" customHeight="1" x14ac:dyDescent="0.3">
      <c r="A5" s="64" t="s">
        <v>435</v>
      </c>
      <c r="B5" s="68">
        <f>Revenue_Bridge!B12</f>
        <v>763.22316666666666</v>
      </c>
      <c r="C5" s="68">
        <f>Revenue_Bridge!C12</f>
        <v>27879.004434375001</v>
      </c>
      <c r="D5" s="68">
        <f>Revenue_Bridge!D12</f>
        <v>28092.863605833329</v>
      </c>
      <c r="E5" s="68">
        <f>Revenue_Bridge!E12</f>
        <v>31133.962065846659</v>
      </c>
      <c r="F5" s="68">
        <f>Revenue_Bridge!F12</f>
        <v>36058.319120268265</v>
      </c>
      <c r="G5" s="68">
        <f>Revenue_Bridge!G12</f>
        <v>35192.265383190854</v>
      </c>
      <c r="H5" s="68">
        <f>Revenue_Bridge!H12</f>
        <v>27038.565985854668</v>
      </c>
      <c r="I5" s="68">
        <f>Revenue_Bridge!I12</f>
        <v>27699.025270571758</v>
      </c>
      <c r="J5" s="68">
        <f>Revenue_Bridge!J12</f>
        <v>28364.02845848319</v>
      </c>
      <c r="K5" s="68">
        <f>Revenue_Bridge!K12</f>
        <v>29033.666427652854</v>
      </c>
      <c r="L5" s="55"/>
      <c r="M5" s="55" t="s">
        <v>436</v>
      </c>
      <c r="N5" s="67">
        <f>IRR(B36:K36)</f>
        <v>0.38486847760536436</v>
      </c>
      <c r="O5" s="77" t="s">
        <v>437</v>
      </c>
    </row>
    <row r="6" spans="1:15" ht="15" customHeight="1" x14ac:dyDescent="0.3">
      <c r="A6" s="64" t="s">
        <v>438</v>
      </c>
      <c r="B6" s="68">
        <f>Load_Tariff!B19</f>
        <v>326.22239999999994</v>
      </c>
      <c r="C6" s="68">
        <f>Load_Tariff!C19</f>
        <v>6973.0038000000004</v>
      </c>
      <c r="D6" s="68">
        <f>Load_Tariff!D19</f>
        <v>7319.6151</v>
      </c>
      <c r="E6" s="68">
        <f>Load_Tariff!E19</f>
        <v>6184.6329999999998</v>
      </c>
      <c r="F6" s="68">
        <f>Load_Tariff!F19</f>
        <v>6184.6329999999998</v>
      </c>
      <c r="G6" s="68">
        <f>Load_Tariff!G19</f>
        <v>5708.8919999999998</v>
      </c>
      <c r="H6" s="68">
        <f>Load_Tariff!H19</f>
        <v>5708.8919999999998</v>
      </c>
      <c r="I6" s="68">
        <f>Load_Tariff!I19</f>
        <v>5708.8919999999998</v>
      </c>
      <c r="J6" s="68">
        <f>Load_Tariff!J19</f>
        <v>5708.8919999999998</v>
      </c>
      <c r="K6" s="68">
        <f>Load_Tariff!K19</f>
        <v>5708.8919999999998</v>
      </c>
      <c r="L6" s="55"/>
      <c r="M6" s="55" t="s">
        <v>439</v>
      </c>
      <c r="N6" s="66">
        <f>K15*Scenario_Control!$B$10</f>
        <v>149082.05444844003</v>
      </c>
      <c r="O6" s="78" t="s">
        <v>440</v>
      </c>
    </row>
    <row r="7" spans="1:15" ht="15" customHeight="1" x14ac:dyDescent="0.3">
      <c r="A7" s="64" t="s">
        <v>441</v>
      </c>
      <c r="B7" s="68">
        <f>AI_DC_Model!B9</f>
        <v>0</v>
      </c>
      <c r="C7" s="68">
        <f>AI_DC_Model!C9</f>
        <v>637.42140000000006</v>
      </c>
      <c r="D7" s="68">
        <f>AI_DC_Model!D9</f>
        <v>1545.2639999999999</v>
      </c>
      <c r="E7" s="68">
        <f>AI_DC_Model!E9</f>
        <v>2266.3872000000001</v>
      </c>
      <c r="F7" s="68">
        <f>AI_DC_Model!F9</f>
        <v>3296.5632000000001</v>
      </c>
      <c r="G7" s="68">
        <f>AI_DC_Model!G9</f>
        <v>3227.8848000000003</v>
      </c>
      <c r="H7" s="68">
        <f>AI_DC_Model!H9</f>
        <v>3227.8848000000003</v>
      </c>
      <c r="I7" s="68">
        <f>AI_DC_Model!I9</f>
        <v>3227.8848000000003</v>
      </c>
      <c r="J7" s="68">
        <f>AI_DC_Model!J9</f>
        <v>3227.8848000000003</v>
      </c>
      <c r="K7" s="68">
        <f>AI_DC_Model!K9</f>
        <v>3227.8848000000003</v>
      </c>
      <c r="L7" s="55"/>
      <c r="M7" s="55" t="s">
        <v>406</v>
      </c>
      <c r="N7" s="68">
        <f>Capex_Model!K22</f>
        <v>85910</v>
      </c>
      <c r="O7" s="66"/>
    </row>
    <row r="8" spans="1:15" ht="15" customHeight="1" x14ac:dyDescent="0.3">
      <c r="A8" s="64" t="s">
        <v>442</v>
      </c>
      <c r="B8" s="68">
        <f>AI_DC_Model!B16</f>
        <v>0</v>
      </c>
      <c r="C8" s="68">
        <f>AI_DC_Model!C16</f>
        <v>0</v>
      </c>
      <c r="D8" s="68">
        <f>AI_DC_Model!D16</f>
        <v>0</v>
      </c>
      <c r="E8" s="68">
        <f>AI_DC_Model!E16</f>
        <v>0</v>
      </c>
      <c r="F8" s="68">
        <f>AI_DC_Model!F16</f>
        <v>0</v>
      </c>
      <c r="G8" s="68">
        <f>AI_DC_Model!G16</f>
        <v>0</v>
      </c>
      <c r="H8" s="68">
        <f>AI_DC_Model!H16</f>
        <v>0</v>
      </c>
      <c r="I8" s="68">
        <f>AI_DC_Model!I16</f>
        <v>0</v>
      </c>
      <c r="J8" s="68">
        <f>AI_DC_Model!J16</f>
        <v>0</v>
      </c>
      <c r="K8" s="68">
        <f>AI_DC_Model!K16</f>
        <v>0</v>
      </c>
      <c r="L8" s="55"/>
      <c r="M8" s="55" t="s">
        <v>407</v>
      </c>
      <c r="N8" s="68">
        <f>Capex_Model!K23</f>
        <v>85910</v>
      </c>
      <c r="O8" s="66"/>
    </row>
    <row r="9" spans="1:15" ht="15" customHeight="1" x14ac:dyDescent="0.3">
      <c r="A9" s="64" t="s">
        <v>443</v>
      </c>
      <c r="B9" s="68">
        <f>100*(1+Scenario_Control!$B$13)^0*(1+0.05)^(B$3-2026)</f>
        <v>100</v>
      </c>
      <c r="C9" s="68">
        <f>100*(1+Scenario_Control!$B$13)^0*(1+0.05)^(C$3-2026)</f>
        <v>105</v>
      </c>
      <c r="D9" s="68">
        <f>100*(1+Scenario_Control!$B$13)^0*(1+0.05)^(D$3-2026)</f>
        <v>110.25</v>
      </c>
      <c r="E9" s="68">
        <f>100*(1+Scenario_Control!$B$13)^0*(1+0.05)^(E$3-2026)</f>
        <v>115.76250000000002</v>
      </c>
      <c r="F9" s="68">
        <f>100*(1+Scenario_Control!$B$13)^0*(1+0.05)^(F$3-2026)</f>
        <v>121.550625</v>
      </c>
      <c r="G9" s="68">
        <f>100*(1+Scenario_Control!$B$13)^0*(1+0.05)^(G$3-2026)</f>
        <v>127.62815625000002</v>
      </c>
      <c r="H9" s="68">
        <f>100*(1+Scenario_Control!$B$13)^0*(1+0.05)^(H$3-2026)</f>
        <v>134.0095640625</v>
      </c>
      <c r="I9" s="68">
        <f>100*(1+Scenario_Control!$B$13)^0*(1+0.05)^(I$3-2026)</f>
        <v>140.71004226562502</v>
      </c>
      <c r="J9" s="68">
        <f>100*(1+Scenario_Control!$B$13)^0*(1+0.05)^(J$3-2026)</f>
        <v>147.74554437890626</v>
      </c>
      <c r="K9" s="68">
        <f>100*(1+Scenario_Control!$B$13)^0*(1+0.05)^(K$3-2026)</f>
        <v>155.13282159785157</v>
      </c>
      <c r="L9" s="55"/>
      <c r="M9" s="55" t="s">
        <v>444</v>
      </c>
      <c r="N9" s="68">
        <f>K15</f>
        <v>18635.256806055004</v>
      </c>
      <c r="O9" s="66"/>
    </row>
    <row r="10" spans="1:15" ht="15" customHeight="1" x14ac:dyDescent="0.3">
      <c r="A10" s="64" t="s">
        <v>445</v>
      </c>
      <c r="B10" s="68">
        <f>Load_Tariff!B11*0.4</f>
        <v>16</v>
      </c>
      <c r="C10" s="68">
        <f>Load_Tariff!C11*0.4</f>
        <v>513</v>
      </c>
      <c r="D10" s="68">
        <f>Load_Tariff!D11*0.4</f>
        <v>718</v>
      </c>
      <c r="E10" s="68">
        <f>Load_Tariff!E11*0.4</f>
        <v>728</v>
      </c>
      <c r="F10" s="68">
        <f>Load_Tariff!F11*0.4</f>
        <v>728</v>
      </c>
      <c r="G10" s="68">
        <f>Load_Tariff!G11*0.4</f>
        <v>672</v>
      </c>
      <c r="H10" s="68">
        <f>Load_Tariff!H11*0.4</f>
        <v>672</v>
      </c>
      <c r="I10" s="68">
        <f>Load_Tariff!I11*0.4</f>
        <v>672</v>
      </c>
      <c r="J10" s="68">
        <f>Load_Tariff!J11*0.4</f>
        <v>672</v>
      </c>
      <c r="K10" s="68">
        <f>Load_Tariff!K11*0.4</f>
        <v>672</v>
      </c>
      <c r="L10" s="55"/>
      <c r="M10" s="55" t="s">
        <v>446</v>
      </c>
      <c r="N10" s="68">
        <f>K4</f>
        <v>29033.666427652854</v>
      </c>
      <c r="O10" s="66"/>
    </row>
    <row r="11" spans="1:15" ht="15" customHeight="1" x14ac:dyDescent="0.3">
      <c r="A11" s="64" t="s">
        <v>447</v>
      </c>
      <c r="B11" s="68">
        <f>AI_DC_Model!B12</f>
        <v>0</v>
      </c>
      <c r="C11" s="68">
        <f>AI_DC_Model!C12</f>
        <v>91.125</v>
      </c>
      <c r="D11" s="68">
        <f>AI_DC_Model!D12</f>
        <v>270</v>
      </c>
      <c r="E11" s="68">
        <f>AI_DC_Model!E12</f>
        <v>445.5</v>
      </c>
      <c r="F11" s="68">
        <f>AI_DC_Model!F12</f>
        <v>648</v>
      </c>
      <c r="G11" s="68">
        <f>AI_DC_Model!G12</f>
        <v>634.5</v>
      </c>
      <c r="H11" s="68">
        <f>AI_DC_Model!H12</f>
        <v>634.5</v>
      </c>
      <c r="I11" s="68">
        <f>AI_DC_Model!I12</f>
        <v>634.5</v>
      </c>
      <c r="J11" s="68">
        <f>AI_DC_Model!J12</f>
        <v>634.5</v>
      </c>
      <c r="K11" s="68">
        <f>AI_DC_Model!K12</f>
        <v>634.5</v>
      </c>
      <c r="L11" s="55"/>
      <c r="M11" s="55" t="s">
        <v>448</v>
      </c>
      <c r="N11" s="66">
        <f>SUM(B22:K22)</f>
        <v>29723.5</v>
      </c>
      <c r="O11" s="66"/>
    </row>
    <row r="12" spans="1:15" ht="15" customHeight="1" x14ac:dyDescent="0.3">
      <c r="A12" s="64" t="s">
        <v>449</v>
      </c>
      <c r="B12" s="68">
        <f>AI_DC_Model!B15</f>
        <v>0</v>
      </c>
      <c r="C12" s="68">
        <f>AI_DC_Model!C15</f>
        <v>0</v>
      </c>
      <c r="D12" s="68">
        <f>AI_DC_Model!D15</f>
        <v>0</v>
      </c>
      <c r="E12" s="68">
        <f>AI_DC_Model!E15</f>
        <v>0</v>
      </c>
      <c r="F12" s="68">
        <f>AI_DC_Model!F15</f>
        <v>0</v>
      </c>
      <c r="G12" s="68">
        <f>AI_DC_Model!G15</f>
        <v>0</v>
      </c>
      <c r="H12" s="68">
        <f>AI_DC_Model!H15</f>
        <v>0</v>
      </c>
      <c r="I12" s="68">
        <f>AI_DC_Model!I15</f>
        <v>0</v>
      </c>
      <c r="J12" s="68">
        <f>AI_DC_Model!J15</f>
        <v>0</v>
      </c>
      <c r="K12" s="68">
        <f>AI_DC_Model!K15</f>
        <v>0</v>
      </c>
      <c r="L12" s="55"/>
      <c r="M12" s="55"/>
      <c r="N12" s="55"/>
      <c r="O12" s="55"/>
    </row>
    <row r="13" spans="1:15" ht="15" customHeight="1" x14ac:dyDescent="0.3">
      <c r="A13" s="64" t="s">
        <v>450</v>
      </c>
      <c r="B13" s="68">
        <f t="shared" ref="B13:K13" si="0">SUM(B6:B7,B9:B11)</f>
        <v>442.22239999999994</v>
      </c>
      <c r="C13" s="68">
        <f t="shared" si="0"/>
        <v>8319.5502000000015</v>
      </c>
      <c r="D13" s="68">
        <f t="shared" si="0"/>
        <v>9963.1291000000001</v>
      </c>
      <c r="E13" s="68">
        <f t="shared" si="0"/>
        <v>9740.2826999999997</v>
      </c>
      <c r="F13" s="68">
        <f t="shared" si="0"/>
        <v>10978.746825</v>
      </c>
      <c r="G13" s="68">
        <f t="shared" si="0"/>
        <v>10370.90495625</v>
      </c>
      <c r="H13" s="68">
        <f t="shared" si="0"/>
        <v>10377.2863640625</v>
      </c>
      <c r="I13" s="68">
        <f t="shared" si="0"/>
        <v>10383.986842265625</v>
      </c>
      <c r="J13" s="68">
        <f t="shared" si="0"/>
        <v>10391.022344378905</v>
      </c>
      <c r="K13" s="68">
        <f t="shared" si="0"/>
        <v>10398.409621597852</v>
      </c>
      <c r="L13" s="55"/>
      <c r="M13" s="55"/>
      <c r="N13" s="55"/>
      <c r="O13" s="55"/>
    </row>
    <row r="14" spans="1:15" ht="15" customHeight="1" x14ac:dyDescent="0.3">
      <c r="A14" s="64" t="s">
        <v>451</v>
      </c>
      <c r="B14" s="68">
        <f t="shared" ref="B14:K14" si="1">B13+B8+B12</f>
        <v>442.22239999999994</v>
      </c>
      <c r="C14" s="68">
        <f t="shared" si="1"/>
        <v>8319.5502000000015</v>
      </c>
      <c r="D14" s="68">
        <f t="shared" si="1"/>
        <v>9963.1291000000001</v>
      </c>
      <c r="E14" s="68">
        <f t="shared" si="1"/>
        <v>9740.2826999999997</v>
      </c>
      <c r="F14" s="68">
        <f t="shared" si="1"/>
        <v>10978.746825</v>
      </c>
      <c r="G14" s="68">
        <f t="shared" si="1"/>
        <v>10370.90495625</v>
      </c>
      <c r="H14" s="68">
        <f t="shared" si="1"/>
        <v>10377.2863640625</v>
      </c>
      <c r="I14" s="68">
        <f t="shared" si="1"/>
        <v>10383.986842265625</v>
      </c>
      <c r="J14" s="68">
        <f t="shared" si="1"/>
        <v>10391.022344378905</v>
      </c>
      <c r="K14" s="68">
        <f t="shared" si="1"/>
        <v>10398.409621597852</v>
      </c>
      <c r="L14" s="55"/>
      <c r="M14" s="55"/>
      <c r="N14" s="55"/>
      <c r="O14" s="55"/>
    </row>
    <row r="15" spans="1:15" ht="15" customHeight="1" x14ac:dyDescent="0.3">
      <c r="A15" s="61" t="s">
        <v>452</v>
      </c>
      <c r="B15" s="72">
        <f t="shared" ref="B15:K15" si="2">B4-B13</f>
        <v>321.00076666666672</v>
      </c>
      <c r="C15" s="72">
        <f t="shared" si="2"/>
        <v>19559.454234375</v>
      </c>
      <c r="D15" s="72">
        <f t="shared" si="2"/>
        <v>18129.73450583333</v>
      </c>
      <c r="E15" s="72">
        <f t="shared" si="2"/>
        <v>21393.679365846659</v>
      </c>
      <c r="F15" s="72">
        <f t="shared" si="2"/>
        <v>25079.572295268263</v>
      </c>
      <c r="G15" s="72">
        <f t="shared" si="2"/>
        <v>24821.360426940853</v>
      </c>
      <c r="H15" s="72">
        <f t="shared" si="2"/>
        <v>16661.279621792168</v>
      </c>
      <c r="I15" s="72">
        <f t="shared" si="2"/>
        <v>17315.038428306132</v>
      </c>
      <c r="J15" s="72">
        <f t="shared" si="2"/>
        <v>17973.006114104282</v>
      </c>
      <c r="K15" s="72">
        <f t="shared" si="2"/>
        <v>18635.256806055004</v>
      </c>
      <c r="L15" s="55"/>
      <c r="M15" s="55"/>
      <c r="N15" s="55"/>
      <c r="O15" s="55"/>
    </row>
    <row r="16" spans="1:15" ht="15" customHeight="1" x14ac:dyDescent="0.3">
      <c r="A16" s="61" t="s">
        <v>453</v>
      </c>
      <c r="B16" s="72">
        <f t="shared" ref="B16:K16" si="3">B5-B14</f>
        <v>321.00076666666672</v>
      </c>
      <c r="C16" s="72">
        <f t="shared" si="3"/>
        <v>19559.454234375</v>
      </c>
      <c r="D16" s="72">
        <f t="shared" si="3"/>
        <v>18129.73450583333</v>
      </c>
      <c r="E16" s="72">
        <f t="shared" si="3"/>
        <v>21393.679365846659</v>
      </c>
      <c r="F16" s="72">
        <f t="shared" si="3"/>
        <v>25079.572295268263</v>
      </c>
      <c r="G16" s="72">
        <f t="shared" si="3"/>
        <v>24821.360426940853</v>
      </c>
      <c r="H16" s="72">
        <f t="shared" si="3"/>
        <v>16661.279621792168</v>
      </c>
      <c r="I16" s="72">
        <f t="shared" si="3"/>
        <v>17315.038428306132</v>
      </c>
      <c r="J16" s="72">
        <f t="shared" si="3"/>
        <v>17973.006114104282</v>
      </c>
      <c r="K16" s="72">
        <f t="shared" si="3"/>
        <v>18635.256806055004</v>
      </c>
      <c r="L16" s="55"/>
      <c r="M16" s="55"/>
      <c r="N16" s="55"/>
      <c r="O16" s="55"/>
    </row>
    <row r="17" spans="1:15" ht="15" customHeight="1" x14ac:dyDescent="0.3">
      <c r="A17" s="61" t="s">
        <v>454</v>
      </c>
      <c r="B17" s="72">
        <f>Capex_Model!B14</f>
        <v>1140</v>
      </c>
      <c r="C17" s="72">
        <f>Capex_Model!C14</f>
        <v>35710</v>
      </c>
      <c r="D17" s="72">
        <f>Capex_Model!D14</f>
        <v>21250</v>
      </c>
      <c r="E17" s="72">
        <f>Capex_Model!E14</f>
        <v>10900</v>
      </c>
      <c r="F17" s="72">
        <f>Capex_Model!F14</f>
        <v>8400</v>
      </c>
      <c r="G17" s="72">
        <f>Capex_Model!G14</f>
        <v>700</v>
      </c>
      <c r="H17" s="72">
        <f>Capex_Model!H14</f>
        <v>0</v>
      </c>
      <c r="I17" s="72">
        <f>Capex_Model!I14</f>
        <v>0</v>
      </c>
      <c r="J17" s="72">
        <f>Capex_Model!J14</f>
        <v>0</v>
      </c>
      <c r="K17" s="72">
        <f>Capex_Model!K14</f>
        <v>0</v>
      </c>
      <c r="L17" s="55"/>
      <c r="M17" s="55"/>
      <c r="N17" s="55"/>
      <c r="O17" s="55"/>
    </row>
    <row r="18" spans="1:15" ht="15" customHeight="1" x14ac:dyDescent="0.3">
      <c r="A18" s="61" t="s">
        <v>455</v>
      </c>
      <c r="B18" s="72">
        <f>Capex_Model!B15</f>
        <v>1140</v>
      </c>
      <c r="C18" s="72">
        <f>Capex_Model!C15</f>
        <v>35710</v>
      </c>
      <c r="D18" s="72">
        <f>Capex_Model!D15</f>
        <v>21250</v>
      </c>
      <c r="E18" s="72">
        <f>Capex_Model!E15</f>
        <v>10900</v>
      </c>
      <c r="F18" s="72">
        <f>Capex_Model!F15</f>
        <v>8400</v>
      </c>
      <c r="G18" s="72">
        <f>Capex_Model!G15</f>
        <v>700</v>
      </c>
      <c r="H18" s="72">
        <f>Capex_Model!H15</f>
        <v>0</v>
      </c>
      <c r="I18" s="72">
        <f>Capex_Model!I15</f>
        <v>0</v>
      </c>
      <c r="J18" s="72">
        <f>Capex_Model!J15</f>
        <v>0</v>
      </c>
      <c r="K18" s="72">
        <f>Capex_Model!K15</f>
        <v>0</v>
      </c>
      <c r="L18" s="55"/>
      <c r="M18" s="55"/>
      <c r="N18" s="55"/>
      <c r="O18" s="55"/>
    </row>
    <row r="19" spans="1:15" ht="15" customHeight="1" x14ac:dyDescent="0.3">
      <c r="A19" s="64" t="s">
        <v>456</v>
      </c>
      <c r="B19" s="68">
        <f>Capex_Model!B21</f>
        <v>1140</v>
      </c>
      <c r="C19" s="68">
        <f>Capex_Model!C21</f>
        <v>34630</v>
      </c>
      <c r="D19" s="68">
        <f>Capex_Model!D21</f>
        <v>19130</v>
      </c>
      <c r="E19" s="68">
        <f>Capex_Model!E21</f>
        <v>8820</v>
      </c>
      <c r="F19" s="68">
        <f>Capex_Model!F21</f>
        <v>6000</v>
      </c>
      <c r="G19" s="68">
        <f>Capex_Model!G21</f>
        <v>700</v>
      </c>
      <c r="H19" s="68">
        <f>Capex_Model!H21</f>
        <v>0</v>
      </c>
      <c r="I19" s="68">
        <f>Capex_Model!I21</f>
        <v>0</v>
      </c>
      <c r="J19" s="68">
        <f>Capex_Model!J21</f>
        <v>0</v>
      </c>
      <c r="K19" s="68">
        <f>Capex_Model!K21</f>
        <v>0</v>
      </c>
      <c r="L19" s="55"/>
      <c r="M19" s="55"/>
      <c r="N19" s="55"/>
      <c r="O19" s="55"/>
    </row>
    <row r="20" spans="1:15" ht="15" customHeight="1" x14ac:dyDescent="0.3">
      <c r="A20" s="64" t="s">
        <v>457</v>
      </c>
      <c r="B20" s="68">
        <f>Capex_Model!B16+Capex_Model!B17+((Capex_Model!B9+Capex_Model!B10+Capex_Model!B11)*Scenario_Control!$B$48)</f>
        <v>114</v>
      </c>
      <c r="C20" s="68">
        <f>Capex_Model!C16+Capex_Model!C17+((Capex_Model!C9+Capex_Model!C10+Capex_Model!C11)*Scenario_Control!$B$48)</f>
        <v>4651</v>
      </c>
      <c r="D20" s="68">
        <f>Capex_Model!D16+Capex_Model!D17+((Capex_Model!D9+Capex_Model!D10+Capex_Model!D11)*Scenario_Control!$B$48)</f>
        <v>4245</v>
      </c>
      <c r="E20" s="68">
        <f>Capex_Model!E16+Capex_Model!E17+((Capex_Model!E9+Capex_Model!E10+Capex_Model!E11)*Scenario_Control!$B$48)</f>
        <v>3170</v>
      </c>
      <c r="F20" s="68">
        <f>Capex_Model!F16+Capex_Model!F17+((Capex_Model!F9+Capex_Model!F10+Capex_Model!F11)*Scenario_Control!$B$48)</f>
        <v>3240</v>
      </c>
      <c r="G20" s="68">
        <f>Capex_Model!G16+Capex_Model!G17+((Capex_Model!G9+Capex_Model!G10+Capex_Model!G11)*Scenario_Control!$B$48)</f>
        <v>70</v>
      </c>
      <c r="H20" s="68">
        <f>Capex_Model!H16+Capex_Model!H17+((Capex_Model!H9+Capex_Model!H10+Capex_Model!H11)*Scenario_Control!$B$48)</f>
        <v>0</v>
      </c>
      <c r="I20" s="68">
        <f>Capex_Model!I16+Capex_Model!I17+((Capex_Model!I9+Capex_Model!I10+Capex_Model!I11)*Scenario_Control!$B$48)</f>
        <v>0</v>
      </c>
      <c r="J20" s="68">
        <f>Capex_Model!J16+Capex_Model!J17+((Capex_Model!J9+Capex_Model!J10+Capex_Model!J11)*Scenario_Control!$B$48)</f>
        <v>0</v>
      </c>
      <c r="K20" s="68">
        <f>Capex_Model!K16+Capex_Model!K17+((Capex_Model!K9+Capex_Model!K10+Capex_Model!K11)*Scenario_Control!$B$48)</f>
        <v>0</v>
      </c>
      <c r="L20" s="55"/>
      <c r="M20" s="55"/>
      <c r="N20" s="55"/>
      <c r="O20" s="55"/>
    </row>
    <row r="21" spans="1:15" ht="15" customHeight="1" x14ac:dyDescent="0.3">
      <c r="A21" s="64" t="s">
        <v>458</v>
      </c>
      <c r="B21" s="68">
        <f>Capex_Model!B18*Scenario_Control!$B$46+Capex_Model!B19*Scenario_Control!$B$49</f>
        <v>564.30000000000007</v>
      </c>
      <c r="C21" s="68">
        <f>Capex_Model!C18*Scenario_Control!$B$46+Capex_Model!C19*Scenario_Control!$B$49</f>
        <v>17082.45</v>
      </c>
      <c r="D21" s="68">
        <f>Capex_Model!D18*Scenario_Control!$B$46+Capex_Model!D19*Scenario_Control!$B$49</f>
        <v>9352.75</v>
      </c>
      <c r="E21" s="68">
        <f>Capex_Model!E18*Scenario_Control!$B$46+Capex_Model!E19*Scenario_Control!$B$49</f>
        <v>4251.5</v>
      </c>
      <c r="F21" s="68">
        <f>Capex_Model!F18*Scenario_Control!$B$46+Capex_Model!F19*Scenario_Control!$B$49</f>
        <v>2838.0000000000005</v>
      </c>
      <c r="G21" s="68">
        <f>Capex_Model!G18*Scenario_Control!$B$46+Capex_Model!G19*Scenario_Control!$B$49</f>
        <v>346.5</v>
      </c>
      <c r="H21" s="68">
        <f>Capex_Model!H18*Scenario_Control!$B$46+Capex_Model!H19*Scenario_Control!$B$49</f>
        <v>0</v>
      </c>
      <c r="I21" s="68">
        <f>Capex_Model!I18*Scenario_Control!$B$46+Capex_Model!I19*Scenario_Control!$B$49</f>
        <v>0</v>
      </c>
      <c r="J21" s="68">
        <f>Capex_Model!J18*Scenario_Control!$B$46+Capex_Model!J19*Scenario_Control!$B$49</f>
        <v>0</v>
      </c>
      <c r="K21" s="68">
        <f>Capex_Model!K18*Scenario_Control!$B$46+Capex_Model!K19*Scenario_Control!$B$49</f>
        <v>0</v>
      </c>
      <c r="L21" s="55"/>
      <c r="M21" s="55"/>
      <c r="N21" s="55"/>
      <c r="O21" s="55"/>
    </row>
    <row r="22" spans="1:15" ht="15" customHeight="1" x14ac:dyDescent="0.3">
      <c r="A22" s="64" t="s">
        <v>459</v>
      </c>
      <c r="B22" s="68">
        <f>Capex_Model!B18*Scenario_Control!$B$47+Capex_Model!B19*Scenario_Control!$B$50+Capex_Model!B20</f>
        <v>473.09999999999997</v>
      </c>
      <c r="C22" s="68">
        <f>Capex_Model!C18*Scenario_Control!$B$47+Capex_Model!C19*Scenario_Control!$B$50+Capex_Model!C20</f>
        <v>14441.65</v>
      </c>
      <c r="D22" s="68">
        <f>Capex_Model!D18*Scenario_Control!$B$47+Capex_Model!D19*Scenario_Control!$B$50+Capex_Model!D20</f>
        <v>8076.75</v>
      </c>
      <c r="E22" s="68">
        <f>Capex_Model!E18*Scenario_Control!$B$47+Capex_Model!E19*Scenario_Control!$B$50+Capex_Model!E20</f>
        <v>3795.5</v>
      </c>
      <c r="F22" s="68">
        <f>Capex_Model!F18*Scenario_Control!$B$47+Capex_Model!F19*Scenario_Control!$B$50+Capex_Model!F20</f>
        <v>2646</v>
      </c>
      <c r="G22" s="68">
        <f>Capex_Model!G18*Scenario_Control!$B$47+Capex_Model!G19*Scenario_Control!$B$50+Capex_Model!G20</f>
        <v>290.5</v>
      </c>
      <c r="H22" s="68">
        <f>Capex_Model!H18*Scenario_Control!$B$47+Capex_Model!H19*Scenario_Control!$B$50+Capex_Model!H20</f>
        <v>0</v>
      </c>
      <c r="I22" s="68">
        <f>Capex_Model!I18*Scenario_Control!$B$47+Capex_Model!I19*Scenario_Control!$B$50+Capex_Model!I20</f>
        <v>0</v>
      </c>
      <c r="J22" s="68">
        <f>Capex_Model!J18*Scenario_Control!$B$47+Capex_Model!J19*Scenario_Control!$B$50+Capex_Model!J20</f>
        <v>0</v>
      </c>
      <c r="K22" s="68">
        <f>Capex_Model!K18*Scenario_Control!$B$47+Capex_Model!K19*Scenario_Control!$B$50+Capex_Model!K20</f>
        <v>0</v>
      </c>
      <c r="L22" s="55"/>
      <c r="M22" s="55"/>
      <c r="N22" s="55"/>
      <c r="O22" s="55"/>
    </row>
    <row r="23" spans="1:15" ht="15" customHeight="1" x14ac:dyDescent="0.3">
      <c r="A23" s="64" t="s">
        <v>460</v>
      </c>
      <c r="B23" s="68">
        <f>0</f>
        <v>0</v>
      </c>
      <c r="C23" s="68">
        <f t="shared" ref="C23:K23" si="4">B26</f>
        <v>564.30000000000007</v>
      </c>
      <c r="D23" s="68">
        <f t="shared" si="4"/>
        <v>17566.135714285716</v>
      </c>
      <c r="E23" s="68">
        <f t="shared" si="4"/>
        <v>24409.437755102041</v>
      </c>
      <c r="F23" s="68">
        <f t="shared" si="4"/>
        <v>25173.875218658894</v>
      </c>
      <c r="G23" s="68">
        <f t="shared" si="4"/>
        <v>24415.60733027905</v>
      </c>
      <c r="H23" s="68">
        <f t="shared" si="4"/>
        <v>21274.163425953473</v>
      </c>
      <c r="I23" s="68">
        <f t="shared" si="4"/>
        <v>18234.997222245835</v>
      </c>
      <c r="J23" s="68">
        <f t="shared" si="4"/>
        <v>15629.997619067857</v>
      </c>
      <c r="K23" s="68">
        <f t="shared" si="4"/>
        <v>13397.140816343877</v>
      </c>
      <c r="L23" s="55"/>
      <c r="M23" s="55"/>
      <c r="N23" s="55"/>
      <c r="O23" s="55"/>
    </row>
    <row r="24" spans="1:15" ht="15" customHeight="1" x14ac:dyDescent="0.3">
      <c r="A24" s="64" t="s">
        <v>461</v>
      </c>
      <c r="B24" s="68">
        <f>AVERAGE(B23,B23+B21)*Scenario_Control!$B$51</f>
        <v>36.679500000000004</v>
      </c>
      <c r="C24" s="68">
        <f>AVERAGE(C23,C23+C21)*Scenario_Control!$B$51</f>
        <v>1183.7182499999999</v>
      </c>
      <c r="D24" s="68">
        <f>AVERAGE(D23,D23+D21)*Scenario_Control!$B$51</f>
        <v>2891.526392857143</v>
      </c>
      <c r="E24" s="68">
        <f>AVERAGE(E23,E23+E21)*Scenario_Control!$B$51</f>
        <v>3449.5744081632656</v>
      </c>
      <c r="F24" s="68">
        <f>AVERAGE(F23,F23+F21)*Scenario_Control!$B$51</f>
        <v>3457.0737784256562</v>
      </c>
      <c r="G24" s="68">
        <f>AVERAGE(G23,G23+G21)*Scenario_Control!$B$51</f>
        <v>3196.5514529362767</v>
      </c>
      <c r="H24" s="68">
        <f>AVERAGE(H23,H23+H21)*Scenario_Control!$B$51</f>
        <v>2765.6412453739517</v>
      </c>
      <c r="I24" s="68">
        <f>AVERAGE(I23,I23+I21)*Scenario_Control!$B$51</f>
        <v>2370.5496388919587</v>
      </c>
      <c r="J24" s="68">
        <f>AVERAGE(J23,J23+J21)*Scenario_Control!$B$51</f>
        <v>2031.8996904788214</v>
      </c>
      <c r="K24" s="68">
        <f>AVERAGE(K23,K23+K21)*Scenario_Control!$B$51</f>
        <v>1741.6283061247041</v>
      </c>
      <c r="L24" s="55"/>
      <c r="M24" s="55"/>
      <c r="N24" s="55"/>
      <c r="O24" s="55"/>
    </row>
    <row r="25" spans="1:15" ht="15" customHeight="1" x14ac:dyDescent="0.3">
      <c r="A25" s="64" t="s">
        <v>462</v>
      </c>
      <c r="B25" s="68">
        <f>IF(B$3&lt;=2026+Scenario_Control!$B$53,0,MIN(B23,B23/Scenario_Control!$B$52))</f>
        <v>0</v>
      </c>
      <c r="C25" s="68">
        <f>IF(C$3&lt;=2026+Scenario_Control!$B$53,0,MIN(C23,C23/Scenario_Control!$B$52))</f>
        <v>80.614285714285728</v>
      </c>
      <c r="D25" s="68">
        <f>IF(D$3&lt;=2026+Scenario_Control!$B$53,0,MIN(D23,D23/Scenario_Control!$B$52))</f>
        <v>2509.4479591836739</v>
      </c>
      <c r="E25" s="68">
        <f>IF(E$3&lt;=2026+Scenario_Control!$B$53,0,MIN(E23,E23/Scenario_Control!$B$52))</f>
        <v>3487.0625364431485</v>
      </c>
      <c r="F25" s="68">
        <f>IF(F$3&lt;=2026+Scenario_Control!$B$53,0,MIN(F23,F23/Scenario_Control!$B$52))</f>
        <v>3596.2678883798421</v>
      </c>
      <c r="G25" s="68">
        <f>IF(G$3&lt;=2026+Scenario_Control!$B$53,0,MIN(G23,G23/Scenario_Control!$B$52))</f>
        <v>3487.9439043255784</v>
      </c>
      <c r="H25" s="68">
        <f>IF(H$3&lt;=2026+Scenario_Control!$B$53,0,MIN(H23,H23/Scenario_Control!$B$52))</f>
        <v>3039.1662037076389</v>
      </c>
      <c r="I25" s="68">
        <f>IF(I$3&lt;=2026+Scenario_Control!$B$53,0,MIN(I23,I23/Scenario_Control!$B$52))</f>
        <v>2604.9996031779765</v>
      </c>
      <c r="J25" s="68">
        <f>IF(J$3&lt;=2026+Scenario_Control!$B$53,0,MIN(J23,J23/Scenario_Control!$B$52))</f>
        <v>2232.8568027239794</v>
      </c>
      <c r="K25" s="68">
        <f>IF(K$3&lt;=2026+Scenario_Control!$B$53,0,MIN(K23,K23/Scenario_Control!$B$52))</f>
        <v>1913.8772594776967</v>
      </c>
      <c r="L25" s="55"/>
      <c r="M25" s="55"/>
      <c r="N25" s="55"/>
      <c r="O25" s="55"/>
    </row>
    <row r="26" spans="1:15" ht="15" customHeight="1" x14ac:dyDescent="0.3">
      <c r="A26" s="64" t="s">
        <v>463</v>
      </c>
      <c r="B26" s="68">
        <f t="shared" ref="B26:K26" si="5">B23+B21-B25</f>
        <v>564.30000000000007</v>
      </c>
      <c r="C26" s="68">
        <f t="shared" si="5"/>
        <v>17566.135714285716</v>
      </c>
      <c r="D26" s="68">
        <f t="shared" si="5"/>
        <v>24409.437755102041</v>
      </c>
      <c r="E26" s="68">
        <f t="shared" si="5"/>
        <v>25173.875218658894</v>
      </c>
      <c r="F26" s="68">
        <f t="shared" si="5"/>
        <v>24415.60733027905</v>
      </c>
      <c r="G26" s="68">
        <f t="shared" si="5"/>
        <v>21274.163425953473</v>
      </c>
      <c r="H26" s="68">
        <f t="shared" si="5"/>
        <v>18234.997222245835</v>
      </c>
      <c r="I26" s="68">
        <f t="shared" si="5"/>
        <v>15629.997619067857</v>
      </c>
      <c r="J26" s="68">
        <f t="shared" si="5"/>
        <v>13397.140816343877</v>
      </c>
      <c r="K26" s="68">
        <f t="shared" si="5"/>
        <v>11483.263556866181</v>
      </c>
      <c r="L26" s="55"/>
      <c r="M26" s="55"/>
      <c r="N26" s="55"/>
      <c r="O26" s="55"/>
    </row>
    <row r="27" spans="1:15" ht="15" customHeight="1" x14ac:dyDescent="0.3">
      <c r="A27" s="64" t="s">
        <v>464</v>
      </c>
      <c r="B27" s="68">
        <f>MAX(0,B16*Scenario_Control!$B$11)</f>
        <v>86.670207000000019</v>
      </c>
      <c r="C27" s="68">
        <f>MAX(0,C16*Scenario_Control!$B$11)</f>
        <v>5281.0526432812503</v>
      </c>
      <c r="D27" s="68">
        <f>MAX(0,D16*Scenario_Control!$B$11)</f>
        <v>4895.0283165749997</v>
      </c>
      <c r="E27" s="68">
        <f>MAX(0,E16*Scenario_Control!$B$11)</f>
        <v>5776.2934287785984</v>
      </c>
      <c r="F27" s="68">
        <f>MAX(0,F16*Scenario_Control!$B$11)</f>
        <v>6771.4845197224313</v>
      </c>
      <c r="G27" s="68">
        <f>MAX(0,G16*Scenario_Control!$B$11)</f>
        <v>6701.7673152740308</v>
      </c>
      <c r="H27" s="68">
        <f>MAX(0,H16*Scenario_Control!$B$11)</f>
        <v>4498.5454978838852</v>
      </c>
      <c r="I27" s="68">
        <f>MAX(0,I16*Scenario_Control!$B$11)</f>
        <v>4675.0603756426563</v>
      </c>
      <c r="J27" s="68">
        <f>MAX(0,J16*Scenario_Control!$B$11)</f>
        <v>4852.7116508081563</v>
      </c>
      <c r="K27" s="68">
        <f>MAX(0,K16*Scenario_Control!$B$11)</f>
        <v>5031.5193376348516</v>
      </c>
      <c r="L27" s="55"/>
      <c r="M27" s="55"/>
      <c r="N27" s="55"/>
      <c r="O27" s="55"/>
    </row>
    <row r="28" spans="1:15" ht="15" customHeight="1" x14ac:dyDescent="0.3">
      <c r="A28" s="61" t="s">
        <v>465</v>
      </c>
      <c r="B28" s="72">
        <f>B15*(1-Scenario_Control!$B$11)-B17</f>
        <v>-905.66944033333334</v>
      </c>
      <c r="C28" s="72">
        <f>C15*(1-Scenario_Control!$B$11)-C17</f>
        <v>-21431.598408906251</v>
      </c>
      <c r="D28" s="72">
        <f>D15*(1-Scenario_Control!$B$11)-D17</f>
        <v>-8015.2938107416685</v>
      </c>
      <c r="E28" s="72">
        <f>E15*(1-Scenario_Control!$B$11)-E17</f>
        <v>4717.3859370680602</v>
      </c>
      <c r="F28" s="72">
        <f>F15*(1-Scenario_Control!$B$11)-F17</f>
        <v>9908.0877755458314</v>
      </c>
      <c r="G28" s="72">
        <f>G15*(1-Scenario_Control!$B$11)-G17</f>
        <v>17419.593111666822</v>
      </c>
      <c r="H28" s="72">
        <f>H15*(1-Scenario_Control!$B$11)-H17</f>
        <v>12162.734123908282</v>
      </c>
      <c r="I28" s="72">
        <f>I15*(1-Scenario_Control!$B$11)-I17</f>
        <v>12639.978052663477</v>
      </c>
      <c r="J28" s="72">
        <f>J15*(1-Scenario_Control!$B$11)-J17</f>
        <v>13120.294463296126</v>
      </c>
      <c r="K28" s="72">
        <f>K15*(1-Scenario_Control!$B$11)-K17</f>
        <v>13603.737468420153</v>
      </c>
      <c r="L28" s="55"/>
      <c r="M28" s="55"/>
      <c r="N28" s="55"/>
      <c r="O28" s="55"/>
    </row>
    <row r="29" spans="1:15" ht="15" customHeight="1" x14ac:dyDescent="0.3">
      <c r="A29" s="61" t="s">
        <v>466</v>
      </c>
      <c r="B29" s="72">
        <f>B16*(1-Scenario_Control!$B$11)-B18</f>
        <v>-905.66944033333334</v>
      </c>
      <c r="C29" s="72">
        <f>C16*(1-Scenario_Control!$B$11)-C18</f>
        <v>-21431.598408906251</v>
      </c>
      <c r="D29" s="72">
        <f>D16*(1-Scenario_Control!$B$11)-D18</f>
        <v>-8015.2938107416685</v>
      </c>
      <c r="E29" s="72">
        <f>E16*(1-Scenario_Control!$B$11)-E18</f>
        <v>4717.3859370680602</v>
      </c>
      <c r="F29" s="72">
        <f>F16*(1-Scenario_Control!$B$11)-F18</f>
        <v>9908.0877755458314</v>
      </c>
      <c r="G29" s="72">
        <f>G16*(1-Scenario_Control!$B$11)-G18</f>
        <v>17419.593111666822</v>
      </c>
      <c r="H29" s="72">
        <f>H16*(1-Scenario_Control!$B$11)-H18</f>
        <v>12162.734123908282</v>
      </c>
      <c r="I29" s="72">
        <f>I16*(1-Scenario_Control!$B$11)-I18</f>
        <v>12639.978052663477</v>
      </c>
      <c r="J29" s="72">
        <f>J16*(1-Scenario_Control!$B$11)-J18</f>
        <v>13120.294463296126</v>
      </c>
      <c r="K29" s="72">
        <f>K16*(1-Scenario_Control!$B$11)-K18</f>
        <v>13603.737468420153</v>
      </c>
      <c r="L29" s="55"/>
      <c r="M29" s="55"/>
      <c r="N29" s="55"/>
      <c r="O29" s="55"/>
    </row>
    <row r="30" spans="1:15" ht="15" customHeight="1" x14ac:dyDescent="0.3">
      <c r="A30" s="61" t="s">
        <v>467</v>
      </c>
      <c r="B30" s="72">
        <f>B16*(1-Scenario_Control!$B$11)-B19+B21-B24-B25</f>
        <v>-378.04894033333329</v>
      </c>
      <c r="C30" s="72">
        <f>C16*(1-Scenario_Control!$B$11)-C19+C21-C24-C25</f>
        <v>-4533.4809446205363</v>
      </c>
      <c r="D30" s="72">
        <f>D16*(1-Scenario_Control!$B$11)-D19+D21-D24-D25</f>
        <v>-1943.5181627824854</v>
      </c>
      <c r="E30" s="72">
        <f>E16*(1-Scenario_Control!$B$11)-E19+E21-E24-E25</f>
        <v>4112.2489924616457</v>
      </c>
      <c r="F30" s="72">
        <f>F16*(1-Scenario_Control!$B$11)-F19+F21-F24-F25</f>
        <v>8092.7461087403335</v>
      </c>
      <c r="G30" s="72">
        <f>G16*(1-Scenario_Control!$B$11)-G19+G21-G24-G25</f>
        <v>11081.597754404966</v>
      </c>
      <c r="H30" s="72">
        <f>H16*(1-Scenario_Control!$B$11)-H19+H21-H24-H25</f>
        <v>6357.9266748266909</v>
      </c>
      <c r="I30" s="72">
        <f>I16*(1-Scenario_Control!$B$11)-I19+I21-I24-I25</f>
        <v>7664.428810593542</v>
      </c>
      <c r="J30" s="72">
        <f>J16*(1-Scenario_Control!$B$11)-J19+J21-J24-J25</f>
        <v>8855.5379700933245</v>
      </c>
      <c r="K30" s="72">
        <f>K16*(1-Scenario_Control!$B$11)-K19+K21-K24-K25</f>
        <v>9948.2319028177517</v>
      </c>
      <c r="L30" s="55"/>
      <c r="M30" s="55"/>
      <c r="N30" s="55"/>
      <c r="O30" s="55"/>
    </row>
    <row r="31" spans="1:15" ht="15" customHeight="1" x14ac:dyDescent="0.3">
      <c r="A31" s="64" t="s">
        <v>468</v>
      </c>
      <c r="B31" s="68">
        <f>IF(VALUE(B$3)=2035,B16*Scenario_Control!$B$10,0)</f>
        <v>0</v>
      </c>
      <c r="C31" s="68">
        <f>IF(VALUE(C$3)=2035,C16*Scenario_Control!$B$10,0)</f>
        <v>0</v>
      </c>
      <c r="D31" s="68">
        <f>IF(VALUE(D$3)=2035,D16*Scenario_Control!$B$10,0)</f>
        <v>0</v>
      </c>
      <c r="E31" s="68">
        <f>IF(VALUE(E$3)=2035,E16*Scenario_Control!$B$10,0)</f>
        <v>0</v>
      </c>
      <c r="F31" s="68">
        <f>IF(VALUE(F$3)=2035,F16*Scenario_Control!$B$10,0)</f>
        <v>0</v>
      </c>
      <c r="G31" s="68">
        <f>IF(VALUE(G$3)=2035,G16*Scenario_Control!$B$10,0)</f>
        <v>0</v>
      </c>
      <c r="H31" s="68">
        <f>IF(VALUE(H$3)=2035,H16*Scenario_Control!$B$10,0)</f>
        <v>0</v>
      </c>
      <c r="I31" s="68">
        <f>IF(VALUE(I$3)=2035,I16*Scenario_Control!$B$10,0)</f>
        <v>0</v>
      </c>
      <c r="J31" s="68">
        <f>IF(VALUE(J$3)=2035,J16*Scenario_Control!$B$10,0)</f>
        <v>0</v>
      </c>
      <c r="K31" s="68">
        <f>IF(VALUE(K$3)=2035,K16*Scenario_Control!$B$10,0)</f>
        <v>149082.05444844003</v>
      </c>
      <c r="L31" s="55"/>
      <c r="M31" s="55"/>
      <c r="N31" s="55"/>
      <c r="O31" s="55"/>
    </row>
    <row r="32" spans="1:15" ht="15" customHeight="1" x14ac:dyDescent="0.3">
      <c r="A32" s="64" t="s">
        <v>469</v>
      </c>
      <c r="B32" s="68">
        <f>B30/(1+Scenario_Control!$B$9)^(B$3-2025)</f>
        <v>-328.73820898550724</v>
      </c>
      <c r="C32" s="68">
        <f>C30/(1+Scenario_Control!$B$9)^(C$3-2025)</f>
        <v>-3427.9629070854721</v>
      </c>
      <c r="D32" s="68">
        <f>D30/(1+Scenario_Control!$B$9)^(D$3-2025)</f>
        <v>-1277.8947400558798</v>
      </c>
      <c r="E32" s="68">
        <f>E30/(1+Scenario_Control!$B$9)^(E$3-2025)</f>
        <v>2351.1917081266274</v>
      </c>
      <c r="F32" s="68">
        <f>F30/(1+Scenario_Control!$B$9)^(F$3-2025)</f>
        <v>4023.5250899414582</v>
      </c>
      <c r="G32" s="68">
        <f>G30/(1+Scenario_Control!$B$9)^(G$3-2025)</f>
        <v>4790.8805160208012</v>
      </c>
      <c r="H32" s="68">
        <f>H30/(1+Scenario_Control!$B$9)^(H$3-2025)</f>
        <v>2390.1801341824175</v>
      </c>
      <c r="I32" s="68">
        <f>I30/(1+Scenario_Control!$B$9)^(I$3-2025)</f>
        <v>2505.5153737007013</v>
      </c>
      <c r="J32" s="68">
        <f>J30/(1+Scenario_Control!$B$9)^(J$3-2025)</f>
        <v>2517.2965832918244</v>
      </c>
      <c r="K32" s="68">
        <f>K30/(1+Scenario_Control!$B$9)^(K$3-2025)</f>
        <v>2459.0507793301763</v>
      </c>
      <c r="L32" s="55"/>
      <c r="M32" s="55"/>
      <c r="N32" s="55"/>
      <c r="O32" s="55"/>
    </row>
    <row r="33" spans="1:15" ht="15" customHeight="1" x14ac:dyDescent="0.3">
      <c r="A33" s="64" t="s">
        <v>448</v>
      </c>
      <c r="B33" s="68">
        <f>SUM($B$22:B22)</f>
        <v>473.09999999999997</v>
      </c>
      <c r="C33" s="68">
        <f>SUM($B$22:C22)</f>
        <v>14914.75</v>
      </c>
      <c r="D33" s="68">
        <f>SUM($B$22:D22)</f>
        <v>22991.5</v>
      </c>
      <c r="E33" s="68">
        <f>SUM($B$22:E22)</f>
        <v>26787</v>
      </c>
      <c r="F33" s="68">
        <f>SUM($B$22:F22)</f>
        <v>29433</v>
      </c>
      <c r="G33" s="68">
        <f>SUM($B$22:G22)</f>
        <v>29723.5</v>
      </c>
      <c r="H33" s="68">
        <f>SUM($B$22:H22)</f>
        <v>29723.5</v>
      </c>
      <c r="I33" s="68">
        <f>SUM($B$22:I22)</f>
        <v>29723.5</v>
      </c>
      <c r="J33" s="68">
        <f>SUM($B$22:J22)</f>
        <v>29723.5</v>
      </c>
      <c r="K33" s="68">
        <f>SUM($B$22:K22)</f>
        <v>29723.5</v>
      </c>
      <c r="L33" s="55"/>
      <c r="M33" s="55"/>
      <c r="N33" s="55"/>
      <c r="O33" s="55"/>
    </row>
    <row r="34" spans="1:15" ht="15" customHeight="1" x14ac:dyDescent="0.3">
      <c r="A34" s="61" t="s">
        <v>470</v>
      </c>
      <c r="B34" s="79">
        <f t="shared" ref="B34:K34" si="6">IF(B16&lt;=0,0,B26/B16)</f>
        <v>1.7579397266237058</v>
      </c>
      <c r="C34" s="79">
        <f t="shared" si="6"/>
        <v>0.89808925667332262</v>
      </c>
      <c r="D34" s="79">
        <f t="shared" si="6"/>
        <v>1.3463759078903326</v>
      </c>
      <c r="E34" s="79">
        <f t="shared" si="6"/>
        <v>1.1766968546255312</v>
      </c>
      <c r="F34" s="79">
        <f t="shared" si="6"/>
        <v>0.97352566634023174</v>
      </c>
      <c r="G34" s="79">
        <f t="shared" si="6"/>
        <v>0.85709095150412107</v>
      </c>
      <c r="H34" s="79">
        <f t="shared" si="6"/>
        <v>1.0944535855694613</v>
      </c>
      <c r="I34" s="79">
        <f t="shared" si="6"/>
        <v>0.90268339188415436</v>
      </c>
      <c r="J34" s="79">
        <f t="shared" si="6"/>
        <v>0.74540345289430998</v>
      </c>
      <c r="K34" s="79">
        <f t="shared" si="6"/>
        <v>0.61621171505052807</v>
      </c>
      <c r="L34" s="55"/>
      <c r="M34" s="55"/>
      <c r="N34" s="55"/>
      <c r="O34" s="55"/>
    </row>
    <row r="35" spans="1:15" ht="12.75" customHeight="1" x14ac:dyDescent="0.3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</row>
    <row r="36" spans="1:15" ht="15" customHeight="1" x14ac:dyDescent="0.3">
      <c r="A36" s="55" t="s">
        <v>471</v>
      </c>
      <c r="B36" s="68">
        <f t="shared" ref="B36:J36" si="7">B28</f>
        <v>-905.66944033333334</v>
      </c>
      <c r="C36" s="68">
        <f t="shared" si="7"/>
        <v>-21431.598408906251</v>
      </c>
      <c r="D36" s="68">
        <f t="shared" si="7"/>
        <v>-8015.2938107416685</v>
      </c>
      <c r="E36" s="68">
        <f t="shared" si="7"/>
        <v>4717.3859370680602</v>
      </c>
      <c r="F36" s="68">
        <f t="shared" si="7"/>
        <v>9908.0877755458314</v>
      </c>
      <c r="G36" s="68">
        <f t="shared" si="7"/>
        <v>17419.593111666822</v>
      </c>
      <c r="H36" s="68">
        <f t="shared" si="7"/>
        <v>12162.734123908282</v>
      </c>
      <c r="I36" s="68">
        <f t="shared" si="7"/>
        <v>12639.978052663477</v>
      </c>
      <c r="J36" s="68">
        <f t="shared" si="7"/>
        <v>13120.294463296126</v>
      </c>
      <c r="K36" s="68">
        <f>K28+K31</f>
        <v>162685.79191686018</v>
      </c>
      <c r="L36" s="55"/>
      <c r="M36" s="55"/>
      <c r="N36" s="55"/>
      <c r="O36" s="55"/>
    </row>
    <row r="37" spans="1:15" ht="15" customHeight="1" x14ac:dyDescent="0.3">
      <c r="A37" s="55" t="s">
        <v>472</v>
      </c>
      <c r="B37" s="68">
        <f t="shared" ref="B37:J37" si="8">B29</f>
        <v>-905.66944033333334</v>
      </c>
      <c r="C37" s="68">
        <f t="shared" si="8"/>
        <v>-21431.598408906251</v>
      </c>
      <c r="D37" s="68">
        <f t="shared" si="8"/>
        <v>-8015.2938107416685</v>
      </c>
      <c r="E37" s="68">
        <f t="shared" si="8"/>
        <v>4717.3859370680602</v>
      </c>
      <c r="F37" s="68">
        <f t="shared" si="8"/>
        <v>9908.0877755458314</v>
      </c>
      <c r="G37" s="68">
        <f t="shared" si="8"/>
        <v>17419.593111666822</v>
      </c>
      <c r="H37" s="68">
        <f t="shared" si="8"/>
        <v>12162.734123908282</v>
      </c>
      <c r="I37" s="68">
        <f t="shared" si="8"/>
        <v>12639.978052663477</v>
      </c>
      <c r="J37" s="68">
        <f t="shared" si="8"/>
        <v>13120.294463296126</v>
      </c>
      <c r="K37" s="68">
        <f>K29+K31</f>
        <v>162685.79191686018</v>
      </c>
      <c r="L37" s="55"/>
      <c r="M37" s="55"/>
      <c r="N37" s="55"/>
      <c r="O37" s="55"/>
    </row>
    <row r="38" spans="1:15" ht="15" customHeight="1" x14ac:dyDescent="0.3">
      <c r="A38" s="55" t="s">
        <v>473</v>
      </c>
      <c r="B38" s="80">
        <f>IF(Capex_Model!$K$22=0,0,SUM($B$36:$K$36)/Capex_Model!$K$22)</f>
        <v>2.3548050718313061</v>
      </c>
      <c r="C38" s="66"/>
      <c r="D38" s="66"/>
      <c r="E38" s="66"/>
      <c r="F38" s="66"/>
      <c r="G38" s="66"/>
      <c r="H38" s="66"/>
      <c r="I38" s="66"/>
      <c r="J38" s="66"/>
      <c r="K38" s="66"/>
      <c r="L38" s="55"/>
      <c r="M38" s="55"/>
      <c r="N38" s="55"/>
      <c r="O38" s="55"/>
    </row>
  </sheetData>
  <mergeCells count="1">
    <mergeCell ref="A1:K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34155"/>
    <pageSetUpPr fitToPage="1"/>
  </sheetPr>
  <dimension ref="A1:K11"/>
  <sheetViews>
    <sheetView zoomScaleNormal="100" workbookViewId="0">
      <selection sqref="A1:J1"/>
    </sheetView>
  </sheetViews>
  <sheetFormatPr defaultColWidth="8.6640625" defaultRowHeight="13.2" x14ac:dyDescent="0.25"/>
  <cols>
    <col min="1" max="3" width="18" customWidth="1"/>
    <col min="4" max="4" width="16" customWidth="1"/>
    <col min="5" max="8" width="28" customWidth="1"/>
    <col min="9" max="9" width="18" customWidth="1"/>
    <col min="10" max="10" width="30" customWidth="1"/>
  </cols>
  <sheetData>
    <row r="1" spans="1:11" ht="42" customHeight="1" x14ac:dyDescent="0.25">
      <c r="A1" s="14" t="s">
        <v>474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5">
      <c r="A3" s="19" t="s">
        <v>61</v>
      </c>
      <c r="B3" s="19" t="s">
        <v>475</v>
      </c>
      <c r="C3" s="19" t="s">
        <v>476</v>
      </c>
      <c r="D3" s="19" t="s">
        <v>477</v>
      </c>
      <c r="E3" s="19" t="s">
        <v>478</v>
      </c>
      <c r="F3" s="19" t="s">
        <v>479</v>
      </c>
      <c r="G3" s="19" t="s">
        <v>480</v>
      </c>
      <c r="H3" s="19" t="s">
        <v>481</v>
      </c>
      <c r="I3" s="19" t="s">
        <v>482</v>
      </c>
      <c r="J3" s="19" t="s">
        <v>483</v>
      </c>
      <c r="K3" s="19"/>
    </row>
    <row r="4" spans="1:11" ht="27.75" customHeight="1" x14ac:dyDescent="0.25">
      <c r="A4" s="44" t="s">
        <v>484</v>
      </c>
      <c r="B4" s="44" t="s">
        <v>67</v>
      </c>
      <c r="C4" s="44" t="s">
        <v>68</v>
      </c>
      <c r="D4" s="44" t="s">
        <v>69</v>
      </c>
      <c r="E4" s="44" t="s">
        <v>485</v>
      </c>
      <c r="F4" s="44" t="s">
        <v>486</v>
      </c>
      <c r="G4" s="44" t="s">
        <v>487</v>
      </c>
      <c r="H4" s="44" t="s">
        <v>488</v>
      </c>
      <c r="I4" s="44" t="s">
        <v>489</v>
      </c>
      <c r="J4" s="44" t="s">
        <v>490</v>
      </c>
    </row>
    <row r="5" spans="1:11" ht="27.75" customHeight="1" x14ac:dyDescent="0.25">
      <c r="A5" s="44" t="s">
        <v>491</v>
      </c>
      <c r="B5" s="44" t="s">
        <v>72</v>
      </c>
      <c r="C5" s="44" t="s">
        <v>73</v>
      </c>
      <c r="D5" s="44" t="s">
        <v>74</v>
      </c>
      <c r="E5" s="44" t="s">
        <v>492</v>
      </c>
      <c r="F5" s="44" t="s">
        <v>493</v>
      </c>
      <c r="G5" s="44" t="s">
        <v>494</v>
      </c>
      <c r="H5" s="44" t="s">
        <v>495</v>
      </c>
      <c r="I5" s="44" t="s">
        <v>496</v>
      </c>
      <c r="J5" s="44" t="s">
        <v>497</v>
      </c>
    </row>
    <row r="6" spans="1:11" ht="27.75" customHeight="1" x14ac:dyDescent="0.25">
      <c r="A6" s="44" t="s">
        <v>498</v>
      </c>
      <c r="B6" s="44" t="s">
        <v>77</v>
      </c>
      <c r="C6" s="44" t="s">
        <v>78</v>
      </c>
      <c r="D6" s="44" t="s">
        <v>79</v>
      </c>
      <c r="E6" s="44" t="s">
        <v>499</v>
      </c>
      <c r="F6" s="44" t="s">
        <v>500</v>
      </c>
      <c r="G6" s="44" t="s">
        <v>501</v>
      </c>
      <c r="H6" s="44" t="s">
        <v>502</v>
      </c>
      <c r="I6" s="44" t="s">
        <v>496</v>
      </c>
      <c r="J6" s="44" t="s">
        <v>503</v>
      </c>
    </row>
    <row r="7" spans="1:11" ht="27.75" customHeight="1" x14ac:dyDescent="0.25">
      <c r="A7" s="44" t="s">
        <v>504</v>
      </c>
      <c r="B7" s="44" t="s">
        <v>82</v>
      </c>
      <c r="C7" s="44" t="s">
        <v>83</v>
      </c>
      <c r="D7" s="44" t="s">
        <v>84</v>
      </c>
      <c r="E7" s="44" t="s">
        <v>505</v>
      </c>
      <c r="F7" s="44" t="s">
        <v>506</v>
      </c>
      <c r="G7" s="44" t="s">
        <v>507</v>
      </c>
      <c r="H7" s="44" t="s">
        <v>508</v>
      </c>
      <c r="I7" s="44" t="s">
        <v>496</v>
      </c>
      <c r="J7" s="44" t="s">
        <v>509</v>
      </c>
    </row>
    <row r="8" spans="1:11" ht="41.25" customHeight="1" x14ac:dyDescent="0.25">
      <c r="A8" s="44" t="s">
        <v>510</v>
      </c>
      <c r="B8" s="44" t="s">
        <v>87</v>
      </c>
      <c r="C8" s="44" t="s">
        <v>88</v>
      </c>
      <c r="D8" s="44" t="s">
        <v>89</v>
      </c>
      <c r="E8" s="44" t="s">
        <v>511</v>
      </c>
      <c r="F8" s="44" t="s">
        <v>512</v>
      </c>
      <c r="G8" s="44" t="s">
        <v>513</v>
      </c>
      <c r="H8" s="44" t="s">
        <v>514</v>
      </c>
      <c r="I8" s="44" t="s">
        <v>496</v>
      </c>
      <c r="J8" s="44" t="s">
        <v>515</v>
      </c>
    </row>
    <row r="9" spans="1:11" ht="41.25" customHeight="1" x14ac:dyDescent="0.25">
      <c r="A9" s="44" t="s">
        <v>516</v>
      </c>
      <c r="B9" s="44" t="s">
        <v>92</v>
      </c>
      <c r="C9" s="44" t="s">
        <v>517</v>
      </c>
      <c r="D9" s="44" t="s">
        <v>89</v>
      </c>
      <c r="E9" s="44" t="s">
        <v>518</v>
      </c>
      <c r="F9" s="44" t="s">
        <v>519</v>
      </c>
      <c r="G9" s="44" t="s">
        <v>520</v>
      </c>
      <c r="H9" s="44" t="s">
        <v>521</v>
      </c>
      <c r="I9" s="44" t="s">
        <v>496</v>
      </c>
      <c r="J9" s="44" t="s">
        <v>522</v>
      </c>
    </row>
    <row r="10" spans="1:11" ht="41.25" customHeight="1" x14ac:dyDescent="0.25">
      <c r="A10" s="44" t="s">
        <v>523</v>
      </c>
      <c r="B10" s="44" t="s">
        <v>524</v>
      </c>
      <c r="C10" s="44" t="s">
        <v>525</v>
      </c>
      <c r="D10" s="44" t="s">
        <v>526</v>
      </c>
      <c r="E10" s="44" t="s">
        <v>527</v>
      </c>
      <c r="F10" s="44" t="s">
        <v>528</v>
      </c>
      <c r="G10" s="44" t="s">
        <v>529</v>
      </c>
      <c r="H10" s="44" t="s">
        <v>530</v>
      </c>
      <c r="I10" s="44" t="s">
        <v>531</v>
      </c>
      <c r="J10" s="44" t="s">
        <v>532</v>
      </c>
    </row>
    <row r="11" spans="1:11" ht="27.75" customHeight="1" x14ac:dyDescent="0.25">
      <c r="A11" s="44" t="s">
        <v>533</v>
      </c>
      <c r="B11" s="44" t="s">
        <v>534</v>
      </c>
      <c r="C11" s="44" t="s">
        <v>535</v>
      </c>
      <c r="D11" s="44" t="s">
        <v>536</v>
      </c>
      <c r="E11" s="44" t="s">
        <v>537</v>
      </c>
      <c r="F11" s="44" t="s">
        <v>538</v>
      </c>
      <c r="G11" s="44" t="s">
        <v>539</v>
      </c>
      <c r="H11" s="44" t="s">
        <v>540</v>
      </c>
      <c r="I11" s="44" t="s">
        <v>541</v>
      </c>
      <c r="J11" s="44" t="s">
        <v>532</v>
      </c>
    </row>
  </sheetData>
  <mergeCells count="1">
    <mergeCell ref="A1:J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34155"/>
    <pageSetUpPr fitToPage="1"/>
  </sheetPr>
  <dimension ref="A1:K36"/>
  <sheetViews>
    <sheetView showGridLines="0" topLeftCell="A19" zoomScaleNormal="100" workbookViewId="0">
      <selection sqref="A1:E1"/>
    </sheetView>
  </sheetViews>
  <sheetFormatPr defaultColWidth="8.6640625" defaultRowHeight="13.2" x14ac:dyDescent="0.25"/>
  <cols>
    <col min="1" max="4" width="40" customWidth="1"/>
    <col min="5" max="5" width="16" customWidth="1"/>
  </cols>
  <sheetData>
    <row r="1" spans="1:11" ht="42" customHeight="1" x14ac:dyDescent="0.25">
      <c r="A1" s="14" t="s">
        <v>542</v>
      </c>
      <c r="B1" s="14"/>
      <c r="C1" s="14"/>
      <c r="D1" s="14"/>
      <c r="E1" s="14"/>
    </row>
    <row r="2" spans="1:11" ht="15.75" customHeight="1" x14ac:dyDescent="0.25">
      <c r="A2" s="3" t="s">
        <v>543</v>
      </c>
      <c r="B2" s="3"/>
      <c r="C2" s="3"/>
      <c r="D2" s="3"/>
      <c r="E2" s="3"/>
      <c r="F2" s="19"/>
      <c r="G2" s="19"/>
      <c r="H2" s="19"/>
      <c r="I2" s="19"/>
      <c r="J2" s="19"/>
      <c r="K2" s="19"/>
    </row>
    <row r="3" spans="1:11" ht="27.75" customHeight="1" x14ac:dyDescent="0.3">
      <c r="A3" s="71"/>
      <c r="B3" s="71"/>
      <c r="C3" s="71"/>
      <c r="D3" s="71"/>
      <c r="E3" s="71"/>
    </row>
    <row r="4" spans="1:11" ht="15" customHeight="1" x14ac:dyDescent="0.25">
      <c r="A4" s="2" t="s">
        <v>544</v>
      </c>
      <c r="B4" s="2"/>
      <c r="C4" s="2"/>
      <c r="D4" s="2"/>
      <c r="E4" s="2"/>
    </row>
    <row r="5" spans="1:11" ht="15" customHeight="1" x14ac:dyDescent="0.3">
      <c r="A5" s="82" t="s">
        <v>114</v>
      </c>
      <c r="B5" s="83" t="s">
        <v>545</v>
      </c>
      <c r="C5" s="71"/>
      <c r="D5" s="71"/>
      <c r="E5" s="71"/>
    </row>
    <row r="6" spans="1:11" ht="15" customHeight="1" x14ac:dyDescent="0.3">
      <c r="A6" s="84">
        <v>0.12</v>
      </c>
      <c r="B6" s="85">
        <f>NPV(A6,Financing_DCF!$B$36:$K$36)</f>
        <v>61565.165905375623</v>
      </c>
      <c r="C6" s="86"/>
      <c r="D6" s="86"/>
      <c r="E6" s="71"/>
    </row>
    <row r="7" spans="1:11" ht="15" customHeight="1" x14ac:dyDescent="0.3">
      <c r="A7" s="84">
        <v>0.15</v>
      </c>
      <c r="B7" s="85">
        <f>NPV(A7,Financing_DCF!$B$36:$K$36)</f>
        <v>45538.630142959642</v>
      </c>
      <c r="C7" s="87" t="s">
        <v>546</v>
      </c>
      <c r="D7" s="86"/>
      <c r="E7" s="71"/>
    </row>
    <row r="8" spans="1:11" ht="15" customHeight="1" x14ac:dyDescent="0.3">
      <c r="A8" s="84">
        <v>0.18</v>
      </c>
      <c r="B8" s="85">
        <f>NPV(A8,Financing_DCF!$B$36:$K$36)</f>
        <v>33401.573743333807</v>
      </c>
      <c r="C8" s="71"/>
      <c r="D8" s="71"/>
      <c r="E8" s="71"/>
    </row>
    <row r="9" spans="1:11" ht="15" customHeight="1" x14ac:dyDescent="0.3">
      <c r="A9" s="84">
        <v>0.2</v>
      </c>
      <c r="B9" s="85">
        <f>NPV(A9,Financing_DCF!$B$36:$K$36)</f>
        <v>26965.854880299299</v>
      </c>
      <c r="C9" s="71"/>
      <c r="D9" s="71"/>
      <c r="E9" s="71"/>
    </row>
    <row r="10" spans="1:11" ht="15" customHeight="1" x14ac:dyDescent="0.3">
      <c r="A10" s="84">
        <v>0.25</v>
      </c>
      <c r="B10" s="85">
        <f>NPV(A10,Financing_DCF!$B$36:$K$36)</f>
        <v>15101.35298202649</v>
      </c>
      <c r="C10" s="71"/>
      <c r="D10" s="71"/>
      <c r="E10" s="71"/>
    </row>
    <row r="11" spans="1:11" ht="27.75" customHeight="1" x14ac:dyDescent="0.3">
      <c r="A11" s="71"/>
      <c r="B11" s="71"/>
      <c r="C11" s="71"/>
      <c r="D11" s="71"/>
      <c r="E11" s="71"/>
    </row>
    <row r="12" spans="1:11" ht="27.75" customHeight="1" x14ac:dyDescent="0.25">
      <c r="A12" s="2" t="s">
        <v>547</v>
      </c>
      <c r="B12" s="2"/>
      <c r="C12" s="2"/>
      <c r="D12" s="2"/>
      <c r="E12" s="2"/>
    </row>
    <row r="13" spans="1:11" ht="27.75" customHeight="1" x14ac:dyDescent="0.3">
      <c r="A13" s="82" t="s">
        <v>548</v>
      </c>
      <c r="B13" s="82" t="s">
        <v>549</v>
      </c>
      <c r="C13" s="83" t="s">
        <v>545</v>
      </c>
      <c r="D13" s="83" t="s">
        <v>550</v>
      </c>
      <c r="E13" s="71"/>
    </row>
    <row r="14" spans="1:11" ht="15" customHeight="1" x14ac:dyDescent="0.3">
      <c r="A14" s="88" t="s">
        <v>551</v>
      </c>
      <c r="B14" s="89" t="s">
        <v>552</v>
      </c>
      <c r="C14" s="85">
        <v>45539</v>
      </c>
      <c r="D14" s="90">
        <v>0.38500000000000001</v>
      </c>
      <c r="E14" s="55"/>
    </row>
    <row r="15" spans="1:11" ht="23.25" customHeight="1" x14ac:dyDescent="0.3">
      <c r="A15" s="91" t="s">
        <v>553</v>
      </c>
      <c r="B15" s="89" t="s">
        <v>554</v>
      </c>
      <c r="C15" s="85">
        <v>9030</v>
      </c>
      <c r="D15" s="90">
        <v>0.20300000000000001</v>
      </c>
      <c r="E15" s="55"/>
    </row>
    <row r="16" spans="1:11" ht="15" customHeight="1" x14ac:dyDescent="0.3">
      <c r="A16" s="91" t="s">
        <v>555</v>
      </c>
      <c r="B16" s="89" t="s">
        <v>556</v>
      </c>
      <c r="C16" s="85">
        <v>25697</v>
      </c>
      <c r="D16" s="90">
        <v>0.29299999999999998</v>
      </c>
      <c r="E16" s="55"/>
    </row>
    <row r="17" spans="1:5" ht="15" customHeight="1" x14ac:dyDescent="0.3">
      <c r="A17" s="91" t="s">
        <v>557</v>
      </c>
      <c r="B17" s="89" t="s">
        <v>558</v>
      </c>
      <c r="C17" s="85">
        <v>26336</v>
      </c>
      <c r="D17" s="90">
        <v>0.29899999999999999</v>
      </c>
      <c r="E17" s="55"/>
    </row>
    <row r="18" spans="1:5" ht="23.25" customHeight="1" x14ac:dyDescent="0.3">
      <c r="A18" s="55" t="s">
        <v>559</v>
      </c>
      <c r="B18" s="55" t="s">
        <v>560</v>
      </c>
      <c r="C18" s="65">
        <v>37414</v>
      </c>
      <c r="D18" s="92">
        <v>0.33600000000000002</v>
      </c>
      <c r="E18" s="55"/>
    </row>
    <row r="19" spans="1:5" ht="43.5" customHeight="1" x14ac:dyDescent="0.3">
      <c r="A19" s="93" t="s">
        <v>561</v>
      </c>
      <c r="B19" s="94" t="s">
        <v>562</v>
      </c>
      <c r="C19" s="95">
        <v>-25179</v>
      </c>
      <c r="D19" s="94" t="s">
        <v>563</v>
      </c>
    </row>
    <row r="20" spans="1:5" ht="53.25" customHeight="1" x14ac:dyDescent="0.3">
      <c r="A20" s="96" t="s">
        <v>564</v>
      </c>
      <c r="B20" s="55"/>
      <c r="C20" s="55"/>
      <c r="D20" s="55"/>
      <c r="E20" s="55"/>
    </row>
    <row r="21" spans="1:5" ht="12.75" customHeight="1" x14ac:dyDescent="0.3">
      <c r="A21" s="55"/>
      <c r="B21" s="55"/>
      <c r="C21" s="55"/>
      <c r="D21" s="55"/>
      <c r="E21" s="55"/>
    </row>
    <row r="22" spans="1:5" ht="12.75" customHeight="1" x14ac:dyDescent="0.3">
      <c r="A22" s="81" t="s">
        <v>565</v>
      </c>
      <c r="B22" s="97"/>
      <c r="C22" s="97"/>
      <c r="D22" s="97"/>
      <c r="E22" s="97"/>
    </row>
    <row r="23" spans="1:5" ht="12.75" customHeight="1" x14ac:dyDescent="0.3">
      <c r="A23" s="98" t="s">
        <v>566</v>
      </c>
      <c r="B23" s="98" t="s">
        <v>545</v>
      </c>
      <c r="C23" s="98" t="s">
        <v>567</v>
      </c>
      <c r="D23" s="55"/>
      <c r="E23" s="55"/>
    </row>
    <row r="24" spans="1:5" ht="12.75" customHeight="1" x14ac:dyDescent="0.3">
      <c r="A24" s="99">
        <v>5</v>
      </c>
      <c r="B24" s="65">
        <f>Financing_DCF!$N$4+(5-Scenario_Control!$B$10)*(Financing_DCF!$K$15/(1+Scenario_Control!$B$9)^(Financing_DCF!$K$3-2025))</f>
        <v>31719.578711629023</v>
      </c>
      <c r="C24" s="92">
        <f>(5*(Financing_DCF!$K$15/(1+Scenario_Control!$B$9)^(Financing_DCF!$K$3-2025)))/(Financing_DCF!$N$4+(5-Scenario_Control!$B$10)*(Financing_DCF!$K$15/(1+Scenario_Control!$B$9)^(Financing_DCF!$K$3-2025)))</f>
        <v>0.72610524228391293</v>
      </c>
      <c r="D24" s="55"/>
      <c r="E24" s="55"/>
    </row>
    <row r="25" spans="1:5" ht="12.75" customHeight="1" x14ac:dyDescent="0.3">
      <c r="A25" s="99">
        <v>6</v>
      </c>
      <c r="B25" s="65">
        <f>Financing_DCF!$N$4+(6-Scenario_Control!$B$10)*(Financing_DCF!$K$15/(1+Scenario_Control!$B$9)^(Financing_DCF!$K$3-2025))</f>
        <v>36325.929188739232</v>
      </c>
      <c r="C25" s="92">
        <f>(6*(Financing_DCF!$K$15/(1+Scenario_Control!$B$9)^(Financing_DCF!$K$3-2025)))/(Financing_DCF!$N$4+(6-Scenario_Control!$B$10)*(Financing_DCF!$K$15/(1+Scenario_Control!$B$9)^(Financing_DCF!$K$3-2025)))</f>
        <v>0.76083677637154146</v>
      </c>
      <c r="D25" s="55"/>
      <c r="E25" s="55"/>
    </row>
    <row r="26" spans="1:5" ht="12.75" customHeight="1" x14ac:dyDescent="0.3">
      <c r="A26" s="99">
        <v>7</v>
      </c>
      <c r="B26" s="65">
        <f>Financing_DCF!$N$4+(7-Scenario_Control!$B$10)*(Financing_DCF!$K$15/(1+Scenario_Control!$B$9)^(Financing_DCF!$K$3-2025))</f>
        <v>40932.279665849434</v>
      </c>
      <c r="C26" s="92">
        <f>(7*(Financing_DCF!$K$15/(1+Scenario_Control!$B$9)^(Financing_DCF!$K$3-2025)))/(Financing_DCF!$N$4+(7-Scenario_Control!$B$10)*(Financing_DCF!$K$15/(1+Scenario_Control!$B$9)^(Financing_DCF!$K$3-2025)))</f>
        <v>0.78775122233598927</v>
      </c>
      <c r="D26" s="55"/>
      <c r="E26" s="55"/>
    </row>
    <row r="27" spans="1:5" ht="12.75" customHeight="1" x14ac:dyDescent="0.3">
      <c r="A27" s="99">
        <v>8</v>
      </c>
      <c r="B27" s="65">
        <f>Financing_DCF!$N$4+(8-Scenario_Control!$B$10)*(Financing_DCF!$K$15/(1+Scenario_Control!$B$9)^(Financing_DCF!$K$3-2025))</f>
        <v>45538.630142959642</v>
      </c>
      <c r="C27" s="92">
        <f>(8*(Financing_DCF!$K$15/(1+Scenario_Control!$B$9)^(Financing_DCF!$K$3-2025)))/(Financing_DCF!$N$4+(8-Scenario_Control!$B$10)*(Financing_DCF!$K$15/(1+Scenario_Control!$B$9)^(Financing_DCF!$K$3-2025)))</f>
        <v>0.80922073635495295</v>
      </c>
      <c r="D27" s="55" t="s">
        <v>568</v>
      </c>
      <c r="E27" s="55"/>
    </row>
    <row r="28" spans="1:5" ht="12.75" customHeight="1" x14ac:dyDescent="0.3">
      <c r="A28" s="99">
        <v>9</v>
      </c>
      <c r="B28" s="65">
        <f>Financing_DCF!$N$4+(9-Scenario_Control!$B$10)*(Financing_DCF!$K$15/(1+Scenario_Control!$B$9)^(Financing_DCF!$K$3-2025))</f>
        <v>50144.980620069851</v>
      </c>
      <c r="C28" s="92">
        <f>(9*(Financing_DCF!$K$15/(1+Scenario_Control!$B$9)^(Financing_DCF!$K$3-2025)))/(Financing_DCF!$N$4+(9-Scenario_Control!$B$10)*(Financing_DCF!$K$15/(1+Scenario_Control!$B$9)^(Financing_DCF!$K$3-2025)))</f>
        <v>0.82674584337957047</v>
      </c>
      <c r="D28" s="55"/>
      <c r="E28" s="55"/>
    </row>
    <row r="29" spans="1:5" ht="12.75" customHeight="1" x14ac:dyDescent="0.3">
      <c r="A29" s="99">
        <v>10</v>
      </c>
      <c r="B29" s="65">
        <f>Financing_DCF!$N$4+(10-Scenario_Control!$B$10)*(Financing_DCF!$K$15/(1+Scenario_Control!$B$9)^(Financing_DCF!$K$3-2025))</f>
        <v>54751.331097180053</v>
      </c>
      <c r="C29" s="92">
        <f>(10*(Financing_DCF!$K$15/(1+Scenario_Control!$B$9)^(Financing_DCF!$K$3-2025)))/(Financing_DCF!$N$4+(10-Scenario_Control!$B$10)*(Financing_DCF!$K$15/(1+Scenario_Control!$B$9)^(Financing_DCF!$K$3-2025)))</f>
        <v>0.84132209844071826</v>
      </c>
      <c r="D29" s="55"/>
      <c r="E29" s="55"/>
    </row>
    <row r="30" spans="1:5" ht="12.75" customHeight="1" x14ac:dyDescent="0.3">
      <c r="A30" s="55"/>
      <c r="B30" s="55"/>
      <c r="C30" s="55"/>
      <c r="D30" s="55"/>
      <c r="E30" s="55"/>
    </row>
    <row r="31" spans="1:5" ht="12.75" customHeight="1" x14ac:dyDescent="0.3">
      <c r="A31" s="81" t="s">
        <v>569</v>
      </c>
      <c r="B31" s="97"/>
      <c r="C31" s="97"/>
      <c r="D31" s="97"/>
      <c r="E31" s="97"/>
    </row>
    <row r="32" spans="1:5" ht="12.75" customHeight="1" x14ac:dyDescent="0.3">
      <c r="A32" s="55" t="s">
        <v>570</v>
      </c>
      <c r="B32" s="65">
        <f>Financing_DCF!$N$4-(Scenario_Control!$B$10*(Financing_DCF!$K$15/(1+Scenario_Control!$B$9)^(Financing_DCF!$K$3-2025)))</f>
        <v>8687.8263260779859</v>
      </c>
      <c r="C32" s="55"/>
      <c r="D32" s="55"/>
      <c r="E32" s="55"/>
    </row>
    <row r="33" spans="1:5" ht="12.75" customHeight="1" x14ac:dyDescent="0.3">
      <c r="A33" s="55" t="s">
        <v>571</v>
      </c>
      <c r="B33" s="65">
        <f>Scenario_Control!$B$10*(Financing_DCF!$K$15/(1+Scenario_Control!$B$9)^(Financing_DCF!$K$3-2025))</f>
        <v>36850.803816881657</v>
      </c>
      <c r="C33" s="55"/>
      <c r="D33" s="55"/>
      <c r="E33" s="55"/>
    </row>
    <row r="34" spans="1:5" ht="12.75" customHeight="1" x14ac:dyDescent="0.3">
      <c r="A34" s="55" t="s">
        <v>572</v>
      </c>
      <c r="B34" s="65">
        <f>Financing_DCF!$N$4</f>
        <v>45538.630142959642</v>
      </c>
      <c r="C34" s="55"/>
      <c r="D34" s="55"/>
      <c r="E34" s="55"/>
    </row>
    <row r="35" spans="1:5" ht="12.75" customHeight="1" x14ac:dyDescent="0.3">
      <c r="A35" s="55" t="s">
        <v>573</v>
      </c>
      <c r="B35" s="92">
        <f>B33/B34</f>
        <v>0.80922073635495295</v>
      </c>
      <c r="C35" s="55"/>
      <c r="D35" s="55"/>
      <c r="E35" s="55"/>
    </row>
    <row r="36" spans="1:5" ht="12.75" customHeight="1" x14ac:dyDescent="0.3">
      <c r="A36" s="55" t="s">
        <v>574</v>
      </c>
      <c r="B36" s="55"/>
      <c r="C36" s="55"/>
      <c r="D36" s="55"/>
      <c r="E36" s="55"/>
    </row>
  </sheetData>
  <mergeCells count="4">
    <mergeCell ref="A1:E1"/>
    <mergeCell ref="A2:E2"/>
    <mergeCell ref="A4:E4"/>
    <mergeCell ref="A12:E12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B2737"/>
    <pageSetUpPr fitToPage="1"/>
  </sheetPr>
  <dimension ref="A1:K29"/>
  <sheetViews>
    <sheetView showGridLines="0" tabSelected="1" zoomScaleNormal="100" workbookViewId="0">
      <selection activeCell="A10" sqref="A10:D10"/>
    </sheetView>
  </sheetViews>
  <sheetFormatPr defaultColWidth="8.6640625" defaultRowHeight="13.2" x14ac:dyDescent="0.25"/>
  <cols>
    <col min="1" max="1" width="34" customWidth="1"/>
    <col min="2" max="2" width="18" customWidth="1"/>
    <col min="3" max="3" width="14" customWidth="1"/>
    <col min="4" max="4" width="46" customWidth="1"/>
  </cols>
  <sheetData>
    <row r="1" spans="1:11" ht="42" customHeight="1" x14ac:dyDescent="0.25">
      <c r="A1" s="14" t="s">
        <v>575</v>
      </c>
      <c r="B1" s="14"/>
      <c r="C1" s="14"/>
      <c r="D1" s="14"/>
    </row>
    <row r="2" spans="1:11" ht="25.5" customHeight="1" x14ac:dyDescent="0.25">
      <c r="A2" s="10" t="s">
        <v>576</v>
      </c>
      <c r="B2" s="10"/>
      <c r="C2" s="10"/>
      <c r="D2" s="10"/>
      <c r="E2" s="19"/>
      <c r="F2" s="19"/>
      <c r="G2" s="19"/>
      <c r="H2" s="19"/>
      <c r="I2" s="19"/>
      <c r="J2" s="19"/>
      <c r="K2" s="19"/>
    </row>
    <row r="3" spans="1:11" ht="12.75" customHeight="1" x14ac:dyDescent="0.3">
      <c r="A3" s="55"/>
      <c r="B3" s="55"/>
      <c r="C3" s="55"/>
      <c r="D3" s="55"/>
    </row>
    <row r="4" spans="1:11" ht="15" customHeight="1" x14ac:dyDescent="0.25">
      <c r="A4" s="1" t="s">
        <v>577</v>
      </c>
      <c r="B4" s="1"/>
      <c r="C4" s="1"/>
      <c r="D4" s="1"/>
    </row>
    <row r="5" spans="1:11" ht="45.75" customHeight="1" x14ac:dyDescent="0.25">
      <c r="A5" s="102" t="s">
        <v>578</v>
      </c>
      <c r="B5" s="102"/>
      <c r="C5" s="102"/>
      <c r="D5" s="102"/>
    </row>
    <row r="6" spans="1:11" ht="12.75" customHeight="1" x14ac:dyDescent="0.3">
      <c r="A6" s="55"/>
      <c r="B6" s="55"/>
      <c r="C6" s="55"/>
      <c r="D6" s="55"/>
    </row>
    <row r="7" spans="1:11" ht="15" customHeight="1" x14ac:dyDescent="0.25">
      <c r="A7" s="1" t="s">
        <v>579</v>
      </c>
      <c r="B7" s="1"/>
      <c r="C7" s="1"/>
      <c r="D7" s="1"/>
    </row>
    <row r="8" spans="1:11" ht="45.75" customHeight="1" x14ac:dyDescent="0.25">
      <c r="A8" s="102" t="s">
        <v>580</v>
      </c>
      <c r="B8" s="102"/>
      <c r="C8" s="102"/>
      <c r="D8" s="102"/>
    </row>
    <row r="9" spans="1:11" ht="12.75" customHeight="1" x14ac:dyDescent="0.3">
      <c r="A9" s="55"/>
      <c r="B9" s="55"/>
      <c r="C9" s="55"/>
      <c r="D9" s="55"/>
    </row>
    <row r="10" spans="1:11" ht="15" customHeight="1" x14ac:dyDescent="0.25">
      <c r="A10" s="1" t="s">
        <v>581</v>
      </c>
      <c r="B10" s="1"/>
      <c r="C10" s="1"/>
      <c r="D10" s="1"/>
    </row>
    <row r="11" spans="1:11" ht="45.75" customHeight="1" x14ac:dyDescent="0.25">
      <c r="A11" s="102" t="s">
        <v>582</v>
      </c>
      <c r="B11" s="102"/>
      <c r="C11" s="102"/>
      <c r="D11" s="102"/>
    </row>
    <row r="12" spans="1:11" ht="12.75" customHeight="1" x14ac:dyDescent="0.3">
      <c r="A12" s="55"/>
      <c r="B12" s="55"/>
      <c r="C12" s="55"/>
      <c r="D12" s="55"/>
    </row>
    <row r="13" spans="1:11" ht="15" customHeight="1" x14ac:dyDescent="0.25">
      <c r="A13" s="1" t="s">
        <v>583</v>
      </c>
      <c r="B13" s="1"/>
      <c r="C13" s="1"/>
      <c r="D13" s="1"/>
    </row>
    <row r="14" spans="1:11" ht="45.75" customHeight="1" x14ac:dyDescent="0.25">
      <c r="A14" s="102" t="s">
        <v>584</v>
      </c>
      <c r="B14" s="102"/>
      <c r="C14" s="102"/>
      <c r="D14" s="102"/>
    </row>
    <row r="15" spans="1:11" ht="12.75" customHeight="1" x14ac:dyDescent="0.3">
      <c r="A15" s="55"/>
      <c r="B15" s="55"/>
      <c r="C15" s="55"/>
      <c r="D15" s="55"/>
    </row>
    <row r="16" spans="1:11" ht="15" customHeight="1" x14ac:dyDescent="0.25">
      <c r="A16" s="1" t="s">
        <v>585</v>
      </c>
      <c r="B16" s="1"/>
      <c r="C16" s="1"/>
      <c r="D16" s="1"/>
    </row>
    <row r="17" spans="1:4" ht="45.75" customHeight="1" x14ac:dyDescent="0.25">
      <c r="A17" s="102" t="s">
        <v>586</v>
      </c>
      <c r="B17" s="102"/>
      <c r="C17" s="102"/>
      <c r="D17" s="102"/>
    </row>
    <row r="18" spans="1:4" ht="12.75" customHeight="1" x14ac:dyDescent="0.3">
      <c r="A18" s="55"/>
      <c r="B18" s="55"/>
      <c r="C18" s="55"/>
      <c r="D18" s="55"/>
    </row>
    <row r="19" spans="1:4" ht="15" customHeight="1" x14ac:dyDescent="0.25">
      <c r="A19" s="1" t="s">
        <v>587</v>
      </c>
      <c r="B19" s="1"/>
      <c r="C19" s="1"/>
      <c r="D19" s="1"/>
    </row>
    <row r="20" spans="1:4" ht="45.75" customHeight="1" x14ac:dyDescent="0.25">
      <c r="A20" s="102" t="s">
        <v>588</v>
      </c>
      <c r="B20" s="102"/>
      <c r="C20" s="102"/>
      <c r="D20" s="102"/>
    </row>
    <row r="21" spans="1:4" ht="12.75" customHeight="1" x14ac:dyDescent="0.3">
      <c r="A21" s="55"/>
      <c r="B21" s="55"/>
      <c r="C21" s="55"/>
      <c r="D21" s="55"/>
    </row>
    <row r="22" spans="1:4" ht="15" customHeight="1" x14ac:dyDescent="0.25">
      <c r="A22" s="1" t="s">
        <v>589</v>
      </c>
      <c r="B22" s="1"/>
      <c r="C22" s="1"/>
      <c r="D22" s="1"/>
    </row>
    <row r="23" spans="1:4" ht="15" customHeight="1" x14ac:dyDescent="0.25">
      <c r="A23" s="100" t="s">
        <v>590</v>
      </c>
      <c r="B23" s="100" t="s">
        <v>591</v>
      </c>
      <c r="C23" s="100" t="s">
        <v>5</v>
      </c>
      <c r="D23" s="100" t="s">
        <v>32</v>
      </c>
    </row>
    <row r="24" spans="1:4" ht="15" customHeight="1" x14ac:dyDescent="0.25">
      <c r="A24" s="91" t="s">
        <v>592</v>
      </c>
      <c r="B24" s="85">
        <f>Scenario_Control!B39</f>
        <v>550</v>
      </c>
      <c r="C24" s="101" t="s">
        <v>593</v>
      </c>
      <c r="D24" s="89" t="s">
        <v>594</v>
      </c>
    </row>
    <row r="25" spans="1:4" ht="15" customHeight="1" x14ac:dyDescent="0.25">
      <c r="A25" s="91" t="s">
        <v>595</v>
      </c>
      <c r="B25" s="85">
        <f>Scenario_Control!B40</f>
        <v>180</v>
      </c>
      <c r="C25" s="101" t="s">
        <v>596</v>
      </c>
      <c r="D25" s="89" t="s">
        <v>597</v>
      </c>
    </row>
    <row r="26" spans="1:4" ht="15" customHeight="1" x14ac:dyDescent="0.25">
      <c r="A26" s="91" t="s">
        <v>598</v>
      </c>
      <c r="B26" s="85">
        <f>Scenario_Control!B41</f>
        <v>0.1</v>
      </c>
      <c r="C26" s="101" t="s">
        <v>599</v>
      </c>
      <c r="D26" s="89" t="s">
        <v>600</v>
      </c>
    </row>
    <row r="27" spans="1:4" ht="15" customHeight="1" x14ac:dyDescent="0.25">
      <c r="A27" s="91" t="s">
        <v>601</v>
      </c>
      <c r="B27" s="85">
        <f>MAX(Load_Tariff!B8:K8)</f>
        <v>250</v>
      </c>
      <c r="C27" s="101" t="s">
        <v>20</v>
      </c>
      <c r="D27" s="89" t="s">
        <v>602</v>
      </c>
    </row>
    <row r="28" spans="1:4" ht="15" customHeight="1" x14ac:dyDescent="0.25">
      <c r="A28" s="91" t="s">
        <v>603</v>
      </c>
      <c r="B28" s="85">
        <f>MAX(Load_Tariff!B8:K8)*Scenario_Control!B39</f>
        <v>137500</v>
      </c>
      <c r="C28" s="101" t="s">
        <v>8</v>
      </c>
      <c r="D28" s="89" t="s">
        <v>604</v>
      </c>
    </row>
    <row r="29" spans="1:4" ht="30" customHeight="1" x14ac:dyDescent="0.25">
      <c r="A29" s="103" t="s">
        <v>605</v>
      </c>
      <c r="B29" s="103"/>
      <c r="C29" s="103"/>
      <c r="D29" s="103"/>
    </row>
  </sheetData>
  <mergeCells count="16">
    <mergeCell ref="A29:D29"/>
    <mergeCell ref="A16:D16"/>
    <mergeCell ref="A17:D17"/>
    <mergeCell ref="A19:D19"/>
    <mergeCell ref="A20:D20"/>
    <mergeCell ref="A22:D22"/>
    <mergeCell ref="A8:D8"/>
    <mergeCell ref="A10:D10"/>
    <mergeCell ref="A11:D11"/>
    <mergeCell ref="A13:D13"/>
    <mergeCell ref="A14:D14"/>
    <mergeCell ref="A1:D1"/>
    <mergeCell ref="A2:D2"/>
    <mergeCell ref="A4:D4"/>
    <mergeCell ref="A5:D5"/>
    <mergeCell ref="A7:D7"/>
  </mergeCell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Scenario_Control</vt:lpstr>
      <vt:lpstr>Case_Ramp_Annual</vt:lpstr>
      <vt:lpstr>Quarterly_Ramp</vt:lpstr>
      <vt:lpstr>Site_Master</vt:lpstr>
      <vt:lpstr>Load_Tariff</vt:lpstr>
      <vt:lpstr>BTC_Model</vt:lpstr>
      <vt:lpstr>DR_Model</vt:lpstr>
      <vt:lpstr>AI_DC_Model</vt:lpstr>
      <vt:lpstr>Capex_Model</vt:lpstr>
      <vt:lpstr>Revenue_Bridge</vt:lpstr>
      <vt:lpstr>Financing_DCF</vt:lpstr>
      <vt:lpstr>Milestone_Gates</vt:lpstr>
      <vt:lpstr>Sensitivities</vt:lpstr>
      <vt:lpstr>Layer5_Option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Carel De Jager</cp:lastModifiedBy>
  <cp:revision>9</cp:revision>
  <dcterms:created xsi:type="dcterms:W3CDTF">2026-05-31T06:47:21Z</dcterms:created>
  <dcterms:modified xsi:type="dcterms:W3CDTF">2026-05-31T18:16:14Z</dcterms:modified>
  <dc:language>en-US</dc:language>
</cp:coreProperties>
</file>