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6085ca009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e9c164c2ae4803"/>
    <x:sheet xmlns:r="http://schemas.openxmlformats.org/officeDocument/2006/relationships" name="Control" sheetId="2" r:id="R6ce821b61fc24859"/>
    <x:sheet xmlns:r="http://schemas.openxmlformats.org/officeDocument/2006/relationships" name="12M_Deployment" sheetId="3" r:id="Rbf80fbcea05d4640"/>
    <x:sheet xmlns:r="http://schemas.openxmlformats.org/officeDocument/2006/relationships" name="12M_Revenue" sheetId="4" r:id="R5fc466c8ffd942a9"/>
    <x:sheet xmlns:r="http://schemas.openxmlformats.org/officeDocument/2006/relationships" name="12M_Opex" sheetId="5" r:id="Reb10ca24014a44dc"/>
    <x:sheet xmlns:r="http://schemas.openxmlformats.org/officeDocument/2006/relationships" name="12M_Capex" sheetId="6" r:id="R39fe8c876df44b3b"/>
    <x:sheet xmlns:r="http://schemas.openxmlformats.org/officeDocument/2006/relationships" name="12M_Cashflow" sheetId="7" r:id="R5197f673479f4e8f"/>
    <x:sheet xmlns:r="http://schemas.openxmlformats.org/officeDocument/2006/relationships" name="10Y_Ramp" sheetId="8" r:id="R424ae01c8b8e45de"/>
    <x:sheet xmlns:r="http://schemas.openxmlformats.org/officeDocument/2006/relationships" name="10Y_Model" sheetId="9" r:id="Rc8add23b2b424837"/>
    <x:sheet xmlns:r="http://schemas.openxmlformats.org/officeDocument/2006/relationships" name="Checks" sheetId="10" r:id="R38e0f0427d5b4b7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4" authorId="0">
      <x:text>
        <x:r>
          <x:t>April 2026 investor materials use R17.00/USD for Phase 1 capital framing.</x:t>
        </x:r>
      </x:text>
    </x:comment>
    <x:comment ref="C5" authorId="0">
      <x:text>
        <x:r>
          <x:t>Leave at 0 to see pure burn before financing.</x:t>
        </x:r>
      </x:text>
    </x:comment>
    <x:comment ref="C6" authorId="0">
      <x:text>
        <x:r>
          <x:t>Conservative editable placeholder.</x:t>
        </x:r>
      </x:text>
    </x:comment>
    <x:comment ref="C7" authorId="0">
      <x:text>
        <x:r>
          <x:t>Editable market assumption.</x:t>
        </x:r>
      </x:text>
    </x:comment>
    <x:comment ref="C8" authorId="0">
      <x:text>
        <x:r>
          <x:t>Editable network assumption.</x:t>
        </x:r>
      </x:text>
    </x:comment>
    <x:comment ref="C9" authorId="0">
      <x:text>
        <x:r>
          <x:t>Editable market assumption.</x:t>
        </x:r>
      </x:text>
    </x:comment>
    <x:comment ref="C10" authorId="0">
      <x:text>
        <x:r>
          <x:t>Protocol input.</x:t>
        </x:r>
      </x:text>
    </x:comment>
    <x:comment ref="C11" authorId="0">
      <x:text>
        <x:r>
          <x:t>Protocol / pool-fee uplift assumption.</x:t>
        </x:r>
      </x:text>
    </x:comment>
    <x:comment ref="C12" authorId="0">
      <x:text>
        <x:r>
          <x:t>Protocol input.</x:t>
        </x:r>
      </x:text>
    </x:comment>
    <x:comment ref="C13" authorId="0">
      <x:text>
        <x:r>
          <x:t>Placeholder corporate tax rate.</x:t>
        </x:r>
      </x:text>
    </x:comment>
    <x:comment ref="C14" authorId="0">
      <x:text>
        <x:r>
          <x:t>Operational uptime.</x:t>
        </x:r>
      </x:text>
    </x:comment>
    <x:comment ref="C15" authorId="0">
      <x:text>
        <x:r>
          <x:t>10Y model escalation.</x:t>
        </x:r>
      </x:text>
    </x:comment>
    <x:comment ref="C16" authorId="0">
      <x:text>
        <x:r>
          <x:t>10Y model escalation.</x:t>
        </x:r>
      </x:text>
    </x:comment>
    <x:comment ref="C17" authorId="0">
      <x:text>
        <x:r>
          <x:t>10Y model escalation.</x:t>
        </x:r>
      </x:text>
    </x:comment>
    <x:comment ref="C18" authorId="0">
      <x:text>
        <x:r>
          <x:t>Proof phase size.</x:t>
        </x:r>
      </x:text>
    </x:comment>
    <x:comment ref="C19" authorId="0">
      <x:text>
        <x:r>
          <x:t>Source: Bitmach_Investor_Pres_12_April_2026_Final.pdf p28 shows 15MW Grootvlei + 5MW AMSA for Phase 1.</x:t>
        </x:r>
      </x:text>
    </x:comment>
    <x:comment ref="C20" authorId="0">
      <x:text>
        <x:r>
          <x:t>Source: Bitmach_Investor_Pres_12_April_2026_Final.pdf p28 shows 15MW Grootvlei + 5MW AMSA for Phase 1.</x:t>
        </x:r>
      </x:text>
    </x:comment>
    <x:comment ref="C21" authorId="0">
      <x:text>
        <x:r>
          <x:t>Source context: 09 Feb 2026 Grootvlei Concept Design uses ~19 hours/day normal operation; 31 Mar 2026 Nedbank memo says 18 hours/day is more conservative than 20 hours/day.</x:t>
        </x:r>
      </x:text>
    </x:comment>
    <x:comment ref="C22" authorId="0">
      <x:text>
        <x:r>
          <x:t>Solar blend requested in chat.</x:t>
        </x:r>
      </x:text>
    </x:comment>
    <x:comment ref="C23" authorId="0">
      <x:text>
        <x:r>
          <x:t>Solar blend requested in chat.</x:t>
        </x:r>
      </x:text>
    </x:comment>
    <x:comment ref="C24" authorId="0">
      <x:text>
        <x:r>
          <x:t>Editable management placeholder from chat.</x:t>
        </x:r>
      </x:text>
    </x:comment>
    <x:comment ref="C25" authorId="0">
      <x:text>
        <x:r>
          <x:t>Year-1 Grootvlei grid tariff assumption. Based on the Nedbank memo recommendation to use conservative proof-phase tariffs of roughly R0.80/kWh off-peak and R1.20/kWh day/peak, and the April 2026 investor presentation Year 1 tariff band of R0.80-R1.20/kWh. Source files: Bitmach_Nedbank Business Model and Project monitoring (2).docx; Bitmach_Investor_Pres_12_April_2026_Final.pdf.</x:t>
        </x:r>
      </x:text>
    </x:comment>
    <x:comment ref="C26" authorId="0">
      <x:text>
        <x:r>
          <x:t>Year-1 AMSA grid tariff assumption. Based on the Nedbank memo recommendation to distinguish AMSA economics from Grootvlei, with AMSA benefiting from better blended power economics over time. Source file: Bitmach_Nedbank Business Model and Project monitoring (2).docx.</x:t>
        </x:r>
      </x:text>
    </x:comment>
    <x:comment ref="C27" authorId="0">
      <x:text>
        <x:r>
          <x:t>User guidance in chat: ~R7m/MW.</x:t>
        </x:r>
      </x:text>
    </x:comment>
    <x:comment ref="C28" authorId="0">
      <x:text>
        <x:r>
          <x:t>Solar O&amp;M as % of capex.</x:t>
        </x:r>
      </x:text>
    </x:comment>
    <x:comment ref="C29" authorId="0">
      <x:text>
        <x:r>
          <x:t>Editable miner efficiency input set per user instruction to 12.5 J/T for the model. Working M7DS technical context pack shows a 13.5 J/T +/-5% reference range; this cell is intentionally editable for scenario work. Source file: Grootvlei_20MW_Context_and_Design_Basis.docx plus user instruction in chat.</x:t>
        </x:r>
      </x:text>
    </x:comment>
    <x:comment ref="C30" authorId="0">
      <x:text>
        <x:r>
          <x:t>Editable M7DS hashrate assumption. Working context pack shows WhatsMiner M7DS at 638-702 TH/s. This model uses 700 TH/s as the initial scenario anchor and leaves it user-editable. Source file: Grootvlei_20MW_Context_and_Design_Basis.docx.</x:t>
        </x:r>
      </x:text>
    </x:comment>
    <x:comment ref="C31" authorId="0">
      <x:text>
        <x:r>
          <x:t>Management instruction in chat: use WHATSMINER M7DS - 12.5J/T.</x:t>
        </x:r>
      </x:text>
    </x:comment>
    <x:comment ref="C33" authorId="0">
      <x:text>
        <x:r>
          <x:t>ASIC unit price carried forward as a scenario input from the latest working business-plan workbook and left editable. Update once final OEM quotation is locked.</x:t>
        </x:r>
      </x:text>
    </x:comment>
    <x:comment ref="C34" authorId="0">
      <x:text>
        <x:r>
          <x:t>Cooling / container auxiliaries.</x:t>
        </x:r>
      </x:text>
    </x:comment>
    <x:comment ref="C35" authorId="0">
      <x:text>
        <x:r>
          <x:t>HeatCore XS2400 working basis.</x:t>
        </x:r>
      </x:text>
    </x:comment>
    <x:comment ref="C36" authorId="0">
      <x:text>
        <x:r>
          <x:t>Hydro container price is a working placeholder assumption requiring final EPC/OEM confirmation. The current pack provides container technical bases but not a locked commercial quote.</x:t>
        </x:r>
      </x:text>
    </x:comment>
    <x:comment ref="C38" authorId="0">
      <x:text>
        <x:r>
          <x:t>Recurring maintenance per miner.</x:t>
        </x:r>
      </x:text>
    </x:comment>
    <x:comment ref="C39" authorId="0">
      <x:text>
        <x:r>
          <x:t>Source context: T2603-24 Cost Estimate shows ~R90.6m pilot EPC electrical scope order-of-magnitude.</x:t>
        </x:r>
      </x:text>
    </x:comment>
    <x:comment ref="C40" authorId="0">
      <x:text>
        <x:r>
          <x:t>Editable logistics placeholder.</x:t>
        </x:r>
      </x:text>
    </x:comment>
    <x:comment ref="C41" authorId="0">
      <x:text>
        <x:r>
          <x:t>Editable logistics placeholder.</x:t>
        </x:r>
      </x:text>
    </x:comment>
    <x:comment ref="C42" authorId="0">
      <x:text>
        <x:r>
          <x:t>Editable logistics placeholder.</x:t>
        </x:r>
      </x:text>
    </x:comment>
    <x:comment ref="C43" authorId="0">
      <x:text>
        <x:r>
          <x:t>Editable logistics placeholder.</x:t>
        </x:r>
      </x:text>
    </x:comment>
    <x:comment ref="C44" authorId="0">
      <x:text>
        <x:r>
          <x:t>Editable cargo insurance assumption.</x:t>
        </x:r>
      </x:text>
    </x:comment>
    <x:comment ref="C45" authorId="0">
      <x:text>
        <x:r>
          <x:t>Editable customs placeholder.</x:t>
        </x:r>
      </x:text>
    </x:comment>
    <x:comment ref="C46" authorId="0">
      <x:text>
        <x:r>
          <x:t>Initial spares as % of hardware capex.</x:t>
        </x:r>
      </x:text>
    </x:comment>
    <x:comment ref="C47" authorId="0">
      <x:text>
        <x:r>
          <x:t>Tools, meters, accessories and small equipment.</x:t>
        </x:r>
      </x:text>
    </x:comment>
    <x:comment ref="C48" authorId="0">
      <x:text>
        <x:r>
          <x:t>Corporate office setup / deposits.</x:t>
        </x:r>
      </x:text>
    </x:comment>
    <x:comment ref="C49" authorId="0">
      <x:text>
        <x:r>
          <x:t>Initial systems setup.</x:t>
        </x:r>
      </x:text>
    </x:comment>
    <x:comment ref="C50" authorId="0">
      <x:text>
        <x:r>
          <x:t>Initial legal documentation.</x:t>
        </x:r>
      </x:text>
    </x:comment>
    <x:comment ref="C51" authorId="0">
      <x:text>
        <x:r>
          <x:t>Laptop / phone / PPE / provisioning.</x:t>
        </x:r>
      </x:text>
    </x:comment>
    <x:comment ref="C52" authorId="0">
      <x:text>
        <x:r>
          <x:t>Corporate team for first year.</x:t>
        </x:r>
      </x:text>
    </x:comment>
    <x:comment ref="C53" authorId="0">
      <x:text>
        <x:r>
          <x:t>Average fully loaded corporate CTC.</x:t>
        </x:r>
      </x:text>
    </x:comment>
    <x:comment ref="C54" authorId="0">
      <x:text>
        <x:r>
          <x:t>Manager + supervisor per active site.</x:t>
        </x:r>
      </x:text>
    </x:comment>
    <x:comment ref="C55" authorId="0">
      <x:text>
        <x:r>
          <x:t>Average fully loaded site management CTC.</x:t>
        </x:r>
      </x:text>
    </x:comment>
    <x:comment ref="C56" authorId="0">
      <x:text>
        <x:r>
          <x:t>Hydro site technician intensity.</x:t>
        </x:r>
      </x:text>
    </x:comment>
    <x:comment ref="C57" authorId="0">
      <x:text>
        <x:r>
          <x:t>Average fully loaded technician CTC.</x:t>
        </x:r>
      </x:text>
    </x:comment>
    <x:comment ref="C58" authorId="0">
      <x:text>
        <x:r>
          <x:t>Electricians per MW.</x:t>
        </x:r>
      </x:text>
    </x:comment>
    <x:comment ref="C59" authorId="0">
      <x:text>
        <x:r>
          <x:t>Average fully loaded electrician CTC.</x:t>
        </x:r>
      </x:text>
    </x:comment>
    <x:comment ref="C60" authorId="0">
      <x:text>
        <x:r>
          <x:t>Benefits and payroll load.</x:t>
        </x:r>
      </x:text>
    </x:comment>
    <x:comment ref="C61" authorId="0">
      <x:text>
        <x:r>
          <x:t>Recurring travel / claims as % of payroll.</x:t>
        </x:r>
      </x:text>
    </x:comment>
    <x:comment ref="C62" authorId="0">
      <x:text>
        <x:r>
          <x:t>One-off commissioning / mobilization travel.</x:t>
        </x:r>
      </x:text>
    </x:comment>
    <x:comment ref="C63" authorId="0">
      <x:text>
        <x:r>
          <x:t>Email, PM, collaboration and security tools.</x:t>
        </x:r>
      </x:text>
    </x:comment>
    <x:comment ref="C64" authorId="0">
      <x:text>
        <x:r>
          <x:t>SCADA, monitoring and connectivity support.</x:t>
        </x:r>
      </x:text>
    </x:comment>
    <x:comment ref="C65" authorId="0">
      <x:text>
        <x:r>
          <x:t>Ongoing legal support.</x:t>
        </x:r>
      </x:text>
    </x:comment>
    <x:comment ref="C66" authorId="0">
      <x:text>
        <x:r>
          <x:t>Head office rent.</x:t>
        </x:r>
      </x:text>
    </x:comment>
    <x:comment ref="C67" authorId="0">
      <x:text>
        <x:r>
          <x:t>Recurring storage and cloud.</x:t>
        </x:r>
      </x:text>
    </x:comment>
    <x:comment ref="C68" authorId="0">
      <x:text>
        <x:r>
          <x:t>Filters, consumables, small parts.</x:t>
        </x:r>
      </x:text>
    </x:comment>
    <x:comment ref="C69" authorId="0">
      <x:text>
        <x:r>
          <x:t>Ongoing security and operating insurance.</x:t>
        </x:r>
      </x:text>
    </x:comment>
    <x:comment ref="C70" authorId="0">
      <x:text>
        <x:r>
          <x:t>Water treatment and misc utilities.</x:t>
        </x:r>
      </x:text>
    </x:comment>
    <x:comment ref="C71" authorId="0">
      <x:text>
        <x:r>
          <x:t>31 Mar 2026 Nedbank memo recommends that demand response remain structured upside / optionality rather than day-one debt support.</x:t>
        </x:r>
      </x:text>
    </x:comment>
    <x:comment ref="C72" authorId="0">
      <x:text>
        <x:r>
          <x:t>Optionality start month.</x:t>
        </x:r>
      </x:text>
    </x:comment>
    <x:comment ref="C73" authorId="0">
      <x:text>
        <x:r>
          <x:t>Demand-response revenue is modeled as optional upside, not base debt support, consistent with the Nedbank memo and investor materials. Source files: Bitmach_Nedbank Business Model and Project monitoring (2).docx; Investment Summary_12_April_2026.pdf.</x:t>
        </x:r>
      </x:text>
    </x:comment>
    <x:comment ref="C74" authorId="0">
      <x:text>
        <x:r>
          <x:t>Equivalent paid availability hours.</x:t>
        </x:r>
      </x:text>
    </x:comment>
    <x:comment ref="C75" authorId="0">
      <x:text>
        <x:r>
          <x:t>Share of availability window actually paid.</x:t>
        </x:r>
      </x:text>
    </x:comment>
    <x:comment ref="C76" authorId="0">
      <x:text>
        <x:r>
          <x:t>12 Apr 2026 Investment Summary and investor deck position AI/HPC / hyperscaler revenue as a later-layer revenue stream, not required for day-one base economics.</x:t>
        </x:r>
      </x:text>
    </x:comment>
    <x:comment ref="C77" authorId="0">
      <x:text>
        <x:r>
          <x:t>After first 12 months by default.</x:t>
        </x:r>
      </x:text>
    </x:comment>
    <x:comment ref="C78" authorId="0">
      <x:text>
        <x:r>
          <x:t>Pilot tenant power sold.</x:t>
        </x:r>
      </x:text>
    </x:comment>
    <x:comment ref="C79" authorId="0">
      <x:text>
        <x:r>
          <x:t>Conservative pilot tenant run profile.</x:t>
        </x:r>
      </x:text>
    </x:comment>
    <x:comment ref="C80" authorId="0">
      <x:text>
        <x:r>
          <x:t>Placeholder pilot tariff.</x:t>
        </x:r>
      </x:text>
    </x:comment>
    <x:comment ref="C81" authorId="0">
      <x:text>
        <x:r>
          <x:t>Hyperscaler / AI revenue is modeled as off by default in year 1, because current BitMach materials position AI/HPC as a later layer (year 2-3 / Phase 2-3 onward). Source files: Investment Summary_12_April_2026.pdf; Bitmach_Investor_Pres_12_April_2026_Final.pdf.</x:t>
        </x:r>
      </x:text>
    </x:comment>
    <x:comment ref="C82" authorId="0">
      <x:text>
        <x:r>
          <x:t>Can switch on from year 2 onward.</x:t>
        </x:r>
      </x:text>
    </x:comment>
    <x:comment ref="C83" authorId="0">
      <x:text>
        <x:r>
          <x:t>Share of platform MW converted to tenants.</x:t>
        </x:r>
      </x:text>
    </x:comment>
    <x:comment ref="C84" authorId="0">
      <x:text>
        <x:r>
          <x:t>Annual AI/HPC price placeholder.</x:t>
        </x:r>
      </x:text>
    </x:comment>
    <x:comment ref="C85" authorId="0">
      <x:text>
        <x:r>
          <x:t>10Y base case default is off.</x:t>
        </x:r>
      </x:text>
    </x:comment>
    <x:comment ref="C86" authorId="0">
      <x:text>
        <x:r>
          <x:t>Annual DR price placeholder.</x:t>
        </x:r>
      </x:text>
    </x:comment>
    <x:comment ref="C87" authorId="0">
      <x:text>
        <x:r>
          <x:t>Annual DR hours placeholder.</x:t>
        </x:r>
      </x:text>
    </x:comment>
    <x:comment ref="C88" authorId="0">
      <x:text>
        <x:r>
          <x:t>Phase 1 site split aligned to the latest April 2026 investor presentation: 15MW Grootvlei + 5MW AMSA Vanderbijlpark. Source file: Bitmach_Investor_Pres_12_April_2026_Final.pdf.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7" authorId="0">
      <x:text>
        <x:r>
          <x:t>Base case schedule: Grootvlei ramps first to 15MW.</x:t>
        </x:r>
      </x:text>
    </x:comment>
    <x:comment ref="I8" authorId="0">
      <x:text>
        <x:r>
          <x:t>Base case schedule: AMSA begins commissioning once Grootvlei proof is underway.</x:t>
        </x:r>
      </x:text>
    </x:comment>
    <x:comment ref="H9" authorId="0">
      <x:text>
        <x:r>
          <x:t>AMSA solar is an explicit build item so the model can capture solar capex and solar O&amp;M separately.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12" authorId="0">
      <x:text>
        <x:r>
          <x:t>Optional funding line. Add equity or debt draws here if you want to see a funded cash balance.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D7" authorId="0">
      <x:text>
        <x:r>
          <x:t>Annual compute MW ramp is user-editable. Current profile reflects a strategic scaling path to 2,000MW over 10 years, as requested in chat, while staying directionally consistent with BitMach materials describing a 20MW proof-of-concept scaling to 500MW-2GW.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#,##0.0;[Red](#,##0.0);-"/>
    <x:numFmt numFmtId="165" formatCode="$#,##0"/>
    <x:numFmt numFmtId="166" formatCode="0.0%"/>
    <x:numFmt numFmtId="167" formatCode="#,##0;[Red](#,##0);-"/>
    <x:numFmt numFmtId="168" formatCode="$#,##0;[Red]($#,##0);-"/>
  </x:numFmts>
  <x:fonts count="7">
    <x:font>
      <x:sz val="11"/>
      <x:color theme="1"/>
      <x:name val="Calibri"/>
      <x:family val="2"/>
      <x:scheme val="minor"/>
    </x:font>
    <x:font>
      <x:b/>
      <x:sz val="11"/>
      <x:color rgb="00FFFFFF"/>
      <x:name val="Arial"/>
    </x:font>
    <x:font>
      <x:b/>
      <x:sz val="10"/>
      <x:color rgb="00000000"/>
      <x:name val="Arial"/>
    </x:font>
    <x:font>
      <x:sz val="9"/>
      <x:color rgb="00666666"/>
      <x:name val="Arial"/>
    </x:font>
    <x:font>
      <x:b/>
      <x:sz val="10"/>
      <x:color rgb="00FFFFFF"/>
      <x:name val="Arial"/>
    </x:font>
    <x:font>
      <x:sz val="10"/>
      <x:color rgb="00000000"/>
      <x:name val="Arial"/>
    </x:font>
    <x:font>
      <x:sz val="10"/>
      <x:color rgb="00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00111114"/>
      </x:patternFill>
    </x:fill>
    <x:fill>
      <x:patternFill patternType="solid">
        <x:fgColor rgb="00FFF2CC"/>
      </x:patternFill>
    </x:fill>
    <x:fill>
      <x:patternFill patternType="solid">
        <x:fgColor rgb="00D9E1F2"/>
      </x:patternFill>
    </x:fill>
    <x:fill>
      <x:patternFill patternType="solid">
        <x:fgColor rgb="00F3F4F6"/>
      </x:patternFill>
    </x:fill>
  </x:fills>
  <x:borders count="3">
    <x:border>
      <x:left/>
      <x:right/>
      <x:top/>
      <x:bottom/>
      <x:diagonal/>
    </x:border>
    <x:border>
      <x:bottom style="thin">
        <x:color rgb="00BFBFBF"/>
      </x:bottom>
    </x:border>
    <x:border>
      <x:top style="medium">
        <x:color rgb="0000000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0" fillId="0" borderId="0" xfId="0" applyAlignment="1">
      <x:alignment vertical="top" wrapText="1"/>
    </x:xf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/>
    </x:xf>
    <x:xf numFmtId="0" fontId="5" fillId="0" borderId="0" xfId="0" applyAlignment="1">
      <x:alignment horizontal="left" vertical="center"/>
    </x:xf>
    <x:xf numFmtId="2" fontId="6" fillId="3" borderId="0" xfId="0" applyAlignment="1">
      <x:alignment horizontal="right" vertical="center"/>
    </x:xf>
    <x:xf numFmtId="0" fontId="3" fillId="0" borderId="0" xfId="0" applyAlignment="1">
      <x:alignment vertical="top" wrapText="1"/>
    </x:xf>
    <x:xf numFmtId="164" fontId="6" fillId="3" borderId="0" xfId="0" applyAlignment="1">
      <x:alignment horizontal="right" vertical="center"/>
    </x:xf>
    <x:xf numFmtId="165" fontId="6" fillId="3" borderId="0" xfId="0" applyAlignment="1">
      <x:alignment horizontal="right" vertical="center"/>
    </x:xf>
    <x:xf numFmtId="166" fontId="6" fillId="3" borderId="0" xfId="0" applyAlignment="1">
      <x:alignment horizontal="right" vertical="center"/>
    </x:xf>
    <x:xf numFmtId="167" fontId="6" fillId="3" borderId="0" xfId="0" applyAlignment="1">
      <x:alignment horizontal="right" vertical="center"/>
    </x:xf>
    <x:xf numFmtId="164" fontId="5" fillId="0" borderId="0" xfId="0" applyAlignment="1">
      <x:alignment horizontal="right" vertical="center"/>
    </x:xf>
    <x:xf numFmtId="168" fontId="6" fillId="3" borderId="0" xfId="0" applyAlignment="1">
      <x:alignment horizontal="right" vertical="center"/>
    </x:xf>
    <x:xf numFmtId="0" fontId="2" fillId="4" borderId="0" xfId="0" applyAlignment="1">
      <x:alignment horizontal="center" vertical="center"/>
    </x:xf>
    <x:xf numFmtId="0" fontId="4" fillId="2" borderId="0" xfId="0" applyAlignment="1">
      <x:alignment horizontal="center" vertical="center"/>
    </x:xf>
    <x:xf numFmtId="167" fontId="5" fillId="5" borderId="0" xfId="0" applyAlignment="1">
      <x:alignment horizontal="right" vertical="center"/>
    </x:xf>
    <x:xf numFmtId="0" fontId="2" fillId="0" borderId="2" xfId="0" applyAlignment="1">
      <x:alignment horizontal="left" vertical="center"/>
    </x:xf>
    <x:xf numFmtId="0" fontId="3" fillId="0" borderId="2" xfId="0"/>
    <x:xf numFmtId="0" fontId="2" fillId="0" borderId="2" xfId="0"/>
    <x:xf numFmtId="164" fontId="2" fillId="0" borderId="2" xfId="0" applyAlignment="1">
      <x:alignment horizontal="right" vertical="center"/>
    </x:xf>
    <x:xf numFmtId="167" fontId="5" fillId="0" borderId="0" xfId="0" applyAlignment="1">
      <x:alignment horizontal="right" vertical="center"/>
    </x:xf>
    <x:xf numFmtId="167" fontId="2" fillId="0" borderId="2" xfId="0" applyAlignment="1">
      <x:alignment horizontal="right" vertical="center"/>
    </x:xf>
    <x:xf numFmtId="0" fontId="5" fillId="0" borderId="2" xfId="0" applyAlignment="1">
      <x:alignment horizontal="left" vertical="center"/>
    </x:xf>
    <x:xf numFmtId="165" fontId="5" fillId="0" borderId="0" xfId="0" applyAlignment="1">
      <x:alignment horizontal="right" vertical="center"/>
    </x:xf>
    <x:xf numFmtId="3" fontId="5" fillId="0" borderId="0" xfId="0" applyAlignment="1">
      <x:alignment horizontal="right" vertical="center"/>
    </x:xf>
    <x:xf numFmtId="164" fontId="5" fillId="3" borderId="0" xfId="0" applyAlignment="1">
      <x:alignment horizontal="right" vertical="center"/>
    </x:xf>
    <x:xf numFmtId="0" fontId="0" fillId="0" borderId="2" xfId="0"/>
    <x:xf numFmtId="0" fontId="5" fillId="0" borderId="0" xfId="0" applyAlignment="1">
      <x:alignment horizontal="right" vertical="center"/>
    </x:xf>
    <x:xf numFmtId="164" fontId="5" fillId="0" borderId="2" xfId="0" applyAlignment="1">
      <x:alignment horizontal="right" vertical="center"/>
    </x:xf>
    <x:xf numFmtId="0" fontId="2" fillId="0" borderId="2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4415b0dbe4c99" /><Relationship Type="http://schemas.openxmlformats.org/officeDocument/2006/relationships/theme" Target="/xl/theme/theme1.xml" Id="Rc6c5c95d998e4a8a" /><Relationship Type="http://schemas.openxmlformats.org/officeDocument/2006/relationships/sharedStrings" Target="/xl/sharedStrings.xml" Id="R1d23336bed1944c3" /><Relationship Type="http://schemas.openxmlformats.org/officeDocument/2006/relationships/worksheet" Target="/xl/worksheets/sheet1.xml" Id="R1ce9c164c2ae4803" /><Relationship Type="http://schemas.openxmlformats.org/officeDocument/2006/relationships/worksheet" Target="/xl/worksheets/sheet2.xml" Id="R6ce821b61fc24859" /><Relationship Type="http://schemas.openxmlformats.org/officeDocument/2006/relationships/worksheet" Target="/xl/worksheets/sheet3.xml" Id="Rbf80fbcea05d4640" /><Relationship Type="http://schemas.openxmlformats.org/officeDocument/2006/relationships/worksheet" Target="/xl/worksheets/sheet4.xml" Id="R5fc466c8ffd942a9" /><Relationship Type="http://schemas.openxmlformats.org/officeDocument/2006/relationships/worksheet" Target="/xl/worksheets/sheet5.xml" Id="Reb10ca24014a44dc" /><Relationship Type="http://schemas.openxmlformats.org/officeDocument/2006/relationships/worksheet" Target="/xl/worksheets/sheet6.xml" Id="R39fe8c876df44b3b" /><Relationship Type="http://schemas.openxmlformats.org/officeDocument/2006/relationships/worksheet" Target="/xl/worksheets/sheet7.xml" Id="R5197f673479f4e8f" /><Relationship Type="http://schemas.openxmlformats.org/officeDocument/2006/relationships/worksheet" Target="/xl/worksheets/sheet8.xml" Id="R424ae01c8b8e45de" /><Relationship Type="http://schemas.openxmlformats.org/officeDocument/2006/relationships/worksheet" Target="/xl/worksheets/sheet9.xml" Id="Rc8add23b2b424837" /><Relationship Type="http://schemas.openxmlformats.org/officeDocument/2006/relationships/worksheet" Target="/xl/worksheets/sheet10.xml" Id="R38e0f0427d5b4b71" /><Relationship Type="http://schemas.microsoft.com/office/2017/10/relationships/person" Target="/xl/persons/person.xml" Id="Re0464dc5d98b41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dff247ef1a4ac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9f2e1456f7c444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vs Opex vs Capex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'12M_Cashflow'!$D$4:$O$4</c:f>
              <c:strCache>
                <c:ptCount val="0"/>
              </c:strCache>
            </c:strRef>
          </c:cat>
          <c:val>
            <c:numRef>
              <c:f>'12M_Cashflow'!$D$5:$O$5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'12M_Cashflow'!$D$4:$O$4</c:f>
              <c:strCache>
                <c:ptCount val="0"/>
              </c:strCache>
            </c:strRef>
          </c:cat>
          <c:val>
            <c:numRef>
              <c:f>'12M_Cashflow'!$D$6:$O$6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'12M_Cashflow'!$D$4:$O$4</c:f>
              <c:strCache>
                <c:ptCount val="0"/>
              </c:strCache>
            </c:strRef>
          </c:cat>
          <c:val>
            <c:numRef>
              <c:f>'12M_Cashflow'!$D$7:$O$7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'12M_Cashflow'!$D$4:$O$4</c:f>
              <c:strCache>
                <c:ptCount val="0"/>
              </c:strCache>
            </c:strRef>
          </c:cat>
          <c:val>
            <c:numRef>
              <c:f>'12M_Cashflow'!$D$8:$O$8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'12M_Cashflow'!$D$4:$O$4</c:f>
              <c:strCache>
                <c:ptCount val="0"/>
              </c:strCache>
            </c:strRef>
          </c:cat>
          <c:val>
            <c:numRef>
              <c:f>'12M_Cashflow'!$D$9:$O$9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ZAR'000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10Y Revenue / EBITDA / Capex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'10Y_Model'!$D$4:$M$4</c:f>
              <c:strCache>
                <c:ptCount val="0"/>
              </c:strCache>
            </c:strRef>
          </c:cat>
          <c:val>
            <c:numRef>
              <c:f>'10Y_Model'!$D$13:$M$13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'10Y_Model'!$D$4:$M$4</c:f>
              <c:strCache>
                <c:ptCount val="0"/>
              </c:strCache>
            </c:strRef>
          </c:cat>
          <c:val>
            <c:numRef>
              <c:f>'10Y_Model'!$D$27:$M$27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'10Y_Model'!$D$4:$M$4</c:f>
              <c:strCache>
                <c:ptCount val="0"/>
              </c:strCache>
            </c:strRef>
          </c:cat>
          <c:val>
            <c:numRef>
              <c:f>'10Y_Model'!$D$37:$M$37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ZAR'000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dff247ef1a4ac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f2e1456f7c444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7DFE874E-52D3-6B16-D18F-004DAA9E45E0}"/>
  <xltc:person displayName="OpenAI" id="{5E127A7C-CD40-C3F1-58E6-115F8C2DFE6B}"/>
  <xltc:person displayName="OpenAI" id="{A71DF04E-F12B-87FD-F8D9-282E5D3B150F}"/>
  <xltc:person displayName="OpenAI" id="{33A728D0-697B-85FB-62A1-2AA12687288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b1e68554c0b41d8" /><Relationship Type="http://schemas.openxmlformats.org/officeDocument/2006/relationships/vmlDrawing" Target="/xl/drawings/vmldrawing.vml" Id="R113f5f9f1577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66d1575d6c044444" /><Relationship Type="http://schemas.openxmlformats.org/officeDocument/2006/relationships/vmlDrawing" Target="/xl/drawings/vmldrawing2.vml" Id="Rdcf74c9e9e7f45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b086aae51f8e4914" /><Relationship Type="http://schemas.openxmlformats.org/officeDocument/2006/relationships/vmlDrawing" Target="/xl/drawings/vmldrawing3.vml" Id="Ra6bd344a6bda4de7" /><Relationship Type="http://schemas.openxmlformats.org/officeDocument/2006/relationships/drawing" Target="/xl/drawings/drawing1.xml" Id="R58fd4be2784c4c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4.xml" Id="R8247fda9999c43b6" /><Relationship Type="http://schemas.openxmlformats.org/officeDocument/2006/relationships/vmlDrawing" Target="/xl/drawings/vmldrawing4.vml" Id="R0510fcc5545c4b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1d47073e7df241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92" customWidth="1"/>
    <x:col min="3" max="3" width="16" customWidth="1"/>
  </x:cols>
  <x:sheetData>
    <x:row r="1">
      <x:c r="A1" s="1" t="inlineStr">
        <x:is>
          <x:t xml:space="preserve">BitMach Master Model | 12-Month Cash Flow + 10-Year Platform Ramp</x:t>
        </x:is>
      </x:c>
    </x:row>
    <x:row r="3">
      <x:c r="A3" s="2" t="inlineStr">
        <x:is>
          <x:t xml:space="preserve">What this workbook does</x:t>
        </x:is>
      </x:c>
      <x:c r="B3" s="3" t="inlineStr">
        <x:is>
          <x:t xml:space="preserve">Builds a formula-driven model for (i) the first 12 months of Phase 1 cash flow and burn, and (ii) a simplified 10-year site / solar / compute ramp to 2GW.</x:t>
        </x:is>
      </x:c>
    </x:row>
    <x:row r="4">
      <x:c r="A4" s="2" t="inlineStr">
        <x:is>
          <x:t xml:space="preserve">Model philosophy</x:t>
        </x:is>
      </x:c>
      <x:c r="B4" s="3" t="inlineStr">
        <x:is>
          <x:t xml:space="preserve">Blue text on yellow cells = user inputs. Black text = formulas. Green text = links to other sheets. Base case keeps demand response and hyperscaler revenue conservative by default.</x:t>
        </x:is>
      </x:c>
    </x:row>
    <x:row r="5">
      <x:c r="A5" s="2" t="inlineStr">
        <x:is>
          <x:t xml:space="preserve">Hardware basis</x:t>
        </x:is>
      </x:c>
      <x:c r="B5" s="3" t="inlineStr">
        <x:is>
          <x:t xml:space="preserve">Uses WhatsMiner M7DS hydro-cooled architecture per management instruction, with formula-driven power draw from hashrate × J/T.</x:t>
        </x:is>
      </x:c>
    </x:row>
    <x:row r="6">
      <x:c r="A6" s="2" t="inlineStr">
        <x:is>
          <x:t xml:space="preserve">How to use</x:t>
        </x:is>
      </x:c>
      <x:c r="B6" s="3" t="inlineStr">
        <x:is>
          <x:t xml:space="preserve">Start on the Control sheet, then edit the site schedules on 12M_Deployment and 10Y_Ramp. Everything else updates.</x:t>
        </x:is>
      </x:c>
    </x:row>
    <x:row r="7">
      <x:c r="A7" s="2" t="inlineStr">
        <x:is>
          <x:t xml:space="preserve">Important note</x:t>
        </x:is>
      </x:c>
      <x:c r="B7" s="3" t="inlineStr">
        <x:is>
          <x:t xml:space="preserve">The first 12 months are modeled on an ex-VAT basis and use pragmatic placeholders where live commercial terms are not yet executed. Replace placeholders with signed quotes / agreements as they are received.</x:t>
        </x:is>
      </x:c>
    </x:row>
    <x:row r="10">
      <x:c r="A10" s="4" t="inlineStr">
        <x:is>
          <x:t xml:space="preserve">Base-case optionality policy</x:t>
        </x:is>
      </x:c>
      <x:c r="B10" s="3" t="inlineStr">
        <x:is>
          <x:t xml:space="preserve">Demand response and hyperscaler rows are in the model, but both are switched OFF by default in the base case. This follows management / lender feedback that they should exist as structured optionality rather than be required for the day-one base case.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16" customWidth="1"/>
    <x:col min="4" max="4" width="58" customWidth="1"/>
  </x:cols>
  <x:sheetData>
    <x:row r="1">
      <x:c r="A1" s="1" t="inlineStr">
        <x:is>
          <x:t xml:space="preserve">Control Centre | Edit blue cells only</x:t>
        </x:is>
      </x:c>
    </x:row>
    <x:row r="2">
      <x:c r="A2" s="5" t="inlineStr">
        <x:is>
          <x:t xml:space="preserve">Core assumptions, logistics, staffing and optional revenue controls.</x:t>
        </x:is>
      </x:c>
    </x:row>
    <x:row r="3">
      <x:c r="A3" s="6" t="inlineStr">
        <x:is>
          <x:t xml:space="preserve">Driver</x:t>
        </x:is>
      </x:c>
      <x:c r="B3" s="6" t="inlineStr">
        <x:is>
          <x:t xml:space="preserve">Unit</x:t>
        </x:is>
      </x:c>
      <x:c r="C3" s="6" t="inlineStr">
        <x:is>
          <x:t xml:space="preserve">Base Case</x:t>
        </x:is>
      </x:c>
      <x:c r="D3" s="6" t="inlineStr">
        <x:is>
          <x:t xml:space="preserve">Notes</x:t>
        </x:is>
      </x:c>
    </x:row>
    <x:row r="4">
      <x:c r="A4" s="7" t="inlineStr">
        <x:is>
          <x:t xml:space="preserve">FX (ZAR/USD)</x:t>
        </x:is>
      </x:c>
      <x:c r="B4" s="5" t="inlineStr">
        <x:is>
          <x:t xml:space="preserve">ZAR/USD</x:t>
        </x:is>
      </x:c>
      <x:c r="C4" s="8" t="n">
        <x:v>17</x:v>
      </x:c>
      <x:c r="D4" s="9" t="inlineStr">
        <x:is>
          <x:t xml:space="preserve">April 2026 investor materials use R17.00/USD for Phase 1 capital framing.</x:t>
        </x:is>
      </x:c>
    </x:row>
    <x:row r="5">
      <x:c r="A5" s="7" t="inlineStr">
        <x:is>
          <x:t xml:space="preserve">Opening cash</x:t>
        </x:is>
      </x:c>
      <x:c r="B5" s="5" t="inlineStr">
        <x:is>
          <x:t xml:space="preserve">ZAR'000</x:t>
        </x:is>
      </x:c>
      <x:c r="C5" s="10" t="n">
        <x:v>0</x:v>
      </x:c>
      <x:c r="D5" s="9" t="inlineStr">
        <x:is>
          <x:t xml:space="preserve">Leave at 0 to see pure burn before financing.</x:t>
        </x:is>
      </x:c>
    </x:row>
    <x:row r="6">
      <x:c r="A6" s="7" t="inlineStr">
        <x:is>
          <x:t xml:space="preserve">BTC price start</x:t>
        </x:is>
      </x:c>
      <x:c r="B6" s="5" t="inlineStr">
        <x:is>
          <x:t xml:space="preserve">USD/BTC</x:t>
        </x:is>
      </x:c>
      <x:c r="C6" s="11" t="n">
        <x:v>75000</x:v>
      </x:c>
      <x:c r="D6" s="9" t="inlineStr">
        <x:is>
          <x:t xml:space="preserve">Conservative editable placeholder.</x:t>
        </x:is>
      </x:c>
    </x:row>
    <x:row r="7">
      <x:c r="A7" s="7" t="inlineStr">
        <x:is>
          <x:t xml:space="preserve">BTC annual growth</x:t>
        </x:is>
      </x:c>
      <x:c r="B7" s="5" t="inlineStr">
        <x:is>
          <x:t xml:space="preserve">%</x:t>
        </x:is>
      </x:c>
      <x:c r="C7" s="12" t="n">
        <x:v>0.1</x:v>
      </x:c>
      <x:c r="D7" s="9" t="inlineStr">
        <x:is>
          <x:t xml:space="preserve">Editable market assumption.</x:t>
        </x:is>
      </x:c>
    </x:row>
    <x:row r="8">
      <x:c r="A8" s="7" t="inlineStr">
        <x:is>
          <x:t xml:space="preserve">Network hash start</x:t>
        </x:is>
      </x:c>
      <x:c r="B8" s="5" t="inlineStr">
        <x:is>
          <x:t xml:space="preserve">TH/s</x:t>
        </x:is>
      </x:c>
      <x:c r="C8" s="10" t="n">
        <x:v>900000000</x:v>
      </x:c>
      <x:c r="D8" s="9" t="inlineStr">
        <x:is>
          <x:t xml:space="preserve">Editable network assumption.</x:t>
        </x:is>
      </x:c>
    </x:row>
    <x:row r="9">
      <x:c r="A9" s="7" t="inlineStr">
        <x:is>
          <x:t xml:space="preserve">Network hash annual growth</x:t>
        </x:is>
      </x:c>
      <x:c r="B9" s="5" t="inlineStr">
        <x:is>
          <x:t xml:space="preserve">%</x:t>
        </x:is>
      </x:c>
      <x:c r="C9" s="12" t="n">
        <x:v>0.15</x:v>
      </x:c>
      <x:c r="D9" s="9" t="inlineStr">
        <x:is>
          <x:t xml:space="preserve">Editable market assumption.</x:t>
        </x:is>
      </x:c>
    </x:row>
    <x:row r="10">
      <x:c r="A10" s="7" t="inlineStr">
        <x:is>
          <x:t xml:space="preserve">Block subsidy</x:t>
        </x:is>
      </x:c>
      <x:c r="B10" s="5" t="inlineStr">
        <x:is>
          <x:t xml:space="preserve">BTC/block</x:t>
        </x:is>
      </x:c>
      <x:c r="C10" s="10" t="n">
        <x:v>3.125</x:v>
      </x:c>
      <x:c r="D10" s="9" t="inlineStr">
        <x:is>
          <x:t xml:space="preserve">Protocol input.</x:t>
        </x:is>
      </x:c>
    </x:row>
    <x:row r="11">
      <x:c r="A11" s="7" t="inlineStr">
        <x:is>
          <x:t xml:space="preserve">Fee factor on subsidy</x:t>
        </x:is>
      </x:c>
      <x:c r="B11" s="5" t="inlineStr">
        <x:is>
          <x:t xml:space="preserve">%</x:t>
        </x:is>
      </x:c>
      <x:c r="C11" s="12" t="n">
        <x:v>0.1</x:v>
      </x:c>
      <x:c r="D11" s="9" t="inlineStr">
        <x:is>
          <x:t xml:space="preserve">Protocol / pool-fee uplift assumption.</x:t>
        </x:is>
      </x:c>
    </x:row>
    <x:row r="12">
      <x:c r="A12" s="7" t="inlineStr">
        <x:is>
          <x:t xml:space="preserve">Blocks per day</x:t>
        </x:is>
      </x:c>
      <x:c r="B12" s="5" t="inlineStr">
        <x:is>
          <x:t xml:space="preserve">blocks/day</x:t>
        </x:is>
      </x:c>
      <x:c r="C12" s="13" t="n">
        <x:v>144</x:v>
      </x:c>
      <x:c r="D12" s="9" t="inlineStr">
        <x:is>
          <x:t xml:space="preserve">Protocol input.</x:t>
        </x:is>
      </x:c>
    </x:row>
    <x:row r="13">
      <x:c r="A13" s="7" t="inlineStr">
        <x:is>
          <x:t xml:space="preserve">Tax rate</x:t>
        </x:is>
      </x:c>
      <x:c r="B13" s="5" t="inlineStr">
        <x:is>
          <x:t xml:space="preserve">%</x:t>
        </x:is>
      </x:c>
      <x:c r="C13" s="12" t="n">
        <x:v>0.27</x:v>
      </x:c>
      <x:c r="D13" s="9" t="inlineStr">
        <x:is>
          <x:t xml:space="preserve">Placeholder corporate tax rate.</x:t>
        </x:is>
      </x:c>
    </x:row>
    <x:row r="14">
      <x:c r="A14" s="7" t="inlineStr">
        <x:is>
          <x:t xml:space="preserve">Uptime</x:t>
        </x:is>
      </x:c>
      <x:c r="B14" s="5" t="inlineStr">
        <x:is>
          <x:t xml:space="preserve">%</x:t>
        </x:is>
      </x:c>
      <x:c r="C14" s="12" t="n">
        <x:v>0.95</x:v>
      </x:c>
      <x:c r="D14" s="9" t="inlineStr">
        <x:is>
          <x:t xml:space="preserve">Operational uptime.</x:t>
        </x:is>
      </x:c>
    </x:row>
    <x:row r="15">
      <x:c r="A15" s="7" t="inlineStr">
        <x:is>
          <x:t xml:space="preserve">General annual inflation</x:t>
        </x:is>
      </x:c>
      <x:c r="B15" s="5" t="inlineStr">
        <x:is>
          <x:t xml:space="preserve">%</x:t>
        </x:is>
      </x:c>
      <x:c r="C15" s="12" t="n">
        <x:v>0.05</x:v>
      </x:c>
      <x:c r="D15" s="9" t="inlineStr">
        <x:is>
          <x:t xml:space="preserve">10Y model escalation.</x:t>
        </x:is>
      </x:c>
    </x:row>
    <x:row r="16">
      <x:c r="A16" s="7" t="inlineStr">
        <x:is>
          <x:t xml:space="preserve">Salary annual inflation</x:t>
        </x:is>
      </x:c>
      <x:c r="B16" s="5" t="inlineStr">
        <x:is>
          <x:t xml:space="preserve">%</x:t>
        </x:is>
      </x:c>
      <x:c r="C16" s="12" t="n">
        <x:v>0.05</x:v>
      </x:c>
      <x:c r="D16" s="9" t="inlineStr">
        <x:is>
          <x:t xml:space="preserve">10Y model escalation.</x:t>
        </x:is>
      </x:c>
    </x:row>
    <x:row r="17">
      <x:c r="A17" s="7" t="inlineStr">
        <x:is>
          <x:t xml:space="preserve">Grid tariff annual inflation</x:t>
        </x:is>
      </x:c>
      <x:c r="B17" s="5" t="inlineStr">
        <x:is>
          <x:t xml:space="preserve">%</x:t>
        </x:is>
      </x:c>
      <x:c r="C17" s="12" t="n">
        <x:v>0.05</x:v>
      </x:c>
      <x:c r="D17" s="9" t="inlineStr">
        <x:is>
          <x:t xml:space="preserve">10Y model escalation.</x:t>
        </x:is>
      </x:c>
    </x:row>
    <x:row r="18">
      <x:c r="A18" s="7" t="inlineStr">
        <x:is>
          <x:t xml:space="preserve">Phase 1 total gross MW</x:t>
        </x:is>
      </x:c>
      <x:c r="B18" s="5" t="inlineStr">
        <x:is>
          <x:t xml:space="preserve">MW</x:t>
        </x:is>
      </x:c>
      <x:c r="C18" s="10" t="n">
        <x:v>20</x:v>
      </x:c>
      <x:c r="D18" s="9" t="inlineStr">
        <x:is>
          <x:t xml:space="preserve">Proof phase size.</x:t>
        </x:is>
      </x:c>
    </x:row>
    <x:row r="19">
      <x:c r="A19" s="7" t="inlineStr">
        <x:is>
          <x:t xml:space="preserve">Grootvlei target MW</x:t>
        </x:is>
      </x:c>
      <x:c r="B19" s="5" t="inlineStr">
        <x:is>
          <x:t xml:space="preserve">MW</x:t>
        </x:is>
      </x:c>
      <x:c r="C19" s="10" t="n">
        <x:v>15</x:v>
      </x:c>
      <x:c r="D19" s="9" t="inlineStr">
        <x:is>
          <x:t xml:space="preserve">Latest deck uses 15MW Grootvlei + 5MW AMSA for Phase 1.</x:t>
        </x:is>
      </x:c>
    </x:row>
    <x:row r="20">
      <x:c r="A20" s="7" t="inlineStr">
        <x:is>
          <x:t xml:space="preserve">AMSA target MW</x:t>
        </x:is>
      </x:c>
      <x:c r="B20" s="5" t="inlineStr">
        <x:is>
          <x:t xml:space="preserve">MW</x:t>
        </x:is>
      </x:c>
      <x:c r="C20" s="10" t="n">
        <x:v>5</x:v>
      </x:c>
      <x:c r="D20" s="9" t="inlineStr">
        <x:is>
          <x:t xml:space="preserve">Latest deck uses 15MW Grootvlei + 5MW AMSA for Phase 1.</x:t>
        </x:is>
      </x:c>
    </x:row>
    <x:row r="21">
      <x:c r="A21" s="7" t="inlineStr">
        <x:is>
          <x:t xml:space="preserve">Grootvlei hours/day</x:t>
        </x:is>
      </x:c>
      <x:c r="B21" s="5" t="inlineStr">
        <x:is>
          <x:t xml:space="preserve">hours/day</x:t>
        </x:is>
      </x:c>
      <x:c r="C21" s="10" t="n">
        <x:v>18</x:v>
      </x:c>
      <x:c r="D21" s="9" t="inlineStr">
        <x:is>
          <x:t xml:space="preserve">Conservative proof-phase operating window.</x:t>
        </x:is>
      </x:c>
    </x:row>
    <x:row r="22">
      <x:c r="A22" s="7" t="inlineStr">
        <x:is>
          <x:t xml:space="preserve">AMSA Eskom hours/day</x:t>
        </x:is>
      </x:c>
      <x:c r="B22" s="5" t="inlineStr">
        <x:is>
          <x:t xml:space="preserve">hours/day</x:t>
        </x:is>
      </x:c>
      <x:c r="C22" s="10" t="n">
        <x:v>10</x:v>
      </x:c>
      <x:c r="D22" s="9" t="inlineStr">
        <x:is>
          <x:t xml:space="preserve">Solar blend requested in chat.</x:t>
        </x:is>
      </x:c>
    </x:row>
    <x:row r="23">
      <x:c r="A23" s="7" t="inlineStr">
        <x:is>
          <x:t xml:space="preserve">AMSA solar hours/day</x:t>
        </x:is>
      </x:c>
      <x:c r="B23" s="5" t="inlineStr">
        <x:is>
          <x:t xml:space="preserve">hours/day</x:t>
        </x:is>
      </x:c>
      <x:c r="C23" s="10" t="n">
        <x:v>9</x:v>
      </x:c>
      <x:c r="D23" s="9" t="inlineStr">
        <x:is>
          <x:t xml:space="preserve">Solar blend requested in chat.</x:t>
        </x:is>
      </x:c>
    </x:row>
    <x:row r="24">
      <x:c r="A24" s="7" t="inlineStr">
        <x:is>
          <x:t xml:space="preserve">AMSA solar MW year 1</x:t>
        </x:is>
      </x:c>
      <x:c r="B24" s="5" t="inlineStr">
        <x:is>
          <x:t xml:space="preserve">MW</x:t>
        </x:is>
      </x:c>
      <x:c r="C24" s="10" t="n">
        <x:v>10</x:v>
      </x:c>
      <x:c r="D24" s="9" t="inlineStr">
        <x:is>
          <x:t xml:space="preserve">Editable management placeholder from chat.</x:t>
        </x:is>
      </x:c>
    </x:row>
    <x:row r="25">
      <x:c r="A25" s="7" t="inlineStr">
        <x:is>
          <x:t xml:space="preserve">Grootvlei grid tariff</x:t>
        </x:is>
      </x:c>
      <x:c r="B25" s="5" t="inlineStr">
        <x:is>
          <x:t xml:space="preserve">R/kWh</x:t>
        </x:is>
      </x:c>
      <x:c r="C25" s="10" t="n">
        <x:v>1</x:v>
      </x:c>
      <x:c r="D25" s="9" t="inlineStr">
        <x:is>
          <x:t xml:space="preserve">Year 1 tariff band in materials is R0.80-R1.20/kWh.</x:t>
        </x:is>
      </x:c>
    </x:row>
    <x:row r="26">
      <x:c r="A26" s="7" t="inlineStr">
        <x:is>
          <x:t xml:space="preserve">AMSA Eskom tariff</x:t>
        </x:is>
      </x:c>
      <x:c r="B26" s="5" t="inlineStr">
        <x:is>
          <x:t xml:space="preserve">R/kWh</x:t>
        </x:is>
      </x:c>
      <x:c r="C26" s="10" t="n">
        <x:v>0.9</x:v>
      </x:c>
      <x:c r="D26" s="9" t="inlineStr">
        <x:is>
          <x:t xml:space="preserve">Assumes somewhat better blended Eskom leg.</x:t>
        </x:is>
      </x:c>
    </x:row>
    <x:row r="27">
      <x:c r="A27" s="7" t="inlineStr">
        <x:is>
          <x:t xml:space="preserve">Solar capex</x:t>
        </x:is>
      </x:c>
      <x:c r="B27" s="5" t="inlineStr">
        <x:is>
          <x:t xml:space="preserve">ZAR'000/MW</x:t>
        </x:is>
      </x:c>
      <x:c r="C27" s="10" t="n">
        <x:v>7000</x:v>
      </x:c>
      <x:c r="D27" s="9" t="inlineStr">
        <x:is>
          <x:t xml:space="preserve">User guidance in chat: ~R7m/MW.</x:t>
        </x:is>
      </x:c>
    </x:row>
    <x:row r="28">
      <x:c r="A28" s="7" t="inlineStr">
        <x:is>
          <x:t xml:space="preserve">Solar O&amp;M</x:t>
        </x:is>
      </x:c>
      <x:c r="B28" s="5" t="inlineStr">
        <x:is>
          <x:t xml:space="preserve">% p.a.</x:t>
        </x:is>
      </x:c>
      <x:c r="C28" s="12" t="n">
        <x:v>0.02</x:v>
      </x:c>
      <x:c r="D28" s="9" t="inlineStr">
        <x:is>
          <x:t xml:space="preserve">Solar O&amp;M as % of capex.</x:t>
        </x:is>
      </x:c>
    </x:row>
    <x:row r="29">
      <x:c r="A29" s="7" t="inlineStr">
        <x:is>
          <x:t xml:space="preserve">Solar COD month</x:t>
        </x:is>
      </x:c>
      <x:c r="B29" s="5" t="inlineStr">
        <x:is>
          <x:t xml:space="preserve">month#</x:t>
        </x:is>
      </x:c>
      <x:c r="C29" s="13" t="n">
        <x:v>5</x:v>
      </x:c>
      <x:c r="D29" s="9" t="inlineStr">
        <x:is>
          <x:t xml:space="preserve">AMSA solar available during ramp-up.</x:t>
        </x:is>
      </x:c>
    </x:row>
    <x:row r="30">
      <x:c r="A30" s="7" t="inlineStr">
        <x:is>
          <x:t xml:space="preserve">Miner hashrate</x:t>
        </x:is>
      </x:c>
      <x:c r="B30" s="5" t="inlineStr">
        <x:is>
          <x:t xml:space="preserve">TH/miner</x:t>
        </x:is>
      </x:c>
      <x:c r="C30" s="10" t="n">
        <x:v>700</x:v>
      </x:c>
      <x:c r="D30" s="9" t="inlineStr">
        <x:is>
          <x:t xml:space="preserve">Top end of working M7DS range; editable.</x:t>
        </x:is>
      </x:c>
    </x:row>
    <x:row r="31">
      <x:c r="A31" s="7" t="inlineStr">
        <x:is>
          <x:t xml:space="preserve">Miner efficiency</x:t>
        </x:is>
      </x:c>
      <x:c r="B31" s="5" t="inlineStr">
        <x:is>
          <x:t xml:space="preserve">J/T</x:t>
        </x:is>
      </x:c>
      <x:c r="C31" s="10" t="n">
        <x:v>12.5</x:v>
      </x:c>
      <x:c r="D31" s="9" t="inlineStr">
        <x:is>
          <x:t xml:space="preserve">Management instruction: use M7DS at 12.5J/T.</x:t>
        </x:is>
      </x:c>
    </x:row>
    <x:row r="32">
      <x:c r="A32" s="7" t="inlineStr">
        <x:is>
          <x:t xml:space="preserve">Miner power</x:t>
        </x:is>
      </x:c>
      <x:c r="B32" s="5" t="inlineStr">
        <x:is>
          <x:t xml:space="preserve">W/miner</x:t>
        </x:is>
      </x:c>
      <x:c r="C32" s="14">
        <x:f>C30*C31</x:f>
        <x:v>8750</x:v>
      </x:c>
      <x:c r="D32" s="9" t="inlineStr">
        <x:is>
          <x:t xml:space="preserve">Formula = hashrate × J/T.</x:t>
        </x:is>
      </x:c>
    </x:row>
    <x:row r="33">
      <x:c r="A33" s="7" t="inlineStr">
        <x:is>
          <x:t xml:space="preserve">Miner price</x:t>
        </x:is>
      </x:c>
      <x:c r="B33" s="5" t="inlineStr">
        <x:is>
          <x:t xml:space="preserve">USD/miner</x:t>
        </x:is>
      </x:c>
      <x:c r="C33" s="15" t="n">
        <x:v>5915</x:v>
      </x:c>
      <x:c r="D33" s="9" t="inlineStr">
        <x:is>
          <x:t xml:space="preserve">From latest uploaded workbook; editable.</x:t>
        </x:is>
      </x:c>
    </x:row>
    <x:row r="34">
      <x:c r="A34" s="7" t="inlineStr">
        <x:is>
          <x:t xml:space="preserve">Aux load</x:t>
        </x:is>
      </x:c>
      <x:c r="B34" s="5" t="inlineStr">
        <x:is>
          <x:t xml:space="preserve">%</x:t>
        </x:is>
      </x:c>
      <x:c r="C34" s="12" t="n">
        <x:v>0.05</x:v>
      </x:c>
      <x:c r="D34" s="9" t="inlineStr">
        <x:is>
          <x:t xml:space="preserve">Cooling / container auxiliaries.</x:t>
        </x:is>
      </x:c>
    </x:row>
    <x:row r="35">
      <x:c r="A35" s="7" t="inlineStr">
        <x:is>
          <x:t xml:space="preserve">Miner slots per XS2400</x:t>
        </x:is>
      </x:c>
      <x:c r="B35" s="5" t="inlineStr">
        <x:is>
          <x:t xml:space="preserve">miners/container</x:t>
        </x:is>
      </x:c>
      <x:c r="C35" s="13" t="n">
        <x:v>240</x:v>
      </x:c>
      <x:c r="D35" s="9" t="inlineStr">
        <x:is>
          <x:t xml:space="preserve">HeatCore XS2400 working basis.</x:t>
        </x:is>
      </x:c>
    </x:row>
    <x:row r="36">
      <x:c r="A36" s="7" t="inlineStr">
        <x:is>
          <x:t xml:space="preserve">Hydro container cost</x:t>
        </x:is>
      </x:c>
      <x:c r="B36" s="5" t="inlineStr">
        <x:is>
          <x:t xml:space="preserve">USD/container</x:t>
        </x:is>
      </x:c>
      <x:c r="C36" s="15" t="n">
        <x:v>350000</x:v>
      </x:c>
      <x:c r="D36" s="9" t="inlineStr">
        <x:is>
          <x:t xml:space="preserve">Hydro container placeholder; replace with quote.</x:t>
        </x:is>
      </x:c>
    </x:row>
    <x:row r="37">
      <x:c r="A37" s="7" t="inlineStr">
        <x:is>
          <x:t xml:space="preserve">Container gross MW</x:t>
        </x:is>
      </x:c>
      <x:c r="B37" s="5" t="inlineStr">
        <x:is>
          <x:t xml:space="preserve">MW/container</x:t>
        </x:is>
      </x:c>
      <x:c r="C37" s="14">
        <x:f>(C35*C32/1000000)*(1+C34)</x:f>
        <x:v>2.205</x:v>
      </x:c>
      <x:c r="D37" s="9" t="inlineStr">
        <x:is>
          <x:t xml:space="preserve">Formula from miner power, slot count and aux load.</x:t>
        </x:is>
      </x:c>
    </x:row>
    <x:row r="38">
      <x:c r="A38" s="7" t="inlineStr">
        <x:is>
          <x:t xml:space="preserve">Miner maintenance</x:t>
        </x:is>
      </x:c>
      <x:c r="B38" s="5" t="inlineStr">
        <x:is>
          <x:t xml:space="preserve">ZAR/miner/year</x:t>
        </x:is>
      </x:c>
      <x:c r="C38" s="10" t="n">
        <x:v>2000</x:v>
      </x:c>
      <x:c r="D38" s="9" t="inlineStr">
        <x:is>
          <x:t xml:space="preserve">Recurring maintenance per miner.</x:t>
        </x:is>
      </x:c>
    </x:row>
    <x:row r="39">
      <x:c r="A39" s="7" t="inlineStr">
        <x:is>
          <x:t xml:space="preserve">Electrical/BOS capex</x:t>
        </x:is>
      </x:c>
      <x:c r="B39" s="5" t="inlineStr">
        <x:is>
          <x:t xml:space="preserve">ZAR'000/MW</x:t>
        </x:is>
      </x:c>
      <x:c r="C39" s="10" t="n">
        <x:v>5000</x:v>
      </x:c>
      <x:c r="D39" s="9" t="inlineStr">
        <x:is>
          <x:t xml:space="preserve">Order-of-magnitude from T2603-24 pilot EPC estimate.</x:t>
        </x:is>
      </x:c>
    </x:row>
    <x:row r="40">
      <x:c r="A40" s="7" t="inlineStr">
        <x:is>
          <x:t xml:space="preserve">Ocean freight</x:t>
        </x:is>
      </x:c>
      <x:c r="B40" s="5" t="inlineStr">
        <x:is>
          <x:t xml:space="preserve">USD/container</x:t>
        </x:is>
      </x:c>
      <x:c r="C40" s="15" t="n">
        <x:v>8000</x:v>
      </x:c>
      <x:c r="D40" s="9" t="inlineStr">
        <x:is>
          <x:t xml:space="preserve">Editable logistics placeholder.</x:t>
        </x:is>
      </x:c>
    </x:row>
    <x:row r="41">
      <x:c r="A41" s="7" t="inlineStr">
        <x:is>
          <x:t xml:space="preserve">Port/clearing</x:t>
        </x:is>
      </x:c>
      <x:c r="B41" s="5" t="inlineStr">
        <x:is>
          <x:t xml:space="preserve">ZAR'000/container</x:t>
        </x:is>
      </x:c>
      <x:c r="C41" s="10" t="n">
        <x:v>150</x:v>
      </x:c>
      <x:c r="D41" s="9" t="inlineStr">
        <x:is>
          <x:t xml:space="preserve">Editable logistics placeholder.</x:t>
        </x:is>
      </x:c>
    </x:row>
    <x:row r="42">
      <x:c r="A42" s="7" t="inlineStr">
        <x:is>
          <x:t xml:space="preserve">Inland trucking</x:t>
        </x:is>
      </x:c>
      <x:c r="B42" s="5" t="inlineStr">
        <x:is>
          <x:t xml:space="preserve">ZAR'000/container</x:t>
        </x:is>
      </x:c>
      <x:c r="C42" s="10" t="n">
        <x:v>120</x:v>
      </x:c>
      <x:c r="D42" s="9" t="inlineStr">
        <x:is>
          <x:t xml:space="preserve">Editable logistics placeholder.</x:t>
        </x:is>
      </x:c>
    </x:row>
    <x:row r="43">
      <x:c r="A43" s="7" t="inlineStr">
        <x:is>
          <x:t xml:space="preserve">Crane/rigging</x:t>
        </x:is>
      </x:c>
      <x:c r="B43" s="5" t="inlineStr">
        <x:is>
          <x:t xml:space="preserve">ZAR'000/container</x:t>
        </x:is>
      </x:c>
      <x:c r="C43" s="10" t="n">
        <x:v>100</x:v>
      </x:c>
      <x:c r="D43" s="9" t="inlineStr">
        <x:is>
          <x:t xml:space="preserve">Editable logistics placeholder.</x:t>
        </x:is>
      </x:c>
    </x:row>
    <x:row r="44">
      <x:c r="A44" s="7" t="inlineStr">
        <x:is>
          <x:t xml:space="preserve">Cargo insurance</x:t>
        </x:is>
      </x:c>
      <x:c r="B44" s="5" t="inlineStr">
        <x:is>
          <x:t xml:space="preserve">%</x:t>
        </x:is>
      </x:c>
      <x:c r="C44" s="12" t="n">
        <x:v>0.01</x:v>
      </x:c>
      <x:c r="D44" s="9" t="inlineStr">
        <x:is>
          <x:t xml:space="preserve">Editable cargo insurance assumption.</x:t>
        </x:is>
      </x:c>
    </x:row>
    <x:row r="45">
      <x:c r="A45" s="7" t="inlineStr">
        <x:is>
          <x:t xml:space="preserve">Import duty</x:t>
        </x:is>
      </x:c>
      <x:c r="B45" s="5" t="inlineStr">
        <x:is>
          <x:t xml:space="preserve">%</x:t>
        </x:is>
      </x:c>
      <x:c r="C45" s="12" t="n">
        <x:v>0.05</x:v>
      </x:c>
      <x:c r="D45" s="9" t="inlineStr">
        <x:is>
          <x:t xml:space="preserve">Editable customs placeholder.</x:t>
        </x:is>
      </x:c>
    </x:row>
    <x:row r="46">
      <x:c r="A46" s="7" t="inlineStr">
        <x:is>
          <x:t xml:space="preserve">Initial spare parts</x:t>
        </x:is>
      </x:c>
      <x:c r="B46" s="5" t="inlineStr">
        <x:is>
          <x:t xml:space="preserve">%</x:t>
        </x:is>
      </x:c>
      <x:c r="C46" s="12" t="n">
        <x:v>0.02</x:v>
      </x:c>
      <x:c r="D46" s="9" t="inlineStr">
        <x:is>
          <x:t xml:space="preserve">Initial spares as % of hardware capex.</x:t>
        </x:is>
      </x:c>
    </x:row>
    <x:row r="47">
      <x:c r="A47" s="7" t="inlineStr">
        <x:is>
          <x:t xml:space="preserve">Tools &amp; equipment initial</x:t>
        </x:is>
      </x:c>
      <x:c r="B47" s="5" t="inlineStr">
        <x:is>
          <x:t xml:space="preserve">ZAR'000/site</x:t>
        </x:is>
      </x:c>
      <x:c r="C47" s="10" t="n">
        <x:v>750</x:v>
      </x:c>
      <x:c r="D47" s="9" t="inlineStr">
        <x:is>
          <x:t xml:space="preserve">Tools, meters, accessories and small equipment.</x:t>
        </x:is>
      </x:c>
    </x:row>
    <x:row r="48">
      <x:c r="A48" s="7" t="inlineStr">
        <x:is>
          <x:t xml:space="preserve">Office setup / deposits</x:t>
        </x:is>
      </x:c>
      <x:c r="B48" s="5" t="inlineStr">
        <x:is>
          <x:t xml:space="preserve">ZAR'000</x:t>
        </x:is>
      </x:c>
      <x:c r="C48" s="10" t="n">
        <x:v>600</x:v>
      </x:c>
      <x:c r="D48" s="9" t="inlineStr">
        <x:is>
          <x:t xml:space="preserve">Corporate office setup / deposits.</x:t>
        </x:is>
      </x:c>
    </x:row>
    <x:row r="49">
      <x:c r="A49" s="7" t="inlineStr">
        <x:is>
          <x:t xml:space="preserve">Software / SCADA setup</x:t>
        </x:is>
      </x:c>
      <x:c r="B49" s="5" t="inlineStr">
        <x:is>
          <x:t xml:space="preserve">ZAR'000</x:t>
        </x:is>
      </x:c>
      <x:c r="C49" s="10" t="n">
        <x:v>1500</x:v>
      </x:c>
      <x:c r="D49" s="9" t="inlineStr">
        <x:is>
          <x:t xml:space="preserve">Initial systems setup.</x:t>
        </x:is>
      </x:c>
    </x:row>
    <x:row r="50">
      <x:c r="A50" s="7" t="inlineStr">
        <x:is>
          <x:t xml:space="preserve">Legal setup total</x:t>
        </x:is>
      </x:c>
      <x:c r="B50" s="5" t="inlineStr">
        <x:is>
          <x:t xml:space="preserve">ZAR'000</x:t>
        </x:is>
      </x:c>
      <x:c r="C50" s="10" t="n">
        <x:v>1200</x:v>
      </x:c>
      <x:c r="D50" s="9" t="inlineStr">
        <x:is>
          <x:t xml:space="preserve">Initial legal documentation.</x:t>
        </x:is>
      </x:c>
    </x:row>
    <x:row r="51">
      <x:c r="A51" s="7" t="inlineStr">
        <x:is>
          <x:t xml:space="preserve">Staff hardware setup</x:t>
        </x:is>
      </x:c>
      <x:c r="B51" s="5" t="inlineStr">
        <x:is>
          <x:t xml:space="preserve">ZAR'000/FTE</x:t>
        </x:is>
      </x:c>
      <x:c r="C51" s="10" t="n">
        <x:v>35</x:v>
      </x:c>
      <x:c r="D51" s="9" t="inlineStr">
        <x:is>
          <x:t xml:space="preserve">Laptop / phone / PPE / provisioning.</x:t>
        </x:is>
      </x:c>
    </x:row>
    <x:row r="52">
      <x:c r="A52" s="7" t="inlineStr">
        <x:is>
          <x:t xml:space="preserve">Fixed corporate FTE</x:t>
        </x:is>
      </x:c>
      <x:c r="B52" s="5" t="inlineStr">
        <x:is>
          <x:t xml:space="preserve">FTE</x:t>
        </x:is>
      </x:c>
      <x:c r="C52" s="10" t="n">
        <x:v>6</x:v>
      </x:c>
      <x:c r="D52" s="9" t="inlineStr">
        <x:is>
          <x:t xml:space="preserve">Corporate team for first year.</x:t>
        </x:is>
      </x:c>
    </x:row>
    <x:row r="53">
      <x:c r="A53" s="7" t="inlineStr">
        <x:is>
          <x:t xml:space="preserve">Corporate salary</x:t>
        </x:is>
      </x:c>
      <x:c r="B53" s="5" t="inlineStr">
        <x:is>
          <x:t xml:space="preserve">ZAR'000/FTE/yr</x:t>
        </x:is>
      </x:c>
      <x:c r="C53" s="10" t="n">
        <x:v>1000</x:v>
      </x:c>
      <x:c r="D53" s="9" t="inlineStr">
        <x:is>
          <x:t xml:space="preserve">Average fully loaded corporate CTC.</x:t>
        </x:is>
      </x:c>
    </x:row>
    <x:row r="54">
      <x:c r="A54" s="7" t="inlineStr">
        <x:is>
          <x:t xml:space="preserve">Site management FTE/site</x:t>
        </x:is>
      </x:c>
      <x:c r="B54" s="5" t="inlineStr">
        <x:is>
          <x:t xml:space="preserve">FTE/site</x:t>
        </x:is>
      </x:c>
      <x:c r="C54" s="10" t="n">
        <x:v>2</x:v>
      </x:c>
      <x:c r="D54" s="9" t="inlineStr">
        <x:is>
          <x:t xml:space="preserve">Manager + supervisor per active site.</x:t>
        </x:is>
      </x:c>
    </x:row>
    <x:row r="55">
      <x:c r="A55" s="7" t="inlineStr">
        <x:is>
          <x:t xml:space="preserve">Site management salary</x:t>
        </x:is>
      </x:c>
      <x:c r="B55" s="5" t="inlineStr">
        <x:is>
          <x:t xml:space="preserve">ZAR'000/FTE/yr</x:t>
        </x:is>
      </x:c>
      <x:c r="C55" s="10" t="n">
        <x:v>700</x:v>
      </x:c>
      <x:c r="D55" s="9" t="inlineStr">
        <x:is>
          <x:t xml:space="preserve">Average fully loaded site management CTC.</x:t>
        </x:is>
      </x:c>
    </x:row>
    <x:row r="56">
      <x:c r="A56" s="7" t="inlineStr">
        <x:is>
          <x:t xml:space="preserve">Technicians FTE/MW</x:t>
        </x:is>
      </x:c>
      <x:c r="B56" s="5" t="inlineStr">
        <x:is>
          <x:t xml:space="preserve">FTE/MW</x:t>
        </x:is>
      </x:c>
      <x:c r="C56" s="10" t="n">
        <x:v>0.35</x:v>
      </x:c>
      <x:c r="D56" s="9" t="inlineStr">
        <x:is>
          <x:t xml:space="preserve">Hydro site technician intensity.</x:t>
        </x:is>
      </x:c>
    </x:row>
    <x:row r="57">
      <x:c r="A57" s="7" t="inlineStr">
        <x:is>
          <x:t xml:space="preserve">Technician salary</x:t>
        </x:is>
      </x:c>
      <x:c r="B57" s="5" t="inlineStr">
        <x:is>
          <x:t xml:space="preserve">ZAR'000/FTE/yr</x:t>
        </x:is>
      </x:c>
      <x:c r="C57" s="10" t="n">
        <x:v>350</x:v>
      </x:c>
      <x:c r="D57" s="9" t="inlineStr">
        <x:is>
          <x:t xml:space="preserve">Average fully loaded technician CTC.</x:t>
        </x:is>
      </x:c>
    </x:row>
    <x:row r="58">
      <x:c r="A58" s="7" t="inlineStr">
        <x:is>
          <x:t xml:space="preserve">Electricians FTE/MW</x:t>
        </x:is>
      </x:c>
      <x:c r="B58" s="5" t="inlineStr">
        <x:is>
          <x:t xml:space="preserve">FTE/MW</x:t>
        </x:is>
      </x:c>
      <x:c r="C58" s="10" t="n">
        <x:v>0.08</x:v>
      </x:c>
      <x:c r="D58" s="9" t="inlineStr">
        <x:is>
          <x:t xml:space="preserve">Electricians per MW.</x:t>
        </x:is>
      </x:c>
    </x:row>
    <x:row r="59">
      <x:c r="A59" s="7" t="inlineStr">
        <x:is>
          <x:t xml:space="preserve">Electrician salary</x:t>
        </x:is>
      </x:c>
      <x:c r="B59" s="5" t="inlineStr">
        <x:is>
          <x:t xml:space="preserve">ZAR'000/FTE/yr</x:t>
        </x:is>
      </x:c>
      <x:c r="C59" s="10" t="n">
        <x:v>450</x:v>
      </x:c>
      <x:c r="D59" s="9" t="inlineStr">
        <x:is>
          <x:t xml:space="preserve">Average fully loaded electrician CTC.</x:t>
        </x:is>
      </x:c>
    </x:row>
    <x:row r="60">
      <x:c r="A60" s="7" t="inlineStr">
        <x:is>
          <x:t xml:space="preserve">Benefits load</x:t>
        </x:is>
      </x:c>
      <x:c r="B60" s="5" t="inlineStr">
        <x:is>
          <x:t xml:space="preserve">%</x:t>
        </x:is>
      </x:c>
      <x:c r="C60" s="12" t="n">
        <x:v>0.2</x:v>
      </x:c>
      <x:c r="D60" s="9" t="inlineStr">
        <x:is>
          <x:t xml:space="preserve">Benefits and payroll load.</x:t>
        </x:is>
      </x:c>
    </x:row>
    <x:row r="61">
      <x:c r="A61" s="7" t="inlineStr">
        <x:is>
          <x:t xml:space="preserve">Travel &amp; accommodation</x:t>
        </x:is>
      </x:c>
      <x:c r="B61" s="5" t="inlineStr">
        <x:is>
          <x:t xml:space="preserve">%</x:t>
        </x:is>
      </x:c>
      <x:c r="C61" s="12" t="n">
        <x:v>0.06</x:v>
      </x:c>
      <x:c r="D61" s="9" t="inlineStr">
        <x:is>
          <x:t xml:space="preserve">Recurring travel / claims as % of payroll.</x:t>
        </x:is>
      </x:c>
    </x:row>
    <x:row r="62">
      <x:c r="A62" s="7" t="inlineStr">
        <x:is>
          <x:t xml:space="preserve">Site mobilization travel</x:t>
        </x:is>
      </x:c>
      <x:c r="B62" s="5" t="inlineStr">
        <x:is>
          <x:t xml:space="preserve">ZAR'000/site start</x:t>
        </x:is>
      </x:c>
      <x:c r="C62" s="10" t="n">
        <x:v>250</x:v>
      </x:c>
      <x:c r="D62" s="9" t="inlineStr">
        <x:is>
          <x:t xml:space="preserve">One-off commissioning / mobilization travel.</x:t>
        </x:is>
      </x:c>
    </x:row>
    <x:row r="63">
      <x:c r="A63" s="7" t="inlineStr">
        <x:is>
          <x:t xml:space="preserve">SaaS per FTE / month</x:t>
        </x:is>
      </x:c>
      <x:c r="B63" s="5" t="inlineStr">
        <x:is>
          <x:t xml:space="preserve">ZAR'000/FTE/mo</x:t>
        </x:is>
      </x:c>
      <x:c r="C63" s="10" t="n">
        <x:v>3.5</x:v>
      </x:c>
      <x:c r="D63" s="9" t="inlineStr">
        <x:is>
          <x:t xml:space="preserve">Email, PM, collaboration and security tools.</x:t>
        </x:is>
      </x:c>
    </x:row>
    <x:row r="64">
      <x:c r="A64" s="7" t="inlineStr">
        <x:is>
          <x:t xml:space="preserve">Site software / monitoring</x:t>
        </x:is>
      </x:c>
      <x:c r="B64" s="5" t="inlineStr">
        <x:is>
          <x:t xml:space="preserve">ZAR'000/site/mo</x:t>
        </x:is>
      </x:c>
      <x:c r="C64" s="10" t="n">
        <x:v>40</x:v>
      </x:c>
      <x:c r="D64" s="9" t="inlineStr">
        <x:is>
          <x:t xml:space="preserve">SCADA, monitoring and connectivity support.</x:t>
        </x:is>
      </x:c>
    </x:row>
    <x:row r="65">
      <x:c r="A65" s="7" t="inlineStr">
        <x:is>
          <x:t xml:space="preserve">Legal retainer</x:t>
        </x:is>
      </x:c>
      <x:c r="B65" s="5" t="inlineStr">
        <x:is>
          <x:t xml:space="preserve">ZAR'000/mo</x:t>
        </x:is>
      </x:c>
      <x:c r="C65" s="10" t="n">
        <x:v>75</x:v>
      </x:c>
      <x:c r="D65" s="9" t="inlineStr">
        <x:is>
          <x:t xml:space="preserve">Ongoing legal support.</x:t>
        </x:is>
      </x:c>
    </x:row>
    <x:row r="66">
      <x:c r="A66" s="7" t="inlineStr">
        <x:is>
          <x:t xml:space="preserve">Office rent</x:t>
        </x:is>
      </x:c>
      <x:c r="B66" s="5" t="inlineStr">
        <x:is>
          <x:t xml:space="preserve">ZAR'000/mo</x:t>
        </x:is>
      </x:c>
      <x:c r="C66" s="10" t="n">
        <x:v>90</x:v>
      </x:c>
      <x:c r="D66" s="9" t="inlineStr">
        <x:is>
          <x:t xml:space="preserve">Head office rent.</x:t>
        </x:is>
      </x:c>
    </x:row>
    <x:row r="67">
      <x:c r="A67" s="7" t="inlineStr">
        <x:is>
          <x:t xml:space="preserve">File storage / cloud</x:t>
        </x:is>
      </x:c>
      <x:c r="B67" s="5" t="inlineStr">
        <x:is>
          <x:t xml:space="preserve">ZAR'000/mo</x:t>
        </x:is>
      </x:c>
      <x:c r="C67" s="10" t="n">
        <x:v>25</x:v>
      </x:c>
      <x:c r="D67" s="9" t="inlineStr">
        <x:is>
          <x:t xml:space="preserve">Recurring storage and cloud.</x:t>
        </x:is>
      </x:c>
    </x:row>
    <x:row r="68">
      <x:c r="A68" s="7" t="inlineStr">
        <x:is>
          <x:t xml:space="preserve">Tools / consumables recurring</x:t>
        </x:is>
      </x:c>
      <x:c r="B68" s="5" t="inlineStr">
        <x:is>
          <x:t xml:space="preserve">ZAR'000/MW/mo</x:t>
        </x:is>
      </x:c>
      <x:c r="C68" s="10" t="n">
        <x:v>8</x:v>
      </x:c>
      <x:c r="D68" s="9" t="inlineStr">
        <x:is>
          <x:t xml:space="preserve">Filters, consumables, small parts.</x:t>
        </x:is>
      </x:c>
    </x:row>
    <x:row r="69">
      <x:c r="A69" s="7" t="inlineStr">
        <x:is>
          <x:t xml:space="preserve">Security &amp; operating insurance</x:t>
        </x:is>
      </x:c>
      <x:c r="B69" s="5" t="inlineStr">
        <x:is>
          <x:t xml:space="preserve">ZAR'000/site/mo</x:t>
        </x:is>
      </x:c>
      <x:c r="C69" s="10" t="n">
        <x:v>120</x:v>
      </x:c>
      <x:c r="D69" s="9" t="inlineStr">
        <x:is>
          <x:t xml:space="preserve">Ongoing security and operating insurance.</x:t>
        </x:is>
      </x:c>
    </x:row>
    <x:row r="70">
      <x:c r="A70" s="7" t="inlineStr">
        <x:is>
          <x:t xml:space="preserve">Other utilities / water</x:t>
        </x:is>
      </x:c>
      <x:c r="B70" s="5" t="inlineStr">
        <x:is>
          <x:t xml:space="preserve">ZAR'000/MW/mo</x:t>
        </x:is>
      </x:c>
      <x:c r="C70" s="10" t="n">
        <x:v>20</x:v>
      </x:c>
      <x:c r="D70" s="9" t="inlineStr">
        <x:is>
          <x:t xml:space="preserve">Water treatment and misc utilities.</x:t>
        </x:is>
      </x:c>
    </x:row>
    <x:row r="71">
      <x:c r="A71" s="7" t="inlineStr">
        <x:is>
          <x:t xml:space="preserve">DR in base case?</x:t>
        </x:is>
      </x:c>
      <x:c r="B71" s="5" t="inlineStr">
        <x:is>
          <x:t xml:space="preserve">0/1</x:t>
        </x:is>
      </x:c>
      <x:c r="C71" s="10" t="n">
        <x:v>0</x:v>
      </x:c>
      <x:c r="D71" s="9" t="inlineStr">
        <x:is>
          <x:t xml:space="preserve">Conservative base case default is off.</x:t>
        </x:is>
      </x:c>
    </x:row>
    <x:row r="72">
      <x:c r="A72" s="7" t="inlineStr">
        <x:is>
          <x:t xml:space="preserve">DR start month</x:t>
        </x:is>
      </x:c>
      <x:c r="B72" s="5" t="inlineStr">
        <x:is>
          <x:t xml:space="preserve">month#</x:t>
        </x:is>
      </x:c>
      <x:c r="C72" s="13" t="n">
        <x:v>7</x:v>
      </x:c>
      <x:c r="D72" s="9" t="inlineStr">
        <x:is>
          <x:t xml:space="preserve">Optionality start month.</x:t>
        </x:is>
      </x:c>
    </x:row>
    <x:row r="73">
      <x:c r="A73" s="7" t="inlineStr">
        <x:is>
          <x:t xml:space="preserve">DR price</x:t>
        </x:is>
      </x:c>
      <x:c r="B73" s="5" t="inlineStr">
        <x:is>
          <x:t xml:space="preserve">R/kWh</x:t>
        </x:is>
      </x:c>
      <x:c r="C73" s="10" t="n">
        <x:v>0.25</x:v>
      </x:c>
      <x:c r="D73" s="9" t="inlineStr">
        <x:is>
          <x:t xml:space="preserve">Conservative DR price placeholder.</x:t>
        </x:is>
      </x:c>
    </x:row>
    <x:row r="74">
      <x:c r="A74" s="7" t="inlineStr">
        <x:is>
          <x:t xml:space="preserve">DR equivalent hours/day</x:t>
        </x:is>
      </x:c>
      <x:c r="B74" s="5" t="inlineStr">
        <x:is>
          <x:t xml:space="preserve">hours/day</x:t>
        </x:is>
      </x:c>
      <x:c r="C74" s="10" t="n">
        <x:v>1.5</x:v>
      </x:c>
      <x:c r="D74" s="9" t="inlineStr">
        <x:is>
          <x:t xml:space="preserve">Equivalent paid availability hours.</x:t>
        </x:is>
      </x:c>
    </x:row>
    <x:row r="75">
      <x:c r="A75" s="7" t="inlineStr">
        <x:is>
          <x:t xml:space="preserve">DR paid utilisation</x:t>
        </x:is>
      </x:c>
      <x:c r="B75" s="5" t="inlineStr">
        <x:is>
          <x:t xml:space="preserve">%</x:t>
        </x:is>
      </x:c>
      <x:c r="C75" s="12" t="n">
        <x:v>0.5</x:v>
      </x:c>
      <x:c r="D75" s="9" t="inlineStr">
        <x:is>
          <x:t xml:space="preserve">Share of availability window actually paid.</x:t>
        </x:is>
      </x:c>
    </x:row>
    <x:row r="76">
      <x:c r="A76" s="7" t="inlineStr">
        <x:is>
          <x:t xml:space="preserve">Hyperscaler in base case?</x:t>
        </x:is>
      </x:c>
      <x:c r="B76" s="5" t="inlineStr">
        <x:is>
          <x:t xml:space="preserve">0/1</x:t>
        </x:is>
      </x:c>
      <x:c r="C76" s="10" t="n">
        <x:v>0</x:v>
      </x:c>
      <x:c r="D76" s="9" t="inlineStr">
        <x:is>
          <x:t xml:space="preserve">Conservative base case default is off.</x:t>
        </x:is>
      </x:c>
    </x:row>
    <x:row r="77">
      <x:c r="A77" s="7" t="inlineStr">
        <x:is>
          <x:t xml:space="preserve">Hyperscaler start month</x:t>
        </x:is>
      </x:c>
      <x:c r="B77" s="5" t="inlineStr">
        <x:is>
          <x:t xml:space="preserve">month#</x:t>
        </x:is>
      </x:c>
      <x:c r="C77" s="13" t="n">
        <x:v>13</x:v>
      </x:c>
      <x:c r="D77" s="9" t="inlineStr">
        <x:is>
          <x:t xml:space="preserve">After first 12 months by default.</x:t>
        </x:is>
      </x:c>
    </x:row>
    <x:row r="78">
      <x:c r="A78" s="7" t="inlineStr">
        <x:is>
          <x:t xml:space="preserve">Hyperscaler MW sold</x:t>
        </x:is>
      </x:c>
      <x:c r="B78" s="5" t="inlineStr">
        <x:is>
          <x:t xml:space="preserve">MW</x:t>
        </x:is>
      </x:c>
      <x:c r="C78" s="10" t="n">
        <x:v>2</x:v>
      </x:c>
      <x:c r="D78" s="9" t="inlineStr">
        <x:is>
          <x:t xml:space="preserve">Pilot tenant power sold.</x:t>
        </x:is>
      </x:c>
    </x:row>
    <x:row r="79">
      <x:c r="A79" s="7" t="inlineStr">
        <x:is>
          <x:t xml:space="preserve">Hyperscaler hours/day</x:t>
        </x:is>
      </x:c>
      <x:c r="B79" s="5" t="inlineStr">
        <x:is>
          <x:t xml:space="preserve">hours/day</x:t>
        </x:is>
      </x:c>
      <x:c r="C79" s="10" t="n">
        <x:v>16</x:v>
      </x:c>
      <x:c r="D79" s="9" t="inlineStr">
        <x:is>
          <x:t xml:space="preserve">Conservative pilot tenant run profile.</x:t>
        </x:is>
      </x:c>
    </x:row>
    <x:row r="80">
      <x:c r="A80" s="7" t="inlineStr">
        <x:is>
          <x:t xml:space="preserve">Hyperscaler sale price</x:t>
        </x:is>
      </x:c>
      <x:c r="B80" s="5" t="inlineStr">
        <x:is>
          <x:t xml:space="preserve">USD/MWh</x:t>
        </x:is>
      </x:c>
      <x:c r="C80" s="15" t="n">
        <x:v>130</x:v>
      </x:c>
      <x:c r="D80" s="9" t="inlineStr">
        <x:is>
          <x:t xml:space="preserve">Placeholder pilot tariff.</x:t>
        </x:is>
      </x:c>
    </x:row>
    <x:row r="81">
      <x:c r="A81" s="7" t="inlineStr">
        <x:is>
          <x:t xml:space="preserve">Annual AI/Hyperscaler include?</x:t>
        </x:is>
      </x:c>
      <x:c r="B81" s="5" t="inlineStr">
        <x:is>
          <x:t xml:space="preserve">0/1</x:t>
        </x:is>
      </x:c>
      <x:c r="C81" s="10" t="n">
        <x:v>0</x:v>
      </x:c>
      <x:c r="D81" s="9" t="inlineStr">
        <x:is>
          <x:t xml:space="preserve">10Y base case default is off.</x:t>
        </x:is>
      </x:c>
    </x:row>
    <x:row r="82">
      <x:c r="A82" s="7" t="inlineStr">
        <x:is>
          <x:t xml:space="preserve">Annual AI/Hyperscaler start year</x:t>
        </x:is>
      </x:c>
      <x:c r="B82" s="5" t="inlineStr">
        <x:is>
          <x:t xml:space="preserve">year</x:t>
        </x:is>
      </x:c>
      <x:c r="C82" s="13" t="n">
        <x:v>2027</x:v>
      </x:c>
      <x:c r="D82" s="9" t="inlineStr">
        <x:is>
          <x:t xml:space="preserve">Can switch on from year 2 onward.</x:t>
        </x:is>
      </x:c>
    </x:row>
    <x:row r="83">
      <x:c r="A83" s="7" t="inlineStr">
        <x:is>
          <x:t xml:space="preserve">Annual AI/Hyperscaler MW share</x:t>
        </x:is>
      </x:c>
      <x:c r="B83" s="5" t="inlineStr">
        <x:is>
          <x:t xml:space="preserve">%</x:t>
        </x:is>
      </x:c>
      <x:c r="C83" s="12" t="n">
        <x:v>0.1</x:v>
      </x:c>
      <x:c r="D83" s="9" t="inlineStr">
        <x:is>
          <x:t xml:space="preserve">Share of platform MW converted to tenants.</x:t>
        </x:is>
      </x:c>
    </x:row>
    <x:row r="84">
      <x:c r="A84" s="7" t="inlineStr">
        <x:is>
          <x:t xml:space="preserve">Annual AI/Hyperscaler price</x:t>
        </x:is>
      </x:c>
      <x:c r="B84" s="5" t="inlineStr">
        <x:is>
          <x:t xml:space="preserve">USD/MWh</x:t>
        </x:is>
      </x:c>
      <x:c r="C84" s="15" t="n">
        <x:v>130</x:v>
      </x:c>
      <x:c r="D84" s="9" t="inlineStr">
        <x:is>
          <x:t xml:space="preserve">Annual AI/HPC price placeholder.</x:t>
        </x:is>
      </x:c>
    </x:row>
    <x:row r="85">
      <x:c r="A85" s="7" t="inlineStr">
        <x:is>
          <x:t xml:space="preserve">Annual DR include?</x:t>
        </x:is>
      </x:c>
      <x:c r="B85" s="5" t="inlineStr">
        <x:is>
          <x:t xml:space="preserve">0/1</x:t>
        </x:is>
      </x:c>
      <x:c r="C85" s="10" t="n">
        <x:v>0</x:v>
      </x:c>
      <x:c r="D85" s="9" t="inlineStr">
        <x:is>
          <x:t xml:space="preserve">10Y base case default is off.</x:t>
        </x:is>
      </x:c>
    </x:row>
    <x:row r="86">
      <x:c r="A86" s="7" t="inlineStr">
        <x:is>
          <x:t xml:space="preserve">Annual DR price</x:t>
        </x:is>
      </x:c>
      <x:c r="B86" s="5" t="inlineStr">
        <x:is>
          <x:t xml:space="preserve">R/kWh</x:t>
        </x:is>
      </x:c>
      <x:c r="C86" s="10" t="n">
        <x:v>0.25</x:v>
      </x:c>
      <x:c r="D86" s="9" t="inlineStr">
        <x:is>
          <x:t xml:space="preserve">Annual DR price placeholder.</x:t>
        </x:is>
      </x:c>
    </x:row>
    <x:row r="87">
      <x:c r="A87" s="7" t="inlineStr">
        <x:is>
          <x:t xml:space="preserve">Annual DR equivalent hours/day</x:t>
        </x:is>
      </x:c>
      <x:c r="B87" s="5" t="inlineStr">
        <x:is>
          <x:t xml:space="preserve">hours/day</x:t>
        </x:is>
      </x:c>
      <x:c r="C87" s="10" t="n">
        <x:v>1.5</x:v>
      </x:c>
      <x:c r="D87" s="9" t="inlineStr">
        <x:is>
          <x:t xml:space="preserve">Annual DR hours placeholder.</x:t>
        </x:is>
      </x:c>
    </x:row>
    <x:row r="88">
      <x:c r="C88" t="n"/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113f5f9f15774d8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>
      <x:c r="A1" s="1" t="inlineStr">
        <x:is>
          <x:t xml:space="preserve">12-Month Phase 1 Deployment</x:t>
        </x:is>
      </x:c>
    </x:row>
    <x:row r="2">
      <x:c r="A2" s="5" t="inlineStr">
        <x:is>
          <x:t xml:space="preserve">Edit only the blue MW schedule rows. Base case: Grootvlei ramps first, AMSA follows, and AMSA solar comes online during the ramp.</x:t>
        </x:is>
      </x:c>
    </x:row>
    <x:row r="3">
      <x:c r="D3" s="16" t="n">
        <x:v>1</x:v>
      </x:c>
      <x:c r="E3" s="16" t="n">
        <x:v>2</x:v>
      </x:c>
      <x:c r="F3" s="16" t="n">
        <x:v>3</x:v>
      </x:c>
      <x:c r="G3" s="16" t="n">
        <x:v>4</x:v>
      </x:c>
      <x:c r="H3" s="16" t="n">
        <x:v>5</x:v>
      </x:c>
      <x:c r="I3" s="16" t="n">
        <x:v>6</x:v>
      </x:c>
      <x:c r="J3" s="16" t="n">
        <x:v>7</x:v>
      </x:c>
      <x:c r="K3" s="16" t="n">
        <x:v>8</x:v>
      </x:c>
      <x:c r="L3" s="16" t="n">
        <x:v>9</x:v>
      </x:c>
      <x:c r="M3" s="16" t="n">
        <x:v>10</x:v>
      </x:c>
      <x:c r="N3" s="16" t="n">
        <x:v>11</x:v>
      </x:c>
      <x:c r="O3" s="16" t="n">
        <x:v>12</x:v>
      </x:c>
    </x:row>
    <x:row r="4" ht="20" customHeight="1">
      <x:c r="D4" s="17" t="inlineStr">
        <x:is>
          <x:t xml:space="preserve">Jan-26</x:t>
        </x:is>
      </x:c>
      <x:c r="E4" s="17" t="inlineStr">
        <x:is>
          <x:t xml:space="preserve">Feb-26</x:t>
        </x:is>
      </x:c>
      <x:c r="F4" s="17" t="inlineStr">
        <x:is>
          <x:t xml:space="preserve">Mar-26</x:t>
        </x:is>
      </x:c>
      <x:c r="G4" s="17" t="inlineStr">
        <x:is>
          <x:t xml:space="preserve">Apr-26</x:t>
        </x:is>
      </x:c>
      <x:c r="H4" s="17" t="inlineStr">
        <x:is>
          <x:t xml:space="preserve">May-26</x:t>
        </x:is>
      </x:c>
      <x:c r="I4" s="17" t="inlineStr">
        <x:is>
          <x:t xml:space="preserve">Jun-26</x:t>
        </x:is>
      </x:c>
      <x:c r="J4" s="17" t="inlineStr">
        <x:is>
          <x:t xml:space="preserve">Jul-26</x:t>
        </x:is>
      </x:c>
      <x:c r="K4" s="17" t="inlineStr">
        <x:is>
          <x:t xml:space="preserve">Aug-26</x:t>
        </x:is>
      </x:c>
      <x:c r="L4" s="17" t="inlineStr">
        <x:is>
          <x:t xml:space="preserve">Sep-26</x:t>
        </x:is>
      </x:c>
      <x:c r="M4" s="17" t="inlineStr">
        <x:is>
          <x:t xml:space="preserve">Oct-26</x:t>
        </x:is>
      </x:c>
      <x:c r="N4" s="17" t="inlineStr">
        <x:is>
          <x:t xml:space="preserve">Nov-26</x:t>
        </x:is>
      </x:c>
      <x:c r="O4" s="17" t="inlineStr">
        <x:is>
          <x:t xml:space="preserve">Dec-26</x:t>
        </x:is>
      </x:c>
    </x:row>
    <x:row r="5">
      <x:c r="A5" s="2" t="inlineStr">
        <x:is>
          <x:t xml:space="preserve">Days in month</x:t>
        </x:is>
      </x:c>
      <x:c r="B5" s="5" t="inlineStr">
        <x:is>
          <x:t xml:space="preserve">days</x:t>
        </x:is>
      </x:c>
      <x:c r="D5" s="18" t="n">
        <x:v>31</x:v>
      </x:c>
      <x:c r="E5" s="18" t="n">
        <x:v>28</x:v>
      </x:c>
      <x:c r="F5" s="18" t="n">
        <x:v>31</x:v>
      </x:c>
      <x:c r="G5" s="18" t="n">
        <x:v>30</x:v>
      </x:c>
      <x:c r="H5" s="18" t="n">
        <x:v>31</x:v>
      </x:c>
      <x:c r="I5" s="18" t="n">
        <x:v>30</x:v>
      </x:c>
      <x:c r="J5" s="18" t="n">
        <x:v>31</x:v>
      </x:c>
      <x:c r="K5" s="18" t="n">
        <x:v>31</x:v>
      </x:c>
      <x:c r="L5" s="18" t="n">
        <x:v>30</x:v>
      </x:c>
      <x:c r="M5" s="18" t="n">
        <x:v>31</x:v>
      </x:c>
      <x:c r="N5" s="18" t="n">
        <x:v>30</x:v>
      </x:c>
      <x:c r="O5" s="18" t="n">
        <x:v>31</x:v>
      </x:c>
    </x:row>
    <x:row r="7">
      <x:c r="A7" s="7" t="inlineStr">
        <x:is>
          <x:t xml:space="preserve">Grootvlei closing MW</x:t>
        </x:is>
      </x:c>
      <x:c r="B7" s="5" t="inlineStr">
        <x:is>
          <x:t xml:space="preserve">MW</x:t>
        </x:is>
      </x:c>
      <x:c r="D7" s="10" t="n">
        <x:v>0</x:v>
      </x:c>
      <x:c r="E7" s="10" t="n">
        <x:v>0</x:v>
      </x:c>
      <x:c r="F7" s="10" t="n">
        <x:v>5</x:v>
      </x:c>
      <x:c r="G7" s="10" t="n">
        <x:v>10</x:v>
      </x:c>
      <x:c r="H7" s="10" t="n">
        <x:v>15</x:v>
      </x:c>
      <x:c r="I7" s="10" t="n">
        <x:v>15</x:v>
      </x:c>
      <x:c r="J7" s="10" t="n">
        <x:v>15</x:v>
      </x:c>
      <x:c r="K7" s="10" t="n">
        <x:v>15</x:v>
      </x:c>
      <x:c r="L7" s="10" t="n">
        <x:v>15</x:v>
      </x:c>
      <x:c r="M7" s="10" t="n">
        <x:v>15</x:v>
      </x:c>
      <x:c r="N7" s="10" t="n">
        <x:v>15</x:v>
      </x:c>
      <x:c r="O7" s="10" t="n">
        <x:v>15</x:v>
      </x:c>
    </x:row>
    <x:row r="8">
      <x:c r="A8" s="7" t="inlineStr">
        <x:is>
          <x:t xml:space="preserve">AMSA closing MW</x:t>
        </x:is>
      </x:c>
      <x:c r="B8" s="5" t="inlineStr">
        <x:is>
          <x:t xml:space="preserve">MW</x:t>
        </x:is>
      </x:c>
      <x:c r="D8" s="10" t="n">
        <x:v>0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5</x:v>
      </x:c>
      <x:c r="J8" s="10" t="n">
        <x:v>5</x:v>
      </x:c>
      <x:c r="K8" s="10" t="n">
        <x:v>5</x:v>
      </x:c>
      <x:c r="L8" s="10" t="n">
        <x:v>5</x:v>
      </x:c>
      <x:c r="M8" s="10" t="n">
        <x:v>5</x:v>
      </x:c>
      <x:c r="N8" s="10" t="n">
        <x:v>5</x:v>
      </x:c>
      <x:c r="O8" s="10" t="n">
        <x:v>5</x:v>
      </x:c>
    </x:row>
    <x:row r="9">
      <x:c r="A9" s="7" t="inlineStr">
        <x:is>
          <x:t xml:space="preserve">AMSA solar closing MW</x:t>
        </x:is>
      </x:c>
      <x:c r="B9" s="5" t="inlineStr">
        <x:is>
          <x:t xml:space="preserve">MW</x:t>
        </x:is>
      </x:c>
      <x:c r="D9" s="10" t="n">
        <x:v>0</x:v>
      </x:c>
      <x:c r="E9" s="10" t="n">
        <x:v>0</x:v>
      </x:c>
      <x:c r="F9" s="10" t="n">
        <x:v>0</x:v>
      </x:c>
      <x:c r="G9" s="10" t="n">
        <x:v>0</x:v>
      </x:c>
      <x:c r="H9" s="10" t="n">
        <x:v>10</x:v>
      </x:c>
      <x:c r="I9" s="10" t="n">
        <x:v>10</x:v>
      </x:c>
      <x:c r="J9" s="10" t="n">
        <x:v>10</x:v>
      </x:c>
      <x:c r="K9" s="10" t="n">
        <x:v>10</x:v>
      </x:c>
      <x:c r="L9" s="10" t="n">
        <x:v>10</x:v>
      </x:c>
      <x:c r="M9" s="10" t="n">
        <x:v>10</x:v>
      </x:c>
      <x:c r="N9" s="10" t="n">
        <x:v>10</x:v>
      </x:c>
      <x:c r="O9" s="10" t="n">
        <x:v>10</x:v>
      </x:c>
    </x:row>
    <x:row r="12">
      <x:c r="A12" s="7" t="inlineStr">
        <x:is>
          <x:t xml:space="preserve">Grootvlei opening MW</x:t>
        </x:is>
      </x:c>
      <x:c r="B12" s="5" t="inlineStr">
        <x:is>
          <x:t xml:space="preserve">MW</x:t>
        </x:is>
      </x:c>
      <x:c r="D12" s="14" t="n">
        <x:v>0</x:v>
      </x:c>
      <x:c r="E12" s="14">
        <x:f>D7</x:f>
        <x:v>0</x:v>
      </x:c>
      <x:c r="F12" s="14">
        <x:f>E7</x:f>
        <x:v>0</x:v>
      </x:c>
      <x:c r="G12" s="14">
        <x:f>F7</x:f>
        <x:v>5</x:v>
      </x:c>
      <x:c r="H12" s="14">
        <x:f>G7</x:f>
        <x:v>10</x:v>
      </x:c>
      <x:c r="I12" s="14">
        <x:f>H7</x:f>
        <x:v>15</x:v>
      </x:c>
      <x:c r="J12" s="14">
        <x:f>I7</x:f>
        <x:v>15</x:v>
      </x:c>
      <x:c r="K12" s="14">
        <x:f>J7</x:f>
        <x:v>15</x:v>
      </x:c>
      <x:c r="L12" s="14">
        <x:f>K7</x:f>
        <x:v>15</x:v>
      </x:c>
      <x:c r="M12" s="14">
        <x:f>L7</x:f>
        <x:v>15</x:v>
      </x:c>
      <x:c r="N12" s="14">
        <x:f>M7</x:f>
        <x:v>15</x:v>
      </x:c>
      <x:c r="O12" s="14">
        <x:f>N7</x:f>
        <x:v>15</x:v>
      </x:c>
    </x:row>
    <x:row r="13">
      <x:c r="A13" s="7" t="inlineStr">
        <x:is>
          <x:t xml:space="preserve">AMSA opening MW</x:t>
        </x:is>
      </x:c>
      <x:c r="B13" s="5" t="inlineStr">
        <x:is>
          <x:t xml:space="preserve">MW</x:t>
        </x:is>
      </x:c>
      <x:c r="D13" s="14" t="n">
        <x:v>0</x:v>
      </x:c>
      <x:c r="E13" s="14">
        <x:f>D8</x:f>
        <x:v>0</x:v>
      </x:c>
      <x:c r="F13" s="14">
        <x:f>E8</x:f>
        <x:v>0</x:v>
      </x:c>
      <x:c r="G13" s="14">
        <x:f>F8</x:f>
        <x:v>0</x:v>
      </x:c>
      <x:c r="H13" s="14">
        <x:f>G8</x:f>
        <x:v>0</x:v>
      </x:c>
      <x:c r="I13" s="14">
        <x:f>H8</x:f>
        <x:v>0</x:v>
      </x:c>
      <x:c r="J13" s="14">
        <x:f>I8</x:f>
        <x:v>5</x:v>
      </x:c>
      <x:c r="K13" s="14">
        <x:f>J8</x:f>
        <x:v>5</x:v>
      </x:c>
      <x:c r="L13" s="14">
        <x:f>K8</x:f>
        <x:v>5</x:v>
      </x:c>
      <x:c r="M13" s="14">
        <x:f>L8</x:f>
        <x:v>5</x:v>
      </x:c>
      <x:c r="N13" s="14">
        <x:f>M8</x:f>
        <x:v>5</x:v>
      </x:c>
      <x:c r="O13" s="14">
        <x:f>N8</x:f>
        <x:v>5</x:v>
      </x:c>
    </x:row>
    <x:row r="14">
      <x:c r="A14" s="7" t="inlineStr">
        <x:is>
          <x:t xml:space="preserve">AMSA solar opening MW</x:t>
        </x:is>
      </x:c>
      <x:c r="B14" s="5" t="inlineStr">
        <x:is>
          <x:t xml:space="preserve">MW</x:t>
        </x:is>
      </x:c>
      <x:c r="D14" s="14" t="n">
        <x:v>0</x:v>
      </x:c>
      <x:c r="E14" s="14">
        <x:f>D9</x:f>
        <x:v>0</x:v>
      </x:c>
      <x:c r="F14" s="14">
        <x:f>E9</x:f>
        <x:v>0</x:v>
      </x:c>
      <x:c r="G14" s="14">
        <x:f>F9</x:f>
        <x:v>0</x:v>
      </x:c>
      <x:c r="H14" s="14">
        <x:f>G9</x:f>
        <x:v>0</x:v>
      </x:c>
      <x:c r="I14" s="14">
        <x:f>H9</x:f>
        <x:v>10</x:v>
      </x:c>
      <x:c r="J14" s="14">
        <x:f>I9</x:f>
        <x:v>10</x:v>
      </x:c>
      <x:c r="K14" s="14">
        <x:f>J9</x:f>
        <x:v>10</x:v>
      </x:c>
      <x:c r="L14" s="14">
        <x:f>K9</x:f>
        <x:v>10</x:v>
      </x:c>
      <x:c r="M14" s="14">
        <x:f>L9</x:f>
        <x:v>10</x:v>
      </x:c>
      <x:c r="N14" s="14">
        <x:f>M9</x:f>
        <x:v>10</x:v>
      </x:c>
      <x:c r="O14" s="14">
        <x:f>N9</x:f>
        <x:v>10</x:v>
      </x:c>
    </x:row>
    <x:row r="16">
      <x:c r="A16" s="7" t="inlineStr">
        <x:is>
          <x:t xml:space="preserve">Grootvlei average MW</x:t>
        </x:is>
      </x:c>
      <x:c r="B16" s="5" t="inlineStr">
        <x:is>
          <x:t xml:space="preserve">MW</x:t>
        </x:is>
      </x:c>
      <x:c r="D16" s="14">
        <x:f>(D12+D7)/2</x:f>
        <x:v>0</x:v>
      </x:c>
      <x:c r="E16" s="14">
        <x:f>(E12+E7)/2</x:f>
        <x:v>0</x:v>
      </x:c>
      <x:c r="F16" s="14">
        <x:f>(F12+F7)/2</x:f>
        <x:v>2.5</x:v>
      </x:c>
      <x:c r="G16" s="14">
        <x:f>(G12+G7)/2</x:f>
        <x:v>7.5</x:v>
      </x:c>
      <x:c r="H16" s="14">
        <x:f>(H12+H7)/2</x:f>
        <x:v>12.5</x:v>
      </x:c>
      <x:c r="I16" s="14">
        <x:f>(I12+I7)/2</x:f>
        <x:v>15</x:v>
      </x:c>
      <x:c r="J16" s="14">
        <x:f>(J12+J7)/2</x:f>
        <x:v>15</x:v>
      </x:c>
      <x:c r="K16" s="14">
        <x:f>(K12+K7)/2</x:f>
        <x:v>15</x:v>
      </x:c>
      <x:c r="L16" s="14">
        <x:f>(L12+L7)/2</x:f>
        <x:v>15</x:v>
      </x:c>
      <x:c r="M16" s="14">
        <x:f>(M12+M7)/2</x:f>
        <x:v>15</x:v>
      </x:c>
      <x:c r="N16" s="14">
        <x:f>(N12+N7)/2</x:f>
        <x:v>15</x:v>
      </x:c>
      <x:c r="O16" s="14">
        <x:f>(O12+O7)/2</x:f>
        <x:v>15</x:v>
      </x:c>
    </x:row>
    <x:row r="17">
      <x:c r="A17" s="7" t="inlineStr">
        <x:is>
          <x:t xml:space="preserve">AMSA average MW</x:t>
        </x:is>
      </x:c>
      <x:c r="B17" s="5" t="inlineStr">
        <x:is>
          <x:t xml:space="preserve">MW</x:t>
        </x:is>
      </x:c>
      <x:c r="D17" s="14">
        <x:f>(D13+D8)/2</x:f>
        <x:v>0</x:v>
      </x:c>
      <x:c r="E17" s="14">
        <x:f>(E13+E8)/2</x:f>
        <x:v>0</x:v>
      </x:c>
      <x:c r="F17" s="14">
        <x:f>(F13+F8)/2</x:f>
        <x:v>0</x:v>
      </x:c>
      <x:c r="G17" s="14">
        <x:f>(G13+G8)/2</x:f>
        <x:v>0</x:v>
      </x:c>
      <x:c r="H17" s="14">
        <x:f>(H13+H8)/2</x:f>
        <x:v>0</x:v>
      </x:c>
      <x:c r="I17" s="14">
        <x:f>(I13+I8)/2</x:f>
        <x:v>2.5</x:v>
      </x:c>
      <x:c r="J17" s="14">
        <x:f>(J13+J8)/2</x:f>
        <x:v>5</x:v>
      </x:c>
      <x:c r="K17" s="14">
        <x:f>(K13+K8)/2</x:f>
        <x:v>5</x:v>
      </x:c>
      <x:c r="L17" s="14">
        <x:f>(L13+L8)/2</x:f>
        <x:v>5</x:v>
      </x:c>
      <x:c r="M17" s="14">
        <x:f>(M13+M8)/2</x:f>
        <x:v>5</x:v>
      </x:c>
      <x:c r="N17" s="14">
        <x:f>(N13+N8)/2</x:f>
        <x:v>5</x:v>
      </x:c>
      <x:c r="O17" s="14">
        <x:f>(O13+O8)/2</x:f>
        <x:v>5</x:v>
      </x:c>
    </x:row>
    <x:row r="18">
      <x:c r="A18" s="7" t="inlineStr">
        <x:is>
          <x:t xml:space="preserve">AMSA average solar MW</x:t>
        </x:is>
      </x:c>
      <x:c r="B18" s="5" t="inlineStr">
        <x:is>
          <x:t xml:space="preserve">MW</x:t>
        </x:is>
      </x:c>
      <x:c r="D18" s="14">
        <x:f>(D14+D9)/2</x:f>
        <x:v>0</x:v>
      </x:c>
      <x:c r="E18" s="14">
        <x:f>(E14+E9)/2</x:f>
        <x:v>0</x:v>
      </x:c>
      <x:c r="F18" s="14">
        <x:f>(F14+F9)/2</x:f>
        <x:v>0</x:v>
      </x:c>
      <x:c r="G18" s="14">
        <x:f>(G14+G9)/2</x:f>
        <x:v>0</x:v>
      </x:c>
      <x:c r="H18" s="14">
        <x:f>(H14+H9)/2</x:f>
        <x:v>5</x:v>
      </x:c>
      <x:c r="I18" s="14">
        <x:f>(I14+I9)/2</x:f>
        <x:v>10</x:v>
      </x:c>
      <x:c r="J18" s="14">
        <x:f>(J14+J9)/2</x:f>
        <x:v>10</x:v>
      </x:c>
      <x:c r="K18" s="14">
        <x:f>(K14+K9)/2</x:f>
        <x:v>10</x:v>
      </x:c>
      <x:c r="L18" s="14">
        <x:f>(L14+L9)/2</x:f>
        <x:v>10</x:v>
      </x:c>
      <x:c r="M18" s="14">
        <x:f>(M14+M9)/2</x:f>
        <x:v>10</x:v>
      </x:c>
      <x:c r="N18" s="14">
        <x:f>(N14+N9)/2</x:f>
        <x:v>10</x:v>
      </x:c>
      <x:c r="O18" s="14">
        <x:f>(O14+O9)/2</x:f>
        <x:v>10</x:v>
      </x:c>
    </x:row>
    <x:row r="19">
      <x:c r="A19" s="19" t="inlineStr">
        <x:is>
          <x:t xml:space="preserve">Total average MW</x:t>
        </x:is>
      </x:c>
      <x:c r="B19" s="20" t="inlineStr">
        <x:is>
          <x:t xml:space="preserve">MW</x:t>
        </x:is>
      </x:c>
      <x:c r="C19" s="21" t="n"/>
      <x:c r="D19" s="22">
        <x:f>D16+D17</x:f>
        <x:v>0</x:v>
      </x:c>
      <x:c r="E19" s="22">
        <x:f>E16+E17</x:f>
        <x:v>0</x:v>
      </x:c>
      <x:c r="F19" s="22">
        <x:f>F16+F17</x:f>
        <x:v>2.5</x:v>
      </x:c>
      <x:c r="G19" s="22">
        <x:f>G16+G17</x:f>
        <x:v>7.5</x:v>
      </x:c>
      <x:c r="H19" s="22">
        <x:f>H16+H17</x:f>
        <x:v>12.5</x:v>
      </x:c>
      <x:c r="I19" s="22">
        <x:f>I16+I17</x:f>
        <x:v>17.5</x:v>
      </x:c>
      <x:c r="J19" s="22">
        <x:f>J16+J17</x:f>
        <x:v>20</x:v>
      </x:c>
      <x:c r="K19" s="22">
        <x:f>K16+K17</x:f>
        <x:v>20</x:v>
      </x:c>
      <x:c r="L19" s="22">
        <x:f>L16+L17</x:f>
        <x:v>20</x:v>
      </x:c>
      <x:c r="M19" s="22">
        <x:f>M16+M17</x:f>
        <x:v>20</x:v>
      </x:c>
      <x:c r="N19" s="22">
        <x:f>N16+N17</x:f>
        <x:v>20</x:v>
      </x:c>
      <x:c r="O19" s="22">
        <x:f>O16+O17</x:f>
        <x:v>20</x:v>
      </x:c>
    </x:row>
    <x:row r="21">
      <x:c r="A21" s="7" t="inlineStr">
        <x:is>
          <x:t xml:space="preserve">Grootvlei new MW</x:t>
        </x:is>
      </x:c>
      <x:c r="B21" s="5" t="inlineStr">
        <x:is>
          <x:t xml:space="preserve">MW</x:t>
        </x:is>
      </x:c>
      <x:c r="D21" s="14">
        <x:f>MAX(D7-D12,0)</x:f>
        <x:v>0</x:v>
      </x:c>
      <x:c r="E21" s="14">
        <x:f>MAX(E7-E12,0)</x:f>
        <x:v>0</x:v>
      </x:c>
      <x:c r="F21" s="14">
        <x:f>MAX(F7-F12,0)</x:f>
        <x:v>5</x:v>
      </x:c>
      <x:c r="G21" s="14">
        <x:f>MAX(G7-G12,0)</x:f>
        <x:v>5</x:v>
      </x:c>
      <x:c r="H21" s="14">
        <x:f>MAX(H7-H12,0)</x:f>
        <x:v>5</x:v>
      </x:c>
      <x:c r="I21" s="14">
        <x:f>MAX(I7-I12,0)</x:f>
        <x:v>0</x:v>
      </x:c>
      <x:c r="J21" s="14">
        <x:f>MAX(J7-J12,0)</x:f>
        <x:v>0</x:v>
      </x:c>
      <x:c r="K21" s="14">
        <x:f>MAX(K7-K12,0)</x:f>
        <x:v>0</x:v>
      </x:c>
      <x:c r="L21" s="14">
        <x:f>MAX(L7-L12,0)</x:f>
        <x:v>0</x:v>
      </x:c>
      <x:c r="M21" s="14">
        <x:f>MAX(M7-M12,0)</x:f>
        <x:v>0</x:v>
      </x:c>
      <x:c r="N21" s="14">
        <x:f>MAX(N7-N12,0)</x:f>
        <x:v>0</x:v>
      </x:c>
      <x:c r="O21" s="14">
        <x:f>MAX(O7-O12,0)</x:f>
        <x:v>0</x:v>
      </x:c>
    </x:row>
    <x:row r="22">
      <x:c r="A22" s="7" t="inlineStr">
        <x:is>
          <x:t xml:space="preserve">AMSA new MW</x:t>
        </x:is>
      </x:c>
      <x:c r="B22" s="5" t="inlineStr">
        <x:is>
          <x:t xml:space="preserve">MW</x:t>
        </x:is>
      </x:c>
      <x:c r="D22" s="14">
        <x:f>MAX(D8-D13,0)</x:f>
        <x:v>0</x:v>
      </x:c>
      <x:c r="E22" s="14">
        <x:f>MAX(E8-E13,0)</x:f>
        <x:v>0</x:v>
      </x:c>
      <x:c r="F22" s="14">
        <x:f>MAX(F8-F13,0)</x:f>
        <x:v>0</x:v>
      </x:c>
      <x:c r="G22" s="14">
        <x:f>MAX(G8-G13,0)</x:f>
        <x:v>0</x:v>
      </x:c>
      <x:c r="H22" s="14">
        <x:f>MAX(H8-H13,0)</x:f>
        <x:v>0</x:v>
      </x:c>
      <x:c r="I22" s="14">
        <x:f>MAX(I8-I13,0)</x:f>
        <x:v>5</x:v>
      </x:c>
      <x:c r="J22" s="14">
        <x:f>MAX(J8-J13,0)</x:f>
        <x:v>0</x:v>
      </x:c>
      <x:c r="K22" s="14">
        <x:f>MAX(K8-K13,0)</x:f>
        <x:v>0</x:v>
      </x:c>
      <x:c r="L22" s="14">
        <x:f>MAX(L8-L13,0)</x:f>
        <x:v>0</x:v>
      </x:c>
      <x:c r="M22" s="14">
        <x:f>MAX(M8-M13,0)</x:f>
        <x:v>0</x:v>
      </x:c>
      <x:c r="N22" s="14">
        <x:f>MAX(N8-N13,0)</x:f>
        <x:v>0</x:v>
      </x:c>
      <x:c r="O22" s="14">
        <x:f>MAX(O8-O13,0)</x:f>
        <x:v>0</x:v>
      </x:c>
    </x:row>
    <x:row r="23">
      <x:c r="A23" s="7" t="inlineStr">
        <x:is>
          <x:t xml:space="preserve">AMSA solar new MW</x:t>
        </x:is>
      </x:c>
      <x:c r="B23" s="5" t="inlineStr">
        <x:is>
          <x:t xml:space="preserve">MW</x:t>
        </x:is>
      </x:c>
      <x:c r="D23" s="14">
        <x:f>MAX(D9-D14,0)</x:f>
        <x:v>0</x:v>
      </x:c>
      <x:c r="E23" s="14">
        <x:f>MAX(E9-E14,0)</x:f>
        <x:v>0</x:v>
      </x:c>
      <x:c r="F23" s="14">
        <x:f>MAX(F9-F14,0)</x:f>
        <x:v>0</x:v>
      </x:c>
      <x:c r="G23" s="14">
        <x:f>MAX(G9-G14,0)</x:f>
        <x:v>0</x:v>
      </x:c>
      <x:c r="H23" s="14">
        <x:f>MAX(H9-H14,0)</x:f>
        <x:v>10</x:v>
      </x:c>
      <x:c r="I23" s="14">
        <x:f>MAX(I9-I14,0)</x:f>
        <x:v>0</x:v>
      </x:c>
      <x:c r="J23" s="14">
        <x:f>MAX(J9-J14,0)</x:f>
        <x:v>0</x:v>
      </x:c>
      <x:c r="K23" s="14">
        <x:f>MAX(K9-K14,0)</x:f>
        <x:v>0</x:v>
      </x:c>
      <x:c r="L23" s="14">
        <x:f>MAX(L9-L14,0)</x:f>
        <x:v>0</x:v>
      </x:c>
      <x:c r="M23" s="14">
        <x:f>MAX(M9-M14,0)</x:f>
        <x:v>0</x:v>
      </x:c>
      <x:c r="N23" s="14">
        <x:f>MAX(N9-N14,0)</x:f>
        <x:v>0</x:v>
      </x:c>
      <x:c r="O23" s="14">
        <x:f>MAX(O9-O14,0)</x:f>
        <x:v>0</x:v>
      </x:c>
    </x:row>
    <x:row r="24">
      <x:c r="A24" s="19" t="inlineStr">
        <x:is>
          <x:t xml:space="preserve">Total new MW</x:t>
        </x:is>
      </x:c>
      <x:c r="B24" s="20" t="inlineStr">
        <x:is>
          <x:t xml:space="preserve">MW</x:t>
        </x:is>
      </x:c>
      <x:c r="C24" s="21" t="n"/>
      <x:c r="D24" s="22">
        <x:f>D21+D22</x:f>
        <x:v>0</x:v>
      </x:c>
      <x:c r="E24" s="22">
        <x:f>E21+E22</x:f>
        <x:v>0</x:v>
      </x:c>
      <x:c r="F24" s="22">
        <x:f>F21+F22</x:f>
        <x:v>5</x:v>
      </x:c>
      <x:c r="G24" s="22">
        <x:f>G21+G22</x:f>
        <x:v>5</x:v>
      </x:c>
      <x:c r="H24" s="22">
        <x:f>H21+H22</x:f>
        <x:v>5</x:v>
      </x:c>
      <x:c r="I24" s="22">
        <x:f>I21+I22</x:f>
        <x:v>5</x:v>
      </x:c>
      <x:c r="J24" s="22">
        <x:f>J21+J22</x:f>
        <x:v>0</x:v>
      </x:c>
      <x:c r="K24" s="22">
        <x:f>K21+K22</x:f>
        <x:v>0</x:v>
      </x:c>
      <x:c r="L24" s="22">
        <x:f>L21+L22</x:f>
        <x:v>0</x:v>
      </x:c>
      <x:c r="M24" s="22">
        <x:f>M21+M22</x:f>
        <x:v>0</x:v>
      </x:c>
      <x:c r="N24" s="22">
        <x:f>N21+N22</x:f>
        <x:v>0</x:v>
      </x:c>
      <x:c r="O24" s="22">
        <x:f>O21+O22</x:f>
        <x:v>0</x:v>
      </x:c>
    </x:row>
    <x:row r="26">
      <x:c r="A26" s="7" t="inlineStr">
        <x:is>
          <x:t xml:space="preserve">Grootvlei active site</x:t>
        </x:is>
      </x:c>
      <x:c r="B26" s="5" t="inlineStr">
        <x:is>
          <x:t xml:space="preserve">flag</x:t>
        </x:is>
      </x:c>
      <x:c r="D26" s="23">
        <x:f>IF(D16&gt;0,1,0)</x:f>
        <x:v>0</x:v>
      </x:c>
      <x:c r="E26" s="23">
        <x:f>IF(E16&gt;0,1,0)</x:f>
        <x:v>0</x:v>
      </x:c>
      <x:c r="F26" s="23">
        <x:f>IF(F16&gt;0,1,0)</x:f>
        <x:v>1</x:v>
      </x:c>
      <x:c r="G26" s="23">
        <x:f>IF(G16&gt;0,1,0)</x:f>
        <x:v>1</x:v>
      </x:c>
      <x:c r="H26" s="23">
        <x:f>IF(H16&gt;0,1,0)</x:f>
        <x:v>1</x:v>
      </x:c>
      <x:c r="I26" s="23">
        <x:f>IF(I16&gt;0,1,0)</x:f>
        <x:v>1</x:v>
      </x:c>
      <x:c r="J26" s="23">
        <x:f>IF(J16&gt;0,1,0)</x:f>
        <x:v>1</x:v>
      </x:c>
      <x:c r="K26" s="23">
        <x:f>IF(K16&gt;0,1,0)</x:f>
        <x:v>1</x:v>
      </x:c>
      <x:c r="L26" s="23">
        <x:f>IF(L16&gt;0,1,0)</x:f>
        <x:v>1</x:v>
      </x:c>
      <x:c r="M26" s="23">
        <x:f>IF(M16&gt;0,1,0)</x:f>
        <x:v>1</x:v>
      </x:c>
      <x:c r="N26" s="23">
        <x:f>IF(N16&gt;0,1,0)</x:f>
        <x:v>1</x:v>
      </x:c>
      <x:c r="O26" s="23">
        <x:f>IF(O16&gt;0,1,0)</x:f>
        <x:v>1</x:v>
      </x:c>
    </x:row>
    <x:row r="27">
      <x:c r="A27" s="7" t="inlineStr">
        <x:is>
          <x:t xml:space="preserve">AMSA active site</x:t>
        </x:is>
      </x:c>
      <x:c r="B27" s="5" t="inlineStr">
        <x:is>
          <x:t xml:space="preserve">flag</x:t>
        </x:is>
      </x:c>
      <x:c r="D27" s="23">
        <x:f>IF(D17&gt;0,1,0)</x:f>
        <x:v>0</x:v>
      </x:c>
      <x:c r="E27" s="23">
        <x:f>IF(E17&gt;0,1,0)</x:f>
        <x:v>0</x:v>
      </x:c>
      <x:c r="F27" s="23">
        <x:f>IF(F17&gt;0,1,0)</x:f>
        <x:v>0</x:v>
      </x:c>
      <x:c r="G27" s="23">
        <x:f>IF(G17&gt;0,1,0)</x:f>
        <x:v>0</x:v>
      </x:c>
      <x:c r="H27" s="23">
        <x:f>IF(H17&gt;0,1,0)</x:f>
        <x:v>0</x:v>
      </x:c>
      <x:c r="I27" s="23">
        <x:f>IF(I17&gt;0,1,0)</x:f>
        <x:v>1</x:v>
      </x:c>
      <x:c r="J27" s="23">
        <x:f>IF(J17&gt;0,1,0)</x:f>
        <x:v>1</x:v>
      </x:c>
      <x:c r="K27" s="23">
        <x:f>IF(K17&gt;0,1,0)</x:f>
        <x:v>1</x:v>
      </x:c>
      <x:c r="L27" s="23">
        <x:f>IF(L17&gt;0,1,0)</x:f>
        <x:v>1</x:v>
      </x:c>
      <x:c r="M27" s="23">
        <x:f>IF(M17&gt;0,1,0)</x:f>
        <x:v>1</x:v>
      </x:c>
      <x:c r="N27" s="23">
        <x:f>IF(N17&gt;0,1,0)</x:f>
        <x:v>1</x:v>
      </x:c>
      <x:c r="O27" s="23">
        <x:f>IF(O17&gt;0,1,0)</x:f>
        <x:v>1</x:v>
      </x:c>
    </x:row>
    <x:row r="28">
      <x:c r="A28" s="19" t="inlineStr">
        <x:is>
          <x:t xml:space="preserve">Total active sites</x:t>
        </x:is>
      </x:c>
      <x:c r="B28" s="20" t="inlineStr">
        <x:is>
          <x:t xml:space="preserve">count</x:t>
        </x:is>
      </x:c>
      <x:c r="C28" s="21" t="n"/>
      <x:c r="D28" s="24">
        <x:f>D26+D27</x:f>
        <x:v>0</x:v>
      </x:c>
      <x:c r="E28" s="24">
        <x:f>E26+E27</x:f>
        <x:v>0</x:v>
      </x:c>
      <x:c r="F28" s="24">
        <x:f>F26+F27</x:f>
        <x:v>1</x:v>
      </x:c>
      <x:c r="G28" s="24">
        <x:f>G26+G27</x:f>
        <x:v>1</x:v>
      </x:c>
      <x:c r="H28" s="24">
        <x:f>H26+H27</x:f>
        <x:v>1</x:v>
      </x:c>
      <x:c r="I28" s="24">
        <x:f>I26+I27</x:f>
        <x:v>2</x:v>
      </x:c>
      <x:c r="J28" s="24">
        <x:f>J26+J27</x:f>
        <x:v>2</x:v>
      </x:c>
      <x:c r="K28" s="24">
        <x:f>K26+K27</x:f>
        <x:v>2</x:v>
      </x:c>
      <x:c r="L28" s="24">
        <x:f>L26+L27</x:f>
        <x:v>2</x:v>
      </x:c>
      <x:c r="M28" s="24">
        <x:f>M26+M27</x:f>
        <x:v>2</x:v>
      </x:c>
      <x:c r="N28" s="24">
        <x:f>N26+N27</x:f>
        <x:v>2</x:v>
      </x:c>
      <x:c r="O28" s="24">
        <x:f>O26+O27</x:f>
        <x:v>2</x:v>
      </x:c>
    </x:row>
    <x:row r="30">
      <x:c r="A30" s="7" t="inlineStr">
        <x:is>
          <x:t xml:space="preserve">Grootvlei site start</x:t>
        </x:is>
      </x:c>
      <x:c r="B30" s="5" t="inlineStr">
        <x:is>
          <x:t xml:space="preserve">flag</x:t>
        </x:is>
      </x:c>
      <x:c r="D30" s="23">
        <x:f>IF(D12=0,IF(D7&gt;0,1,0),0)</x:f>
        <x:v>0</x:v>
      </x:c>
      <x:c r="E30" s="23">
        <x:f>IF(E12=0,IF(E7&gt;0,1,0),0)</x:f>
        <x:v>0</x:v>
      </x:c>
      <x:c r="F30" s="23">
        <x:f>IF(F12=0,IF(F7&gt;0,1,0),0)</x:f>
        <x:v>1</x:v>
      </x:c>
      <x:c r="G30" s="23">
        <x:f>IF(G12=0,IF(G7&gt;0,1,0),0)</x:f>
        <x:v>0</x:v>
      </x:c>
      <x:c r="H30" s="23">
        <x:f>IF(H12=0,IF(H7&gt;0,1,0),0)</x:f>
        <x:v>0</x:v>
      </x:c>
      <x:c r="I30" s="23">
        <x:f>IF(I12=0,IF(I7&gt;0,1,0),0)</x:f>
        <x:v>0</x:v>
      </x:c>
      <x:c r="J30" s="23">
        <x:f>IF(J12=0,IF(J7&gt;0,1,0),0)</x:f>
        <x:v>0</x:v>
      </x:c>
      <x:c r="K30" s="23">
        <x:f>IF(K12=0,IF(K7&gt;0,1,0),0)</x:f>
        <x:v>0</x:v>
      </x:c>
      <x:c r="L30" s="23">
        <x:f>IF(L12=0,IF(L7&gt;0,1,0),0)</x:f>
        <x:v>0</x:v>
      </x:c>
      <x:c r="M30" s="23">
        <x:f>IF(M12=0,IF(M7&gt;0,1,0),0)</x:f>
        <x:v>0</x:v>
      </x:c>
      <x:c r="N30" s="23">
        <x:f>IF(N12=0,IF(N7&gt;0,1,0),0)</x:f>
        <x:v>0</x:v>
      </x:c>
      <x:c r="O30" s="23">
        <x:f>IF(O12=0,IF(O7&gt;0,1,0),0)</x:f>
        <x:v>0</x:v>
      </x:c>
    </x:row>
    <x:row r="31">
      <x:c r="A31" s="7" t="inlineStr">
        <x:is>
          <x:t xml:space="preserve">AMSA site start</x:t>
        </x:is>
      </x:c>
      <x:c r="B31" s="5" t="inlineStr">
        <x:is>
          <x:t xml:space="preserve">flag</x:t>
        </x:is>
      </x:c>
      <x:c r="D31" s="23">
        <x:f>IF(D13=0,IF(D8&gt;0,1,0),0)</x:f>
        <x:v>0</x:v>
      </x:c>
      <x:c r="E31" s="23">
        <x:f>IF(E13=0,IF(E8&gt;0,1,0),0)</x:f>
        <x:v>0</x:v>
      </x:c>
      <x:c r="F31" s="23">
        <x:f>IF(F13=0,IF(F8&gt;0,1,0),0)</x:f>
        <x:v>0</x:v>
      </x:c>
      <x:c r="G31" s="23">
        <x:f>IF(G13=0,IF(G8&gt;0,1,0),0)</x:f>
        <x:v>0</x:v>
      </x:c>
      <x:c r="H31" s="23">
        <x:f>IF(H13=0,IF(H8&gt;0,1,0),0)</x:f>
        <x:v>0</x:v>
      </x:c>
      <x:c r="I31" s="23">
        <x:f>IF(I13=0,IF(I8&gt;0,1,0),0)</x:f>
        <x:v>1</x:v>
      </x:c>
      <x:c r="J31" s="23">
        <x:f>IF(J13=0,IF(J8&gt;0,1,0),0)</x:f>
        <x:v>0</x:v>
      </x:c>
      <x:c r="K31" s="23">
        <x:f>IF(K13=0,IF(K8&gt;0,1,0),0)</x:f>
        <x:v>0</x:v>
      </x:c>
      <x:c r="L31" s="23">
        <x:f>IF(L13=0,IF(L8&gt;0,1,0),0)</x:f>
        <x:v>0</x:v>
      </x:c>
      <x:c r="M31" s="23">
        <x:f>IF(M13=0,IF(M8&gt;0,1,0),0)</x:f>
        <x:v>0</x:v>
      </x:c>
      <x:c r="N31" s="23">
        <x:f>IF(N13=0,IF(N8&gt;0,1,0),0)</x:f>
        <x:v>0</x:v>
      </x:c>
      <x:c r="O31" s="23">
        <x:f>IF(O13=0,IF(O8&gt;0,1,0),0)</x:f>
        <x:v>0</x:v>
      </x:c>
    </x:row>
    <x:row r="32">
      <x:c r="A32" s="19" t="inlineStr">
        <x:is>
          <x:t xml:space="preserve">Total site starts</x:t>
        </x:is>
      </x:c>
      <x:c r="B32" s="20" t="inlineStr">
        <x:is>
          <x:t xml:space="preserve">count</x:t>
        </x:is>
      </x:c>
      <x:c r="C32" s="21" t="n"/>
      <x:c r="D32" s="24">
        <x:f>D30+D31</x:f>
        <x:v>0</x:v>
      </x:c>
      <x:c r="E32" s="24">
        <x:f>E30+E31</x:f>
        <x:v>0</x:v>
      </x:c>
      <x:c r="F32" s="24">
        <x:f>F30+F31</x:f>
        <x:v>1</x:v>
      </x:c>
      <x:c r="G32" s="24">
        <x:f>G30+G31</x:f>
        <x:v>0</x:v>
      </x:c>
      <x:c r="H32" s="24">
        <x:f>H30+H31</x:f>
        <x:v>0</x:v>
      </x:c>
      <x:c r="I32" s="24">
        <x:f>I30+I31</x:f>
        <x:v>1</x:v>
      </x:c>
      <x:c r="J32" s="24">
        <x:f>J30+J31</x:f>
        <x:v>0</x:v>
      </x:c>
      <x:c r="K32" s="24">
        <x:f>K30+K31</x:f>
        <x:v>0</x:v>
      </x:c>
      <x:c r="L32" s="24">
        <x:f>L30+L31</x:f>
        <x:v>0</x:v>
      </x:c>
      <x:c r="M32" s="24">
        <x:f>M30+M31</x:f>
        <x:v>0</x:v>
      </x:c>
      <x:c r="N32" s="24">
        <x:f>N30+N31</x:f>
        <x:v>0</x:v>
      </x:c>
      <x:c r="O32" s="24">
        <x:f>O30+O31</x:f>
        <x:v>0</x:v>
      </x:c>
    </x:row>
    <x:row r="34">
      <x:c r="A34" s="7" t="inlineStr">
        <x:is>
          <x:t xml:space="preserve">Grootvlei closing containers</x:t>
        </x:is>
      </x:c>
      <x:c r="B34" s="5" t="inlineStr">
        <x:is>
          <x:t xml:space="preserve">containers</x:t>
        </x:is>
      </x:c>
      <x:c r="D34" s="14">
        <x:f>ROUNDUP(D7/Control!$C$37,0)</x:f>
        <x:v>0</x:v>
      </x:c>
      <x:c r="E34" s="14">
        <x:f>ROUNDUP(E7/Control!$C$37,0)</x:f>
        <x:v>0</x:v>
      </x:c>
      <x:c r="F34" s="14">
        <x:f>ROUNDUP(F7/Control!$C$37,0)</x:f>
        <x:v>3</x:v>
      </x:c>
      <x:c r="G34" s="14">
        <x:f>ROUNDUP(G7/Control!$C$37,0)</x:f>
        <x:v>5</x:v>
      </x:c>
      <x:c r="H34" s="14">
        <x:f>ROUNDUP(H7/Control!$C$37,0)</x:f>
        <x:v>7</x:v>
      </x:c>
      <x:c r="I34" s="14">
        <x:f>ROUNDUP(I7/Control!$C$37,0)</x:f>
        <x:v>7</x:v>
      </x:c>
      <x:c r="J34" s="14">
        <x:f>ROUNDUP(J7/Control!$C$37,0)</x:f>
        <x:v>7</x:v>
      </x:c>
      <x:c r="K34" s="14">
        <x:f>ROUNDUP(K7/Control!$C$37,0)</x:f>
        <x:v>7</x:v>
      </x:c>
      <x:c r="L34" s="14">
        <x:f>ROUNDUP(L7/Control!$C$37,0)</x:f>
        <x:v>7</x:v>
      </x:c>
      <x:c r="M34" s="14">
        <x:f>ROUNDUP(M7/Control!$C$37,0)</x:f>
        <x:v>7</x:v>
      </x:c>
      <x:c r="N34" s="14">
        <x:f>ROUNDUP(N7/Control!$C$37,0)</x:f>
        <x:v>7</x:v>
      </x:c>
      <x:c r="O34" s="14">
        <x:f>ROUNDUP(O7/Control!$C$37,0)</x:f>
        <x:v>7</x:v>
      </x:c>
    </x:row>
    <x:row r="35">
      <x:c r="A35" s="7" t="inlineStr">
        <x:is>
          <x:t xml:space="preserve">AMSA closing containers</x:t>
        </x:is>
      </x:c>
      <x:c r="B35" s="5" t="inlineStr">
        <x:is>
          <x:t xml:space="preserve">containers</x:t>
        </x:is>
      </x:c>
      <x:c r="D35" s="14">
        <x:f>ROUNDUP(D8/Control!$C$37,0)</x:f>
        <x:v>0</x:v>
      </x:c>
      <x:c r="E35" s="14">
        <x:f>ROUNDUP(E8/Control!$C$37,0)</x:f>
        <x:v>0</x:v>
      </x:c>
      <x:c r="F35" s="14">
        <x:f>ROUNDUP(F8/Control!$C$37,0)</x:f>
        <x:v>0</x:v>
      </x:c>
      <x:c r="G35" s="14">
        <x:f>ROUNDUP(G8/Control!$C$37,0)</x:f>
        <x:v>0</x:v>
      </x:c>
      <x:c r="H35" s="14">
        <x:f>ROUNDUP(H8/Control!$C$37,0)</x:f>
        <x:v>0</x:v>
      </x:c>
      <x:c r="I35" s="14">
        <x:f>ROUNDUP(I8/Control!$C$37,0)</x:f>
        <x:v>3</x:v>
      </x:c>
      <x:c r="J35" s="14">
        <x:f>ROUNDUP(J8/Control!$C$37,0)</x:f>
        <x:v>3</x:v>
      </x:c>
      <x:c r="K35" s="14">
        <x:f>ROUNDUP(K8/Control!$C$37,0)</x:f>
        <x:v>3</x:v>
      </x:c>
      <x:c r="L35" s="14">
        <x:f>ROUNDUP(L8/Control!$C$37,0)</x:f>
        <x:v>3</x:v>
      </x:c>
      <x:c r="M35" s="14">
        <x:f>ROUNDUP(M8/Control!$C$37,0)</x:f>
        <x:v>3</x:v>
      </x:c>
      <x:c r="N35" s="14">
        <x:f>ROUNDUP(N8/Control!$C$37,0)</x:f>
        <x:v>3</x:v>
      </x:c>
      <x:c r="O35" s="14">
        <x:f>ROUNDUP(O8/Control!$C$37,0)</x:f>
        <x:v>3</x:v>
      </x:c>
    </x:row>
    <x:row r="36">
      <x:c r="A36" s="19" t="inlineStr">
        <x:is>
          <x:t xml:space="preserve">Total closing containers</x:t>
        </x:is>
      </x:c>
      <x:c r="B36" s="20" t="inlineStr">
        <x:is>
          <x:t xml:space="preserve">containers</x:t>
        </x:is>
      </x:c>
      <x:c r="C36" s="21" t="n"/>
      <x:c r="D36" s="22">
        <x:f>D34+D35</x:f>
        <x:v>0</x:v>
      </x:c>
      <x:c r="E36" s="22">
        <x:f>E34+E35</x:f>
        <x:v>0</x:v>
      </x:c>
      <x:c r="F36" s="22">
        <x:f>F34+F35</x:f>
        <x:v>3</x:v>
      </x:c>
      <x:c r="G36" s="22">
        <x:f>G34+G35</x:f>
        <x:v>5</x:v>
      </x:c>
      <x:c r="H36" s="22">
        <x:f>H34+H35</x:f>
        <x:v>7</x:v>
      </x:c>
      <x:c r="I36" s="22">
        <x:f>I34+I35</x:f>
        <x:v>10</x:v>
      </x:c>
      <x:c r="J36" s="22">
        <x:f>J34+J35</x:f>
        <x:v>10</x:v>
      </x:c>
      <x:c r="K36" s="22">
        <x:f>K34+K35</x:f>
        <x:v>10</x:v>
      </x:c>
      <x:c r="L36" s="22">
        <x:f>L34+L35</x:f>
        <x:v>10</x:v>
      </x:c>
      <x:c r="M36" s="22">
        <x:f>M34+M35</x:f>
        <x:v>10</x:v>
      </x:c>
      <x:c r="N36" s="22">
        <x:f>N34+N35</x:f>
        <x:v>10</x:v>
      </x:c>
      <x:c r="O36" s="22">
        <x:f>O34+O35</x:f>
        <x:v>10</x:v>
      </x:c>
    </x:row>
    <x:row r="38">
      <x:c r="A38" s="7" t="inlineStr">
        <x:is>
          <x:t xml:space="preserve">Grootvlei opening containers</x:t>
        </x:is>
      </x:c>
      <x:c r="B38" s="5" t="inlineStr">
        <x:is>
          <x:t xml:space="preserve">containers</x:t>
        </x:is>
      </x:c>
      <x:c r="D38" s="14" t="n">
        <x:v>0</x:v>
      </x:c>
      <x:c r="E38" s="14">
        <x:f>D34</x:f>
        <x:v>0</x:v>
      </x:c>
      <x:c r="F38" s="14">
        <x:f>E34</x:f>
        <x:v>0</x:v>
      </x:c>
      <x:c r="G38" s="14">
        <x:f>F34</x:f>
        <x:v>3</x:v>
      </x:c>
      <x:c r="H38" s="14">
        <x:f>G34</x:f>
        <x:v>5</x:v>
      </x:c>
      <x:c r="I38" s="14">
        <x:f>H34</x:f>
        <x:v>7</x:v>
      </x:c>
      <x:c r="J38" s="14">
        <x:f>I34</x:f>
        <x:v>7</x:v>
      </x:c>
      <x:c r="K38" s="14">
        <x:f>J34</x:f>
        <x:v>7</x:v>
      </x:c>
      <x:c r="L38" s="14">
        <x:f>K34</x:f>
        <x:v>7</x:v>
      </x:c>
      <x:c r="M38" s="14">
        <x:f>L34</x:f>
        <x:v>7</x:v>
      </x:c>
      <x:c r="N38" s="14">
        <x:f>M34</x:f>
        <x:v>7</x:v>
      </x:c>
      <x:c r="O38" s="14">
        <x:f>N34</x:f>
        <x:v>7</x:v>
      </x:c>
    </x:row>
    <x:row r="39">
      <x:c r="A39" s="7" t="inlineStr">
        <x:is>
          <x:t xml:space="preserve">AMSA opening containers</x:t>
        </x:is>
      </x:c>
      <x:c r="B39" s="5" t="inlineStr">
        <x:is>
          <x:t xml:space="preserve">containers</x:t>
        </x:is>
      </x:c>
      <x:c r="D39" s="14" t="n">
        <x:v>0</x:v>
      </x:c>
      <x:c r="E39" s="14">
        <x:f>D35</x:f>
        <x:v>0</x:v>
      </x:c>
      <x:c r="F39" s="14">
        <x:f>E35</x:f>
        <x:v>0</x:v>
      </x:c>
      <x:c r="G39" s="14">
        <x:f>F35</x:f>
        <x:v>0</x:v>
      </x:c>
      <x:c r="H39" s="14">
        <x:f>G35</x:f>
        <x:v>0</x:v>
      </x:c>
      <x:c r="I39" s="14">
        <x:f>H35</x:f>
        <x:v>0</x:v>
      </x:c>
      <x:c r="J39" s="14">
        <x:f>I35</x:f>
        <x:v>3</x:v>
      </x:c>
      <x:c r="K39" s="14">
        <x:f>J35</x:f>
        <x:v>3</x:v>
      </x:c>
      <x:c r="L39" s="14">
        <x:f>K35</x:f>
        <x:v>3</x:v>
      </x:c>
      <x:c r="M39" s="14">
        <x:f>L35</x:f>
        <x:v>3</x:v>
      </x:c>
      <x:c r="N39" s="14">
        <x:f>M35</x:f>
        <x:v>3</x:v>
      </x:c>
      <x:c r="O39" s="14">
        <x:f>N35</x:f>
        <x:v>3</x:v>
      </x:c>
    </x:row>
    <x:row r="40">
      <x:c r="A40" s="19" t="inlineStr">
        <x:is>
          <x:t xml:space="preserve">Total opening containers</x:t>
        </x:is>
      </x:c>
      <x:c r="B40" s="20" t="inlineStr">
        <x:is>
          <x:t xml:space="preserve">containers</x:t>
        </x:is>
      </x:c>
      <x:c r="C40" s="21" t="n"/>
      <x:c r="D40" s="22">
        <x:f>D38+D39</x:f>
        <x:v>0</x:v>
      </x:c>
      <x:c r="E40" s="22">
        <x:f>E38+E39</x:f>
        <x:v>0</x:v>
      </x:c>
      <x:c r="F40" s="22">
        <x:f>F38+F39</x:f>
        <x:v>0</x:v>
      </x:c>
      <x:c r="G40" s="22">
        <x:f>G38+G39</x:f>
        <x:v>3</x:v>
      </x:c>
      <x:c r="H40" s="22">
        <x:f>H38+H39</x:f>
        <x:v>5</x:v>
      </x:c>
      <x:c r="I40" s="22">
        <x:f>I38+I39</x:f>
        <x:v>7</x:v>
      </x:c>
      <x:c r="J40" s="22">
        <x:f>J38+J39</x:f>
        <x:v>10</x:v>
      </x:c>
      <x:c r="K40" s="22">
        <x:f>K38+K39</x:f>
        <x:v>10</x:v>
      </x:c>
      <x:c r="L40" s="22">
        <x:f>L38+L39</x:f>
        <x:v>10</x:v>
      </x:c>
      <x:c r="M40" s="22">
        <x:f>M38+M39</x:f>
        <x:v>10</x:v>
      </x:c>
      <x:c r="N40" s="22">
        <x:f>N38+N39</x:f>
        <x:v>10</x:v>
      </x:c>
      <x:c r="O40" s="22">
        <x:f>O38+O39</x:f>
        <x:v>10</x:v>
      </x:c>
    </x:row>
    <x:row r="42">
      <x:c r="A42" s="7" t="inlineStr">
        <x:is>
          <x:t xml:space="preserve">Grootvlei new containers</x:t>
        </x:is>
      </x:c>
      <x:c r="B42" s="5" t="inlineStr">
        <x:is>
          <x:t xml:space="preserve">containers</x:t>
        </x:is>
      </x:c>
      <x:c r="D42" s="14">
        <x:f>MAX(D34-D38,0)</x:f>
        <x:v>0</x:v>
      </x:c>
      <x:c r="E42" s="14">
        <x:f>MAX(E34-E38,0)</x:f>
        <x:v>0</x:v>
      </x:c>
      <x:c r="F42" s="14">
        <x:f>MAX(F34-F38,0)</x:f>
        <x:v>3</x:v>
      </x:c>
      <x:c r="G42" s="14">
        <x:f>MAX(G34-G38,0)</x:f>
        <x:v>2</x:v>
      </x:c>
      <x:c r="H42" s="14">
        <x:f>MAX(H34-H38,0)</x:f>
        <x:v>2</x:v>
      </x:c>
      <x:c r="I42" s="14">
        <x:f>MAX(I34-I38,0)</x:f>
        <x:v>0</x:v>
      </x:c>
      <x:c r="J42" s="14">
        <x:f>MAX(J34-J38,0)</x:f>
        <x:v>0</x:v>
      </x:c>
      <x:c r="K42" s="14">
        <x:f>MAX(K34-K38,0)</x:f>
        <x:v>0</x:v>
      </x:c>
      <x:c r="L42" s="14">
        <x:f>MAX(L34-L38,0)</x:f>
        <x:v>0</x:v>
      </x:c>
      <x:c r="M42" s="14">
        <x:f>MAX(M34-M38,0)</x:f>
        <x:v>0</x:v>
      </x:c>
      <x:c r="N42" s="14">
        <x:f>MAX(N34-N38,0)</x:f>
        <x:v>0</x:v>
      </x:c>
      <x:c r="O42" s="14">
        <x:f>MAX(O34-O38,0)</x:f>
        <x:v>0</x:v>
      </x:c>
    </x:row>
    <x:row r="43">
      <x:c r="A43" s="7" t="inlineStr">
        <x:is>
          <x:t xml:space="preserve">AMSA new containers</x:t>
        </x:is>
      </x:c>
      <x:c r="B43" s="5" t="inlineStr">
        <x:is>
          <x:t xml:space="preserve">containers</x:t>
        </x:is>
      </x:c>
      <x:c r="D43" s="14">
        <x:f>MAX(D35-D39,0)</x:f>
        <x:v>0</x:v>
      </x:c>
      <x:c r="E43" s="14">
        <x:f>MAX(E35-E39,0)</x:f>
        <x:v>0</x:v>
      </x:c>
      <x:c r="F43" s="14">
        <x:f>MAX(F35-F39,0)</x:f>
        <x:v>0</x:v>
      </x:c>
      <x:c r="G43" s="14">
        <x:f>MAX(G35-G39,0)</x:f>
        <x:v>0</x:v>
      </x:c>
      <x:c r="H43" s="14">
        <x:f>MAX(H35-H39,0)</x:f>
        <x:v>0</x:v>
      </x:c>
      <x:c r="I43" s="14">
        <x:f>MAX(I35-I39,0)</x:f>
        <x:v>3</x:v>
      </x:c>
      <x:c r="J43" s="14">
        <x:f>MAX(J35-J39,0)</x:f>
        <x:v>0</x:v>
      </x:c>
      <x:c r="K43" s="14">
        <x:f>MAX(K35-K39,0)</x:f>
        <x:v>0</x:v>
      </x:c>
      <x:c r="L43" s="14">
        <x:f>MAX(L35-L39,0)</x:f>
        <x:v>0</x:v>
      </x:c>
      <x:c r="M43" s="14">
        <x:f>MAX(M35-M39,0)</x:f>
        <x:v>0</x:v>
      </x:c>
      <x:c r="N43" s="14">
        <x:f>MAX(N35-N39,0)</x:f>
        <x:v>0</x:v>
      </x:c>
      <x:c r="O43" s="14">
        <x:f>MAX(O35-O39,0)</x:f>
        <x:v>0</x:v>
      </x:c>
    </x:row>
    <x:row r="44">
      <x:c r="A44" s="19" t="inlineStr">
        <x:is>
          <x:t xml:space="preserve">Total new containers</x:t>
        </x:is>
      </x:c>
      <x:c r="B44" s="20" t="inlineStr">
        <x:is>
          <x:t xml:space="preserve">containers</x:t>
        </x:is>
      </x:c>
      <x:c r="C44" s="21" t="n"/>
      <x:c r="D44" s="22">
        <x:f>D42+D43</x:f>
        <x:v>0</x:v>
      </x:c>
      <x:c r="E44" s="22">
        <x:f>E42+E43</x:f>
        <x:v>0</x:v>
      </x:c>
      <x:c r="F44" s="22">
        <x:f>F42+F43</x:f>
        <x:v>3</x:v>
      </x:c>
      <x:c r="G44" s="22">
        <x:f>G42+G43</x:f>
        <x:v>2</x:v>
      </x:c>
      <x:c r="H44" s="22">
        <x:f>H42+H43</x:f>
        <x:v>2</x:v>
      </x:c>
      <x:c r="I44" s="22">
        <x:f>I42+I43</x:f>
        <x:v>3</x:v>
      </x:c>
      <x:c r="J44" s="22">
        <x:f>J42+J43</x:f>
        <x:v>0</x:v>
      </x:c>
      <x:c r="K44" s="22">
        <x:f>K42+K43</x:f>
        <x:v>0</x:v>
      </x:c>
      <x:c r="L44" s="22">
        <x:f>L42+L43</x:f>
        <x:v>0</x:v>
      </x:c>
      <x:c r="M44" s="22">
        <x:f>M42+M43</x:f>
        <x:v>0</x:v>
      </x:c>
      <x:c r="N44" s="22">
        <x:f>N42+N43</x:f>
        <x:v>0</x:v>
      </x:c>
      <x:c r="O44" s="22">
        <x:f>O42+O43</x:f>
        <x:v>0</x:v>
      </x:c>
    </x:row>
    <x:row r="46">
      <x:c r="A46" s="7" t="inlineStr">
        <x:is>
          <x:t xml:space="preserve">Grootvlei closing site FTE</x:t>
        </x:is>
      </x:c>
      <x:c r="B46" s="5" t="inlineStr">
        <x:is>
          <x:t xml:space="preserve">FTE</x:t>
        </x:is>
      </x:c>
      <x:c r="D46" s="14">
        <x:f>D26*Control!$C$54+D7*Control!$C$56+D7*Control!$C$58</x:f>
        <x:v>0</x:v>
      </x:c>
      <x:c r="E46" s="14">
        <x:f>E26*Control!$C$54+E7*Control!$C$56+E7*Control!$C$58</x:f>
        <x:v>0</x:v>
      </x:c>
      <x:c r="F46" s="14">
        <x:f>F26*Control!$C$54+F7*Control!$C$56+F7*Control!$C$58</x:f>
        <x:v>4.15</x:v>
      </x:c>
      <x:c r="G46" s="14">
        <x:f>G26*Control!$C$54+G7*Control!$C$56+G7*Control!$C$58</x:f>
        <x:v>6.3</x:v>
      </x:c>
      <x:c r="H46" s="14">
        <x:f>H26*Control!$C$54+H7*Control!$C$56+H7*Control!$C$58</x:f>
        <x:v>8.45</x:v>
      </x:c>
      <x:c r="I46" s="14">
        <x:f>I26*Control!$C$54+I7*Control!$C$56+I7*Control!$C$58</x:f>
        <x:v>8.45</x:v>
      </x:c>
      <x:c r="J46" s="14">
        <x:f>J26*Control!$C$54+J7*Control!$C$56+J7*Control!$C$58</x:f>
        <x:v>8.45</x:v>
      </x:c>
      <x:c r="K46" s="14">
        <x:f>K26*Control!$C$54+K7*Control!$C$56+K7*Control!$C$58</x:f>
        <x:v>8.45</x:v>
      </x:c>
      <x:c r="L46" s="14">
        <x:f>L26*Control!$C$54+L7*Control!$C$56+L7*Control!$C$58</x:f>
        <x:v>8.45</x:v>
      </x:c>
      <x:c r="M46" s="14">
        <x:f>M26*Control!$C$54+M7*Control!$C$56+M7*Control!$C$58</x:f>
        <x:v>8.45</x:v>
      </x:c>
      <x:c r="N46" s="14">
        <x:f>N26*Control!$C$54+N7*Control!$C$56+N7*Control!$C$58</x:f>
        <x:v>8.45</x:v>
      </x:c>
      <x:c r="O46" s="14">
        <x:f>O26*Control!$C$54+O7*Control!$C$56+O7*Control!$C$58</x:f>
        <x:v>8.45</x:v>
      </x:c>
    </x:row>
    <x:row r="47">
      <x:c r="A47" s="7" t="inlineStr">
        <x:is>
          <x:t xml:space="preserve">AMSA closing site FTE</x:t>
        </x:is>
      </x:c>
      <x:c r="B47" s="5" t="inlineStr">
        <x:is>
          <x:t xml:space="preserve">FTE</x:t>
        </x:is>
      </x:c>
      <x:c r="D47" s="14">
        <x:f>D27*Control!$C$54+D8*Control!$C$56+D8*Control!$C$58</x:f>
        <x:v>0</x:v>
      </x:c>
      <x:c r="E47" s="14">
        <x:f>E27*Control!$C$54+E8*Control!$C$56+E8*Control!$C$58</x:f>
        <x:v>0</x:v>
      </x:c>
      <x:c r="F47" s="14">
        <x:f>F27*Control!$C$54+F8*Control!$C$56+F8*Control!$C$58</x:f>
        <x:v>0</x:v>
      </x:c>
      <x:c r="G47" s="14">
        <x:f>G27*Control!$C$54+G8*Control!$C$56+G8*Control!$C$58</x:f>
        <x:v>0</x:v>
      </x:c>
      <x:c r="H47" s="14">
        <x:f>H27*Control!$C$54+H8*Control!$C$56+H8*Control!$C$58</x:f>
        <x:v>0</x:v>
      </x:c>
      <x:c r="I47" s="14">
        <x:f>I27*Control!$C$54+I8*Control!$C$56+I8*Control!$C$58</x:f>
        <x:v>4.15</x:v>
      </x:c>
      <x:c r="J47" s="14">
        <x:f>J27*Control!$C$54+J8*Control!$C$56+J8*Control!$C$58</x:f>
        <x:v>4.15</x:v>
      </x:c>
      <x:c r="K47" s="14">
        <x:f>K27*Control!$C$54+K8*Control!$C$56+K8*Control!$C$58</x:f>
        <x:v>4.15</x:v>
      </x:c>
      <x:c r="L47" s="14">
        <x:f>L27*Control!$C$54+L8*Control!$C$56+L8*Control!$C$58</x:f>
        <x:v>4.15</x:v>
      </x:c>
      <x:c r="M47" s="14">
        <x:f>M27*Control!$C$54+M8*Control!$C$56+M8*Control!$C$58</x:f>
        <x:v>4.15</x:v>
      </x:c>
      <x:c r="N47" s="14">
        <x:f>N27*Control!$C$54+N8*Control!$C$56+N8*Control!$C$58</x:f>
        <x:v>4.15</x:v>
      </x:c>
      <x:c r="O47" s="14">
        <x:f>O27*Control!$C$54+O8*Control!$C$56+O8*Control!$C$58</x:f>
        <x:v>4.15</x:v>
      </x:c>
    </x:row>
    <x:row r="48">
      <x:c r="A48" s="19" t="inlineStr">
        <x:is>
          <x:t xml:space="preserve">Total closing site FTE</x:t>
        </x:is>
      </x:c>
      <x:c r="B48" s="20" t="inlineStr">
        <x:is>
          <x:t xml:space="preserve">FTE</x:t>
        </x:is>
      </x:c>
      <x:c r="C48" s="21" t="n"/>
      <x:c r="D48" s="22">
        <x:f>D46+D47</x:f>
        <x:v>0</x:v>
      </x:c>
      <x:c r="E48" s="22">
        <x:f>E46+E47</x:f>
        <x:v>0</x:v>
      </x:c>
      <x:c r="F48" s="22">
        <x:f>F46+F47</x:f>
        <x:v>4.15</x:v>
      </x:c>
      <x:c r="G48" s="22">
        <x:f>G46+G47</x:f>
        <x:v>6.3</x:v>
      </x:c>
      <x:c r="H48" s="22">
        <x:f>H46+H47</x:f>
        <x:v>8.45</x:v>
      </x:c>
      <x:c r="I48" s="22">
        <x:f>I46+I47</x:f>
        <x:v>12.6</x:v>
      </x:c>
      <x:c r="J48" s="22">
        <x:f>J46+J47</x:f>
        <x:v>12.6</x:v>
      </x:c>
      <x:c r="K48" s="22">
        <x:f>K46+K47</x:f>
        <x:v>12.6</x:v>
      </x:c>
      <x:c r="L48" s="22">
        <x:f>L46+L47</x:f>
        <x:v>12.6</x:v>
      </x:c>
      <x:c r="M48" s="22">
        <x:f>M46+M47</x:f>
        <x:v>12.6</x:v>
      </x:c>
      <x:c r="N48" s="22">
        <x:f>N46+N47</x:f>
        <x:v>12.6</x:v>
      </x:c>
      <x:c r="O48" s="22">
        <x:f>O46+O47</x:f>
        <x:v>12.6</x:v>
      </x:c>
    </x:row>
    <x:row r="49">
      <x:c r="A49" s="19" t="inlineStr">
        <x:is>
          <x:t xml:space="preserve">Total closing FTE incl corporate</x:t>
        </x:is>
      </x:c>
      <x:c r="B49" s="20" t="inlineStr">
        <x:is>
          <x:t xml:space="preserve">FTE</x:t>
        </x:is>
      </x:c>
      <x:c r="C49" s="21" t="n"/>
      <x:c r="D49" s="22">
        <x:f>D48+Control!$C$52</x:f>
        <x:v>6</x:v>
      </x:c>
      <x:c r="E49" s="22">
        <x:f>E48+Control!$C$52</x:f>
        <x:v>6</x:v>
      </x:c>
      <x:c r="F49" s="22">
        <x:f>F48+Control!$C$52</x:f>
        <x:v>10.15</x:v>
      </x:c>
      <x:c r="G49" s="22">
        <x:f>G48+Control!$C$52</x:f>
        <x:v>12.3</x:v>
      </x:c>
      <x:c r="H49" s="22">
        <x:f>H48+Control!$C$52</x:f>
        <x:v>14.45</x:v>
      </x:c>
      <x:c r="I49" s="22">
        <x:f>I48+Control!$C$52</x:f>
        <x:v>18.6</x:v>
      </x:c>
      <x:c r="J49" s="22">
        <x:f>J48+Control!$C$52</x:f>
        <x:v>18.6</x:v>
      </x:c>
      <x:c r="K49" s="22">
        <x:f>K48+Control!$C$52</x:f>
        <x:v>18.6</x:v>
      </x:c>
      <x:c r="L49" s="22">
        <x:f>L48+Control!$C$52</x:f>
        <x:v>18.6</x:v>
      </x:c>
      <x:c r="M49" s="22">
        <x:f>M48+Control!$C$52</x:f>
        <x:v>18.6</x:v>
      </x:c>
      <x:c r="N49" s="22">
        <x:f>N48+Control!$C$52</x:f>
        <x:v>18.6</x:v>
      </x:c>
      <x:c r="O49" s="22">
        <x:f>O48+Control!$C$52</x:f>
        <x:v>18.6</x:v>
      </x:c>
    </x:row>
    <x:row r="51">
      <x:c r="A51" s="25" t="inlineStr">
        <x:is>
          <x:t xml:space="preserve">Total opening FTE incl corporate</x:t>
        </x:is>
      </x:c>
      <x:c r="B51" s="20" t="inlineStr">
        <x:is>
          <x:t xml:space="preserve">FTE</x:t>
        </x:is>
      </x:c>
      <x:c r="C51" s="21" t="n"/>
      <x:c r="D51" s="22">
        <x:f>Control!$C$52</x:f>
        <x:v>6</x:v>
      </x:c>
      <x:c r="E51" s="22">
        <x:f>D49</x:f>
        <x:v>6</x:v>
      </x:c>
      <x:c r="F51" s="22">
        <x:f>E49</x:f>
        <x:v>6</x:v>
      </x:c>
      <x:c r="G51" s="22">
        <x:f>F49</x:f>
        <x:v>10.15</x:v>
      </x:c>
      <x:c r="H51" s="22">
        <x:f>G49</x:f>
        <x:v>12.3</x:v>
      </x:c>
      <x:c r="I51" s="22">
        <x:f>H49</x:f>
        <x:v>14.45</x:v>
      </x:c>
      <x:c r="J51" s="22">
        <x:f>I49</x:f>
        <x:v>18.6</x:v>
      </x:c>
      <x:c r="K51" s="22">
        <x:f>J49</x:f>
        <x:v>18.6</x:v>
      </x:c>
      <x:c r="L51" s="22">
        <x:f>K49</x:f>
        <x:v>18.6</x:v>
      </x:c>
      <x:c r="M51" s="22">
        <x:f>L49</x:f>
        <x:v>18.6</x:v>
      </x:c>
      <x:c r="N51" s="22">
        <x:f>M49</x:f>
        <x:v>18.6</x:v>
      </x:c>
      <x:c r="O51" s="22">
        <x:f>N49</x:f>
        <x:v>18.6</x:v>
      </x:c>
    </x:row>
    <x:row r="52">
      <x:c r="A52" s="7" t="inlineStr">
        <x:is>
          <x:t xml:space="preserve">New FTE onboarded</x:t>
        </x:is>
      </x:c>
      <x:c r="B52" s="5" t="inlineStr">
        <x:is>
          <x:t xml:space="preserve">FTE</x:t>
        </x:is>
      </x:c>
      <x:c r="D52" s="14">
        <x:f>MAX(D49-D51,0)</x:f>
        <x:v>0</x:v>
      </x:c>
      <x:c r="E52" s="14">
        <x:f>MAX(E49-E51,0)</x:f>
        <x:v>0</x:v>
      </x:c>
      <x:c r="F52" s="14">
        <x:f>MAX(F49-F51,0)</x:f>
        <x:v>4.15</x:v>
      </x:c>
      <x:c r="G52" s="14">
        <x:f>MAX(G49-G51,0)</x:f>
        <x:v>2.1500000000000004</x:v>
      </x:c>
      <x:c r="H52" s="14">
        <x:f>MAX(H49-H51,0)</x:f>
        <x:v>2.1499999999999986</x:v>
      </x:c>
      <x:c r="I52" s="14">
        <x:f>MAX(I49-I51,0)</x:f>
        <x:v>4.150000000000002</x:v>
      </x:c>
      <x:c r="J52" s="14">
        <x:f>MAX(J49-J51,0)</x:f>
        <x:v>0</x:v>
      </x:c>
      <x:c r="K52" s="14">
        <x:f>MAX(K49-K51,0)</x:f>
        <x:v>0</x:v>
      </x:c>
      <x:c r="L52" s="14">
        <x:f>MAX(L49-L51,0)</x:f>
        <x:v>0</x:v>
      </x:c>
      <x:c r="M52" s="14">
        <x:f>MAX(M49-M51,0)</x:f>
        <x:v>0</x:v>
      </x:c>
      <x:c r="N52" s="14">
        <x:f>MAX(N49-N51,0)</x:f>
        <x:v>0</x:v>
      </x:c>
      <x:c r="O52" s="14">
        <x:f>MAX(O49-O51,0)</x:f>
        <x:v>0</x:v>
      </x:c>
    </x:row>
    <x:row r="54">
      <x:c r="A54" s="7" t="inlineStr">
        <x:is>
          <x:t xml:space="preserve">Grootvlei average miners</x:t>
        </x:is>
      </x:c>
      <x:c r="B54" s="5" t="inlineStr">
        <x:is>
          <x:t xml:space="preserve">miners</x:t>
        </x:is>
      </x:c>
      <x:c r="D54" s="14">
        <x:f>(D16/(1+Control!$C$34))*1000000/Control!$C$32</x:f>
        <x:v>0</x:v>
      </x:c>
      <x:c r="E54" s="14">
        <x:f>(E16/(1+Control!$C$34))*1000000/Control!$C$32</x:f>
        <x:v>0</x:v>
      </x:c>
      <x:c r="F54" s="14">
        <x:f>(F16/(1+Control!$C$34))*1000000/Control!$C$32</x:f>
        <x:v>272.108843537415</x:v>
      </x:c>
      <x:c r="G54" s="14">
        <x:f>(G16/(1+Control!$C$34))*1000000/Control!$C$32</x:f>
        <x:v>816.3265306122449</x:v>
      </x:c>
      <x:c r="H54" s="14">
        <x:f>(H16/(1+Control!$C$34))*1000000/Control!$C$32</x:f>
        <x:v>1360.544217687075</x:v>
      </x:c>
      <x:c r="I54" s="14">
        <x:f>(I16/(1+Control!$C$34))*1000000/Control!$C$32</x:f>
        <x:v>1632.6530612244899</x:v>
      </x:c>
      <x:c r="J54" s="14">
        <x:f>(J16/(1+Control!$C$34))*1000000/Control!$C$32</x:f>
        <x:v>1632.6530612244899</x:v>
      </x:c>
      <x:c r="K54" s="14">
        <x:f>(K16/(1+Control!$C$34))*1000000/Control!$C$32</x:f>
        <x:v>1632.6530612244899</x:v>
      </x:c>
      <x:c r="L54" s="14">
        <x:f>(L16/(1+Control!$C$34))*1000000/Control!$C$32</x:f>
        <x:v>1632.6530612244899</x:v>
      </x:c>
      <x:c r="M54" s="14">
        <x:f>(M16/(1+Control!$C$34))*1000000/Control!$C$32</x:f>
        <x:v>1632.6530612244899</x:v>
      </x:c>
      <x:c r="N54" s="14">
        <x:f>(N16/(1+Control!$C$34))*1000000/Control!$C$32</x:f>
        <x:v>1632.6530612244899</x:v>
      </x:c>
      <x:c r="O54" s="14">
        <x:f>(O16/(1+Control!$C$34))*1000000/Control!$C$32</x:f>
        <x:v>1632.6530612244899</x:v>
      </x:c>
    </x:row>
    <x:row r="55">
      <x:c r="A55" s="7" t="inlineStr">
        <x:is>
          <x:t xml:space="preserve">AMSA average miners</x:t>
        </x:is>
      </x:c>
      <x:c r="B55" s="5" t="inlineStr">
        <x:is>
          <x:t xml:space="preserve">miners</x:t>
        </x:is>
      </x:c>
      <x:c r="D55" s="14">
        <x:f>(D17/(1+Control!$C$34))*1000000/Control!$C$32</x:f>
        <x:v>0</x:v>
      </x:c>
      <x:c r="E55" s="14">
        <x:f>(E17/(1+Control!$C$34))*1000000/Control!$C$32</x:f>
        <x:v>0</x:v>
      </x:c>
      <x:c r="F55" s="14">
        <x:f>(F17/(1+Control!$C$34))*1000000/Control!$C$32</x:f>
        <x:v>0</x:v>
      </x:c>
      <x:c r="G55" s="14">
        <x:f>(G17/(1+Control!$C$34))*1000000/Control!$C$32</x:f>
        <x:v>0</x:v>
      </x:c>
      <x:c r="H55" s="14">
        <x:f>(H17/(1+Control!$C$34))*1000000/Control!$C$32</x:f>
        <x:v>0</x:v>
      </x:c>
      <x:c r="I55" s="14">
        <x:f>(I17/(1+Control!$C$34))*1000000/Control!$C$32</x:f>
        <x:v>272.108843537415</x:v>
      </x:c>
      <x:c r="J55" s="14">
        <x:f>(J17/(1+Control!$C$34))*1000000/Control!$C$32</x:f>
        <x:v>544.21768707483</x:v>
      </x:c>
      <x:c r="K55" s="14">
        <x:f>(K17/(1+Control!$C$34))*1000000/Control!$C$32</x:f>
        <x:v>544.21768707483</x:v>
      </x:c>
      <x:c r="L55" s="14">
        <x:f>(L17/(1+Control!$C$34))*1000000/Control!$C$32</x:f>
        <x:v>544.21768707483</x:v>
      </x:c>
      <x:c r="M55" s="14">
        <x:f>(M17/(1+Control!$C$34))*1000000/Control!$C$32</x:f>
        <x:v>544.21768707483</x:v>
      </x:c>
      <x:c r="N55" s="14">
        <x:f>(N17/(1+Control!$C$34))*1000000/Control!$C$32</x:f>
        <x:v>544.21768707483</x:v>
      </x:c>
      <x:c r="O55" s="14">
        <x:f>(O17/(1+Control!$C$34))*1000000/Control!$C$32</x:f>
        <x:v>544.21768707483</x:v>
      </x:c>
    </x:row>
    <x:row r="56">
      <x:c r="A56" s="19" t="inlineStr">
        <x:is>
          <x:t xml:space="preserve">Total average miners</x:t>
        </x:is>
      </x:c>
      <x:c r="B56" s="20" t="inlineStr">
        <x:is>
          <x:t xml:space="preserve">miners</x:t>
        </x:is>
      </x:c>
      <x:c r="C56" s="21" t="n"/>
      <x:c r="D56" s="22">
        <x:f>D54+D55</x:f>
        <x:v>0</x:v>
      </x:c>
      <x:c r="E56" s="22">
        <x:f>E54+E55</x:f>
        <x:v>0</x:v>
      </x:c>
      <x:c r="F56" s="22">
        <x:f>F54+F55</x:f>
        <x:v>272.108843537415</x:v>
      </x:c>
      <x:c r="G56" s="22">
        <x:f>G54+G55</x:f>
        <x:v>816.3265306122449</x:v>
      </x:c>
      <x:c r="H56" s="22">
        <x:f>H54+H55</x:f>
        <x:v>1360.544217687075</x:v>
      </x:c>
      <x:c r="I56" s="22">
        <x:f>I54+I55</x:f>
        <x:v>1904.7619047619048</x:v>
      </x:c>
      <x:c r="J56" s="22">
        <x:f>J54+J55</x:f>
        <x:v>2176.87074829932</x:v>
      </x:c>
      <x:c r="K56" s="22">
        <x:f>K54+K55</x:f>
        <x:v>2176.87074829932</x:v>
      </x:c>
      <x:c r="L56" s="22">
        <x:f>L54+L55</x:f>
        <x:v>2176.87074829932</x:v>
      </x:c>
      <x:c r="M56" s="22">
        <x:f>M54+M55</x:f>
        <x:v>2176.87074829932</x:v>
      </x:c>
      <x:c r="N56" s="22">
        <x:f>N54+N55</x:f>
        <x:v>2176.87074829932</x:v>
      </x:c>
      <x:c r="O56" s="22">
        <x:f>O54+O55</x:f>
        <x:v>2176.87074829932</x:v>
      </x:c>
    </x:row>
    <x:row r="58">
      <x:c r="A58" s="7" t="inlineStr">
        <x:is>
          <x:t xml:space="preserve">Grootvlei effective hashrate</x:t>
        </x:is>
      </x:c>
      <x:c r="B58" s="5" t="inlineStr">
        <x:is>
          <x:t xml:space="preserve">TH/s</x:t>
        </x:is>
      </x:c>
      <x:c r="D58" s="14">
        <x:f>D54*Control!$C$30*(Control!$C$21/24)*Control!$C$14</x:f>
        <x:v>0</x:v>
      </x:c>
      <x:c r="E58" s="14">
        <x:f>E54*Control!$C$30*(Control!$C$21/24)*Control!$C$14</x:f>
        <x:v>0</x:v>
      </x:c>
      <x:c r="F58" s="14">
        <x:f>F54*Control!$C$30*(Control!$C$21/24)*Control!$C$14</x:f>
        <x:v>135714.2857142857</x:v>
      </x:c>
      <x:c r="G58" s="14">
        <x:f>G54*Control!$C$30*(Control!$C$21/24)*Control!$C$14</x:f>
        <x:v>407142.85714285716</x:v>
      </x:c>
      <x:c r="H58" s="14">
        <x:f>H54*Control!$C$30*(Control!$C$21/24)*Control!$C$14</x:f>
        <x:v>678571.4285714285</x:v>
      </x:c>
      <x:c r="I58" s="14">
        <x:f>I54*Control!$C$30*(Control!$C$21/24)*Control!$C$14</x:f>
        <x:v>814285.7142857143</x:v>
      </x:c>
      <x:c r="J58" s="14">
        <x:f>J54*Control!$C$30*(Control!$C$21/24)*Control!$C$14</x:f>
        <x:v>814285.7142857143</x:v>
      </x:c>
      <x:c r="K58" s="14">
        <x:f>K54*Control!$C$30*(Control!$C$21/24)*Control!$C$14</x:f>
        <x:v>814285.7142857143</x:v>
      </x:c>
      <x:c r="L58" s="14">
        <x:f>L54*Control!$C$30*(Control!$C$21/24)*Control!$C$14</x:f>
        <x:v>814285.7142857143</x:v>
      </x:c>
      <x:c r="M58" s="14">
        <x:f>M54*Control!$C$30*(Control!$C$21/24)*Control!$C$14</x:f>
        <x:v>814285.7142857143</x:v>
      </x:c>
      <x:c r="N58" s="14">
        <x:f>N54*Control!$C$30*(Control!$C$21/24)*Control!$C$14</x:f>
        <x:v>814285.7142857143</x:v>
      </x:c>
      <x:c r="O58" s="14">
        <x:f>O54*Control!$C$30*(Control!$C$21/24)*Control!$C$14</x:f>
        <x:v>814285.7142857143</x:v>
      </x:c>
    </x:row>
    <x:row r="59">
      <x:c r="A59" s="7" t="inlineStr">
        <x:is>
          <x:t xml:space="preserve">AMSA effective hashrate</x:t>
        </x:is>
      </x:c>
      <x:c r="B59" s="5" t="inlineStr">
        <x:is>
          <x:t xml:space="preserve">TH/s</x:t>
        </x:is>
      </x:c>
      <x:c r="D59" s="14">
        <x:f>D55*Control!$C$30*((Control!$C$22+Control!$C$23)/24)*Control!$C$14</x:f>
        <x:v>0</x:v>
      </x:c>
      <x:c r="E59" s="14">
        <x:f>E55*Control!$C$30*((Control!$C$22+Control!$C$23)/24)*Control!$C$14</x:f>
        <x:v>0</x:v>
      </x:c>
      <x:c r="F59" s="14">
        <x:f>F55*Control!$C$30*((Control!$C$22+Control!$C$23)/24)*Control!$C$14</x:f>
        <x:v>0</x:v>
      </x:c>
      <x:c r="G59" s="14">
        <x:f>G55*Control!$C$30*((Control!$C$22+Control!$C$23)/24)*Control!$C$14</x:f>
        <x:v>0</x:v>
      </x:c>
      <x:c r="H59" s="14">
        <x:f>H55*Control!$C$30*((Control!$C$22+Control!$C$23)/24)*Control!$C$14</x:f>
        <x:v>0</x:v>
      </x:c>
      <x:c r="I59" s="14">
        <x:f>I55*Control!$C$30*((Control!$C$22+Control!$C$23)/24)*Control!$C$14</x:f>
        <x:v>143253.96825396825</x:v>
      </x:c>
      <x:c r="J59" s="14">
        <x:f>J55*Control!$C$30*((Control!$C$22+Control!$C$23)/24)*Control!$C$14</x:f>
        <x:v>286507.9365079365</x:v>
      </x:c>
      <x:c r="K59" s="14">
        <x:f>K55*Control!$C$30*((Control!$C$22+Control!$C$23)/24)*Control!$C$14</x:f>
        <x:v>286507.9365079365</x:v>
      </x:c>
      <x:c r="L59" s="14">
        <x:f>L55*Control!$C$30*((Control!$C$22+Control!$C$23)/24)*Control!$C$14</x:f>
        <x:v>286507.9365079365</x:v>
      </x:c>
      <x:c r="M59" s="14">
        <x:f>M55*Control!$C$30*((Control!$C$22+Control!$C$23)/24)*Control!$C$14</x:f>
        <x:v>286507.9365079365</x:v>
      </x:c>
      <x:c r="N59" s="14">
        <x:f>N55*Control!$C$30*((Control!$C$22+Control!$C$23)/24)*Control!$C$14</x:f>
        <x:v>286507.9365079365</x:v>
      </x:c>
      <x:c r="O59" s="14">
        <x:f>O55*Control!$C$30*((Control!$C$22+Control!$C$23)/24)*Control!$C$14</x:f>
        <x:v>286507.9365079365</x:v>
      </x:c>
    </x:row>
    <x:row r="60">
      <x:c r="A60" s="19" t="inlineStr">
        <x:is>
          <x:t xml:space="preserve">Total effective hashrate</x:t>
        </x:is>
      </x:c>
      <x:c r="B60" s="20" t="inlineStr">
        <x:is>
          <x:t xml:space="preserve">TH/s</x:t>
        </x:is>
      </x:c>
      <x:c r="C60" s="21" t="n"/>
      <x:c r="D60" s="22">
        <x:f>D58+D59</x:f>
        <x:v>0</x:v>
      </x:c>
      <x:c r="E60" s="22">
        <x:f>E58+E59</x:f>
        <x:v>0</x:v>
      </x:c>
      <x:c r="F60" s="22">
        <x:f>F58+F59</x:f>
        <x:v>135714.2857142857</x:v>
      </x:c>
      <x:c r="G60" s="22">
        <x:f>G58+G59</x:f>
        <x:v>407142.85714285716</x:v>
      </x:c>
      <x:c r="H60" s="22">
        <x:f>H58+H59</x:f>
        <x:v>678571.4285714285</x:v>
      </x:c>
      <x:c r="I60" s="22">
        <x:f>I58+I59</x:f>
        <x:v>957539.6825396826</x:v>
      </x:c>
      <x:c r="J60" s="22">
        <x:f>J58+J59</x:f>
        <x:v>1100793.650793651</x:v>
      </x:c>
      <x:c r="K60" s="22">
        <x:f>K58+K59</x:f>
        <x:v>1100793.650793651</x:v>
      </x:c>
      <x:c r="L60" s="22">
        <x:f>L58+L59</x:f>
        <x:v>1100793.650793651</x:v>
      </x:c>
      <x:c r="M60" s="22">
        <x:f>M58+M59</x:f>
        <x:v>1100793.650793651</x:v>
      </x:c>
      <x:c r="N60" s="22">
        <x:f>N58+N59</x:f>
        <x:v>1100793.650793651</x:v>
      </x:c>
      <x:c r="O60" s="22">
        <x:f>O58+O59</x:f>
        <x:v>1100793.650793651</x:v>
      </x:c>
    </x:row>
    <x:row r="62">
      <x:c r="A62" s="7" t="inlineStr">
        <x:is>
          <x:t xml:space="preserve">Grootvlei Eskom energy</x:t>
        </x:is>
      </x:c>
      <x:c r="B62" s="5" t="inlineStr">
        <x:is>
          <x:t xml:space="preserve">MWh</x:t>
        </x:is>
      </x:c>
      <x:c r="D62" s="14">
        <x:f>D16*Control!$C$21*D5*Control!$C$14</x:f>
        <x:v>0</x:v>
      </x:c>
      <x:c r="E62" s="14">
        <x:f>E16*Control!$C$21*E5*Control!$C$14</x:f>
        <x:v>0</x:v>
      </x:c>
      <x:c r="F62" s="14">
        <x:f>F16*Control!$C$21*F5*Control!$C$14</x:f>
        <x:v>1325.25</x:v>
      </x:c>
      <x:c r="G62" s="14">
        <x:f>G16*Control!$C$21*G5*Control!$C$14</x:f>
        <x:v>3847.5</x:v>
      </x:c>
      <x:c r="H62" s="14">
        <x:f>H16*Control!$C$21*H5*Control!$C$14</x:f>
        <x:v>6626.25</x:v>
      </x:c>
      <x:c r="I62" s="14">
        <x:f>I16*Control!$C$21*I5*Control!$C$14</x:f>
        <x:v>7695</x:v>
      </x:c>
      <x:c r="J62" s="14">
        <x:f>J16*Control!$C$21*J5*Control!$C$14</x:f>
        <x:v>7951.5</x:v>
      </x:c>
      <x:c r="K62" s="14">
        <x:f>K16*Control!$C$21*K5*Control!$C$14</x:f>
        <x:v>7951.5</x:v>
      </x:c>
      <x:c r="L62" s="14">
        <x:f>L16*Control!$C$21*L5*Control!$C$14</x:f>
        <x:v>7695</x:v>
      </x:c>
      <x:c r="M62" s="14">
        <x:f>M16*Control!$C$21*M5*Control!$C$14</x:f>
        <x:v>7951.5</x:v>
      </x:c>
      <x:c r="N62" s="14">
        <x:f>N16*Control!$C$21*N5*Control!$C$14</x:f>
        <x:v>7695</x:v>
      </x:c>
      <x:c r="O62" s="14">
        <x:f>O16*Control!$C$21*O5*Control!$C$14</x:f>
        <x:v>7951.5</x:v>
      </x:c>
    </x:row>
    <x:row r="63">
      <x:c r="A63" s="7" t="inlineStr">
        <x:is>
          <x:t xml:space="preserve">AMSA total energy</x:t>
        </x:is>
      </x:c>
      <x:c r="B63" s="5" t="inlineStr">
        <x:is>
          <x:t xml:space="preserve">MWh</x:t>
        </x:is>
      </x:c>
      <x:c r="D63" s="14">
        <x:f>D17*(Control!$C$22+Control!$C$23)*D5*Control!$C$14</x:f>
        <x:v>0</x:v>
      </x:c>
      <x:c r="E63" s="14">
        <x:f>E17*(Control!$C$22+Control!$C$23)*E5*Control!$C$14</x:f>
        <x:v>0</x:v>
      </x:c>
      <x:c r="F63" s="14">
        <x:f>F17*(Control!$C$22+Control!$C$23)*F5*Control!$C$14</x:f>
        <x:v>0</x:v>
      </x:c>
      <x:c r="G63" s="14">
        <x:f>G17*(Control!$C$22+Control!$C$23)*G5*Control!$C$14</x:f>
        <x:v>0</x:v>
      </x:c>
      <x:c r="H63" s="14">
        <x:f>H17*(Control!$C$22+Control!$C$23)*H5*Control!$C$14</x:f>
        <x:v>0</x:v>
      </x:c>
      <x:c r="I63" s="14">
        <x:f>I17*(Control!$C$22+Control!$C$23)*I5*Control!$C$14</x:f>
        <x:v>1353.75</x:v>
      </x:c>
      <x:c r="J63" s="14">
        <x:f>J17*(Control!$C$22+Control!$C$23)*J5*Control!$C$14</x:f>
        <x:v>2797.75</x:v>
      </x:c>
      <x:c r="K63" s="14">
        <x:f>K17*(Control!$C$22+Control!$C$23)*K5*Control!$C$14</x:f>
        <x:v>2797.75</x:v>
      </x:c>
      <x:c r="L63" s="14">
        <x:f>L17*(Control!$C$22+Control!$C$23)*L5*Control!$C$14</x:f>
        <x:v>2707.5</x:v>
      </x:c>
      <x:c r="M63" s="14">
        <x:f>M17*(Control!$C$22+Control!$C$23)*M5*Control!$C$14</x:f>
        <x:v>2797.75</x:v>
      </x:c>
      <x:c r="N63" s="14">
        <x:f>N17*(Control!$C$22+Control!$C$23)*N5*Control!$C$14</x:f>
        <x:v>2707.5</x:v>
      </x:c>
      <x:c r="O63" s="14">
        <x:f>O17*(Control!$C$22+Control!$C$23)*O5*Control!$C$14</x:f>
        <x:v>2797.75</x:v>
      </x:c>
    </x:row>
    <x:row r="64">
      <x:c r="A64" s="7" t="inlineStr">
        <x:is>
          <x:t xml:space="preserve">AMSA solar energy used</x:t>
        </x:is>
      </x:c>
      <x:c r="B64" s="5" t="inlineStr">
        <x:is>
          <x:t xml:space="preserve">MWh</x:t>
        </x:is>
      </x:c>
      <x:c r="D64" s="14">
        <x:f>MIN(D17,D18)*Control!$C$23*D5*Control!$C$14</x:f>
        <x:v>0</x:v>
      </x:c>
      <x:c r="E64" s="14">
        <x:f>MIN(E17,E18)*Control!$C$23*E5*Control!$C$14</x:f>
        <x:v>0</x:v>
      </x:c>
      <x:c r="F64" s="14">
        <x:f>MIN(F17,F18)*Control!$C$23*F5*Control!$C$14</x:f>
        <x:v>0</x:v>
      </x:c>
      <x:c r="G64" s="14">
        <x:f>MIN(G17,G18)*Control!$C$23*G5*Control!$C$14</x:f>
        <x:v>0</x:v>
      </x:c>
      <x:c r="H64" s="14">
        <x:f>MIN(H17,H18)*Control!$C$23*H5*Control!$C$14</x:f>
        <x:v>0</x:v>
      </x:c>
      <x:c r="I64" s="14">
        <x:f>MIN(I17,I18)*Control!$C$23*I5*Control!$C$14</x:f>
        <x:v>641.25</x:v>
      </x:c>
      <x:c r="J64" s="14">
        <x:f>MIN(J17,J18)*Control!$C$23*J5*Control!$C$14</x:f>
        <x:v>1325.25</x:v>
      </x:c>
      <x:c r="K64" s="14">
        <x:f>MIN(K17,K18)*Control!$C$23*K5*Control!$C$14</x:f>
        <x:v>1325.25</x:v>
      </x:c>
      <x:c r="L64" s="14">
        <x:f>MIN(L17,L18)*Control!$C$23*L5*Control!$C$14</x:f>
        <x:v>1282.5</x:v>
      </x:c>
      <x:c r="M64" s="14">
        <x:f>MIN(M17,M18)*Control!$C$23*M5*Control!$C$14</x:f>
        <x:v>1325.25</x:v>
      </x:c>
      <x:c r="N64" s="14">
        <x:f>MIN(N17,N18)*Control!$C$23*N5*Control!$C$14</x:f>
        <x:v>1282.5</x:v>
      </x:c>
      <x:c r="O64" s="14">
        <x:f>MIN(O17,O18)*Control!$C$23*O5*Control!$C$14</x:f>
        <x:v>1325.25</x:v>
      </x:c>
    </x:row>
    <x:row r="65">
      <x:c r="A65" s="7" t="inlineStr">
        <x:is>
          <x:t xml:space="preserve">AMSA Eskom energy</x:t>
        </x:is>
      </x:c>
      <x:c r="B65" s="5" t="inlineStr">
        <x:is>
          <x:t xml:space="preserve">MWh</x:t>
        </x:is>
      </x:c>
      <x:c r="D65" s="14">
        <x:f>D63-D64</x:f>
        <x:v>0</x:v>
      </x:c>
      <x:c r="E65" s="14">
        <x:f>E63-E64</x:f>
        <x:v>0</x:v>
      </x:c>
      <x:c r="F65" s="14">
        <x:f>F63-F64</x:f>
        <x:v>0</x:v>
      </x:c>
      <x:c r="G65" s="14">
        <x:f>G63-G64</x:f>
        <x:v>0</x:v>
      </x:c>
      <x:c r="H65" s="14">
        <x:f>H63-H64</x:f>
        <x:v>0</x:v>
      </x:c>
      <x:c r="I65" s="14">
        <x:f>I63-I64</x:f>
        <x:v>712.5</x:v>
      </x:c>
      <x:c r="J65" s="14">
        <x:f>J63-J64</x:f>
        <x:v>1472.5</x:v>
      </x:c>
      <x:c r="K65" s="14">
        <x:f>K63-K64</x:f>
        <x:v>1472.5</x:v>
      </x:c>
      <x:c r="L65" s="14">
        <x:f>L63-L64</x:f>
        <x:v>1425</x:v>
      </x:c>
      <x:c r="M65" s="14">
        <x:f>M63-M64</x:f>
        <x:v>1472.5</x:v>
      </x:c>
      <x:c r="N65" s="14">
        <x:f>N63-N64</x:f>
        <x:v>1425</x:v>
      </x:c>
      <x:c r="O65" s="14">
        <x:f>O63-O64</x:f>
        <x:v>1472.5</x:v>
      </x:c>
    </x:row>
    <x:row r="66">
      <x:c r="A66" s="19" t="inlineStr">
        <x:is>
          <x:t xml:space="preserve">Total energy used</x:t>
        </x:is>
      </x:c>
      <x:c r="B66" s="20" t="inlineStr">
        <x:is>
          <x:t xml:space="preserve">MWh</x:t>
        </x:is>
      </x:c>
      <x:c r="C66" s="21" t="n"/>
      <x:c r="D66" s="22">
        <x:f>D62+D63</x:f>
        <x:v>0</x:v>
      </x:c>
      <x:c r="E66" s="22">
        <x:f>E62+E63</x:f>
        <x:v>0</x:v>
      </x:c>
      <x:c r="F66" s="22">
        <x:f>F62+F63</x:f>
        <x:v>1325.25</x:v>
      </x:c>
      <x:c r="G66" s="22">
        <x:f>G62+G63</x:f>
        <x:v>3847.5</x:v>
      </x:c>
      <x:c r="H66" s="22">
        <x:f>H62+H63</x:f>
        <x:v>6626.25</x:v>
      </x:c>
      <x:c r="I66" s="22">
        <x:f>I62+I63</x:f>
        <x:v>9048.75</x:v>
      </x:c>
      <x:c r="J66" s="22">
        <x:f>J62+J63</x:f>
        <x:v>10749.25</x:v>
      </x:c>
      <x:c r="K66" s="22">
        <x:f>K62+K63</x:f>
        <x:v>10749.25</x:v>
      </x:c>
      <x:c r="L66" s="22">
        <x:f>L62+L63</x:f>
        <x:v>10402.5</x:v>
      </x:c>
      <x:c r="M66" s="22">
        <x:f>M62+M63</x:f>
        <x:v>10749.25</x:v>
      </x:c>
      <x:c r="N66" s="22">
        <x:f>N62+N63</x:f>
        <x:v>10402.5</x:v>
      </x:c>
      <x:c r="O66" s="22">
        <x:f>O62+O63</x:f>
        <x:v>10749.25</x:v>
      </x:c>
    </x:row>
    <x:row r="67">
      <x:c r="A67" s="19" t="inlineStr">
        <x:is>
          <x:t xml:space="preserve">Total Eskom energy used</x:t>
        </x:is>
      </x:c>
      <x:c r="B67" s="20" t="inlineStr">
        <x:is>
          <x:t xml:space="preserve">MWh</x:t>
        </x:is>
      </x:c>
      <x:c r="C67" s="21" t="n"/>
      <x:c r="D67" s="22">
        <x:f>D62+D65</x:f>
        <x:v>0</x:v>
      </x:c>
      <x:c r="E67" s="22">
        <x:f>E62+E65</x:f>
        <x:v>0</x:v>
      </x:c>
      <x:c r="F67" s="22">
        <x:f>F62+F65</x:f>
        <x:v>1325.25</x:v>
      </x:c>
      <x:c r="G67" s="22">
        <x:f>G62+G65</x:f>
        <x:v>3847.5</x:v>
      </x:c>
      <x:c r="H67" s="22">
        <x:f>H62+H65</x:f>
        <x:v>6626.25</x:v>
      </x:c>
      <x:c r="I67" s="22">
        <x:f>I62+I65</x:f>
        <x:v>8407.5</x:v>
      </x:c>
      <x:c r="J67" s="22">
        <x:f>J62+J65</x:f>
        <x:v>9424</x:v>
      </x:c>
      <x:c r="K67" s="22">
        <x:f>K62+K65</x:f>
        <x:v>9424</x:v>
      </x:c>
      <x:c r="L67" s="22">
        <x:f>L62+L65</x:f>
        <x:v>9120</x:v>
      </x:c>
      <x:c r="M67" s="22">
        <x:f>M62+M65</x:f>
        <x:v>9424</x:v>
      </x:c>
      <x:c r="N67" s="22">
        <x:f>N62+N65</x:f>
        <x:v>9120</x:v>
      </x:c>
      <x:c r="O67" s="22">
        <x:f>O62+O65</x:f>
        <x:v>9424</x:v>
      </x:c>
    </x:row>
    <x:row r="68">
      <x:c r="A68" s="19" t="inlineStr">
        <x:is>
          <x:t xml:space="preserve">Total solar energy used</x:t>
        </x:is>
      </x:c>
      <x:c r="B68" s="20" t="inlineStr">
        <x:is>
          <x:t xml:space="preserve">MWh</x:t>
        </x:is>
      </x:c>
      <x:c r="C68" s="21" t="n"/>
      <x:c r="D68" s="22">
        <x:f>D64</x:f>
        <x:v>0</x:v>
      </x:c>
      <x:c r="E68" s="22">
        <x:f>E64</x:f>
        <x:v>0</x:v>
      </x:c>
      <x:c r="F68" s="22">
        <x:f>F64</x:f>
        <x:v>0</x:v>
      </x:c>
      <x:c r="G68" s="22">
        <x:f>G64</x:f>
        <x:v>0</x:v>
      </x:c>
      <x:c r="H68" s="22">
        <x:f>H64</x:f>
        <x:v>0</x:v>
      </x:c>
      <x:c r="I68" s="22">
        <x:f>I64</x:f>
        <x:v>641.25</x:v>
      </x:c>
      <x:c r="J68" s="22">
        <x:f>J64</x:f>
        <x:v>1325.25</x:v>
      </x:c>
      <x:c r="K68" s="22">
        <x:f>K64</x:f>
        <x:v>1325.25</x:v>
      </x:c>
      <x:c r="L68" s="22">
        <x:f>L64</x:f>
        <x:v>1282.5</x:v>
      </x:c>
      <x:c r="M68" s="22">
        <x:f>M64</x:f>
        <x:v>1325.25</x:v>
      </x:c>
      <x:c r="N68" s="22">
        <x:f>N64</x:f>
        <x:v>1282.5</x:v>
      </x:c>
      <x:c r="O68" s="22">
        <x:f>O64</x:f>
        <x:v>1325.25</x:v>
      </x:c>
    </x:row>
  </x:sheetData>
  <x:mergeCells>
    <x:mergeCell ref="A1:O1"/>
  </x:mergeCells>
  <x:pageMargins left="0.7" right="0.7" top="0.75" bottom="0.75" header="0.3" footer="0.3"/>
  <x:legacyDrawing xmlns:r="http://schemas.openxmlformats.org/officeDocument/2006/relationships" r:id="Rdcf74c9e9e7f450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>
      <x:c r="A1" s="1" t="inlineStr">
        <x:is>
          <x:t xml:space="preserve">12-Month Revenue Build</x:t>
        </x:is>
      </x:c>
    </x:row>
    <x:row r="2">
      <x:c r="A2" s="5" t="inlineStr">
        <x:is>
          <x:t xml:space="preserve">BTC revenue is base case. Demand response and hyperscaler rows are built, but default to OFF in base case.</x:t>
        </x:is>
      </x:c>
    </x:row>
    <x:row r="3">
      <x:c r="D3" s="16" t="n">
        <x:v>1</x:v>
      </x:c>
      <x:c r="E3" s="16" t="n">
        <x:v>2</x:v>
      </x:c>
      <x:c r="F3" s="16" t="n">
        <x:v>3</x:v>
      </x:c>
      <x:c r="G3" s="16" t="n">
        <x:v>4</x:v>
      </x:c>
      <x:c r="H3" s="16" t="n">
        <x:v>5</x:v>
      </x:c>
      <x:c r="I3" s="16" t="n">
        <x:v>6</x:v>
      </x:c>
      <x:c r="J3" s="16" t="n">
        <x:v>7</x:v>
      </x:c>
      <x:c r="K3" s="16" t="n">
        <x:v>8</x:v>
      </x:c>
      <x:c r="L3" s="16" t="n">
        <x:v>9</x:v>
      </x:c>
      <x:c r="M3" s="16" t="n">
        <x:v>10</x:v>
      </x:c>
      <x:c r="N3" s="16" t="n">
        <x:v>11</x:v>
      </x:c>
      <x:c r="O3" s="16" t="n">
        <x:v>12</x:v>
      </x:c>
    </x:row>
    <x:row r="4">
      <x:c r="D4" s="17" t="inlineStr">
        <x:is>
          <x:t xml:space="preserve">Jan-26</x:t>
        </x:is>
      </x:c>
      <x:c r="E4" s="17" t="inlineStr">
        <x:is>
          <x:t xml:space="preserve">Feb-26</x:t>
        </x:is>
      </x:c>
      <x:c r="F4" s="17" t="inlineStr">
        <x:is>
          <x:t xml:space="preserve">Mar-26</x:t>
        </x:is>
      </x:c>
      <x:c r="G4" s="17" t="inlineStr">
        <x:is>
          <x:t xml:space="preserve">Apr-26</x:t>
        </x:is>
      </x:c>
      <x:c r="H4" s="17" t="inlineStr">
        <x:is>
          <x:t xml:space="preserve">May-26</x:t>
        </x:is>
      </x:c>
      <x:c r="I4" s="17" t="inlineStr">
        <x:is>
          <x:t xml:space="preserve">Jun-26</x:t>
        </x:is>
      </x:c>
      <x:c r="J4" s="17" t="inlineStr">
        <x:is>
          <x:t xml:space="preserve">Jul-26</x:t>
        </x:is>
      </x:c>
      <x:c r="K4" s="17" t="inlineStr">
        <x:is>
          <x:t xml:space="preserve">Aug-26</x:t>
        </x:is>
      </x:c>
      <x:c r="L4" s="17" t="inlineStr">
        <x:is>
          <x:t xml:space="preserve">Sep-26</x:t>
        </x:is>
      </x:c>
      <x:c r="M4" s="17" t="inlineStr">
        <x:is>
          <x:t xml:space="preserve">Oct-26</x:t>
        </x:is>
      </x:c>
      <x:c r="N4" s="17" t="inlineStr">
        <x:is>
          <x:t xml:space="preserve">Nov-26</x:t>
        </x:is>
      </x:c>
      <x:c r="O4" s="17" t="inlineStr">
        <x:is>
          <x:t xml:space="preserve">Dec-26</x:t>
        </x:is>
      </x:c>
    </x:row>
    <x:row r="5">
      <x:c r="A5" s="7" t="inlineStr">
        <x:is>
          <x:t xml:space="preserve">BTC price (USD)</x:t>
        </x:is>
      </x:c>
      <x:c r="B5" s="5" t="inlineStr">
        <x:is>
          <x:t xml:space="preserve">USD/BTC</x:t>
        </x:is>
      </x:c>
      <x:c r="D5" s="26">
        <x:f>Control!$C$6</x:f>
        <x:v>75000</x:v>
      </x:c>
      <x:c r="E5" s="26">
        <x:f>D5*(1+Control!$C$7)^(1/12)</x:f>
        <x:v>75598.06053216779</x:v>
      </x:c>
      <x:c r="F5" s="26">
        <x:f>E5*(1+Control!$C$7)^(1/12)</x:f>
        <x:v>76200.89008300407</x:v>
      </x:c>
      <x:c r="G5" s="26">
        <x:f>F5*(1+Control!$C$7)^(1/12)</x:f>
        <x:v>76808.5266813334</x:v>
      </x:c>
      <x:c r="H5" s="26">
        <x:f>G5*(1+Control!$C$7)^(1/12)</x:f>
        <x:v>77421.00865922756</x:v>
      </x:c>
      <x:c r="I5" s="26">
        <x:f>H5*(1+Control!$C$7)^(1/12)</x:f>
        <x:v>78038.37465442362</x:v>
      </x:c>
      <x:c r="J5" s="26">
        <x:f>I5*(1+Control!$C$7)^(1/12)</x:f>
        <x:v>78660.6636127614</x:v>
      </x:c>
      <x:c r="K5" s="26">
        <x:f>J5*(1+Control!$C$7)^(1/12)</x:f>
        <x:v>79287.91479064032</x:v>
      </x:c>
      <x:c r="L5" s="26">
        <x:f>K5*(1+Control!$C$7)^(1/12)</x:f>
        <x:v>79920.16775749584</x:v>
      </x:c>
      <x:c r="M5" s="26">
        <x:f>L5*(1+Control!$C$7)^(1/12)</x:f>
        <x:v>80557.46239829567</x:v>
      </x:c>
      <x:c r="N5" s="26">
        <x:f>M5*(1+Control!$C$7)^(1/12)</x:f>
        <x:v>81199.83891605581</x:v>
      </x:c>
      <x:c r="O5" s="26">
        <x:f>N5*(1+Control!$C$7)^(1/12)</x:f>
        <x:v>81847.33783437681</x:v>
      </x:c>
    </x:row>
    <x:row r="6">
      <x:c r="A6" s="7" t="inlineStr">
        <x:is>
          <x:t xml:space="preserve">BTC price (ZAR)</x:t>
        </x:is>
      </x:c>
      <x:c r="B6" s="5" t="inlineStr">
        <x:is>
          <x:t xml:space="preserve">ZAR/BTC</x:t>
        </x:is>
      </x:c>
      <x:c r="D6" s="27">
        <x:f>D5*Control!$C$4</x:f>
        <x:v>1275000</x:v>
      </x:c>
      <x:c r="E6" s="27">
        <x:f>E5*Control!$C$4</x:f>
        <x:v>1285167.0290468524</x:v>
      </x:c>
      <x:c r="F6" s="27">
        <x:f>F5*Control!$C$4</x:f>
        <x:v>1295415.131411069</x:v>
      </x:c>
      <x:c r="G6" s="27">
        <x:f>G5*Control!$C$4</x:f>
        <x:v>1305744.9535826677</x:v>
      </x:c>
      <x:c r="H6" s="27">
        <x:f>H5*Control!$C$4</x:f>
        <x:v>1316157.1472068685</x:v>
      </x:c>
      <x:c r="I6" s="27">
        <x:f>I5*Control!$C$4</x:f>
        <x:v>1326652.3691252016</x:v>
      </x:c>
      <x:c r="J6" s="27">
        <x:f>J5*Control!$C$4</x:f>
        <x:v>1337231.2814169438</x:v>
      </x:c>
      <x:c r="K6" s="27">
        <x:f>K5*Control!$C$4</x:f>
        <x:v>1347894.5514408855</x:v>
      </x:c>
      <x:c r="L6" s="27">
        <x:f>L5*Control!$C$4</x:f>
        <x:v>1358642.8518774293</x:v>
      </x:c>
      <x:c r="M6" s="27">
        <x:f>M5*Control!$C$4</x:f>
        <x:v>1369476.8607710265</x:v>
      </x:c>
      <x:c r="N6" s="27">
        <x:f>N5*Control!$C$4</x:f>
        <x:v>1380397.261572949</x:v>
      </x:c>
      <x:c r="O6" s="27">
        <x:f>O5*Control!$C$4</x:f>
        <x:v>1391404.7431844058</x:v>
      </x:c>
    </x:row>
    <x:row r="7">
      <x:c r="A7" s="7" t="inlineStr">
        <x:is>
          <x:t xml:space="preserve">Network hash (TH/s)</x:t>
        </x:is>
      </x:c>
      <x:c r="B7" s="5" t="inlineStr">
        <x:is>
          <x:t xml:space="preserve">TH/s</x:t>
        </x:is>
      </x:c>
      <x:c r="D7" s="27">
        <x:f>Control!$C$8</x:f>
        <x:v>900000000</x:v>
      </x:c>
      <x:c r="E7" s="27">
        <x:f>D7*(1+Control!$C$9)^(1/12)</x:f>
        <x:v>910543425.2278681</x:v>
      </x:c>
      <x:c r="F7" s="27">
        <x:f>E7*(1+Control!$C$9)^(1/12)</x:f>
        <x:v>921210365.8063313</x:v>
      </x:c>
      <x:c r="G7" s="27">
        <x:f>F7*(1+Control!$C$9)^(1/12)</x:f>
        <x:v>932002268.7074602</x:v>
      </x:c>
      <x:c r="H7" s="27">
        <x:f>G7*(1+Control!$C$9)^(1/12)</x:f>
        <x:v>942920597.8544829</x:v>
      </x:c>
      <x:c r="I7" s="27">
        <x:f>H7*(1+Control!$C$9)^(1/12)</x:f>
        <x:v>953966834.3203666</x:v>
      </x:c>
      <x:c r="J7" s="27">
        <x:f>I7*(1+Control!$C$9)^(1/12)</x:f>
        <x:v>965142476.5287253</x:v>
      </x:c>
      <x:c r="K7" s="27">
        <x:f>J7*(1+Control!$C$9)^(1/12)</x:f>
        <x:v>976449040.4570808</x:v>
      </x:c>
      <x:c r="L7" s="27">
        <x:f>K7*(1+Control!$C$9)^(1/12)</x:f>
        <x:v>987888059.842506</x:v>
      </x:c>
      <x:c r="M7" s="27">
        <x:f>L7*(1+Control!$C$9)^(1/12)</x:f>
        <x:v>999461086.3896761</x:v>
      </x:c>
      <x:c r="N7" s="27">
        <x:f>M7*(1+Control!$C$9)^(1/12)</x:f>
        <x:v>1011169689.9813576</x:v>
      </x:c>
      <x:c r="O7" s="27">
        <x:f>N7*(1+Control!$C$9)^(1/12)</x:f>
        <x:v>1023015458.891363</x:v>
      </x:c>
    </x:row>
    <x:row r="8">
      <x:c r="A8" s="7" t="inlineStr">
        <x:is>
          <x:t xml:space="preserve">Network BTC mined</x:t>
        </x:is>
      </x:c>
      <x:c r="B8" s="5" t="inlineStr">
        <x:is>
          <x:t xml:space="preserve">BTC/month</x:t>
        </x:is>
      </x:c>
      <x:c r="D8" s="14">
        <x:f>'12M_Deployment'!D5*Control!$C$12*Control!$C$10*(1+Control!$C$11)</x:f>
        <x:v>15345.000000000002</x:v>
      </x:c>
      <x:c r="E8" s="14">
        <x:f>'12M_Deployment'!E5*Control!$C$12*Control!$C$10*(1+Control!$C$11)</x:f>
        <x:v>13860.000000000002</x:v>
      </x:c>
      <x:c r="F8" s="14">
        <x:f>'12M_Deployment'!F5*Control!$C$12*Control!$C$10*(1+Control!$C$11)</x:f>
        <x:v>15345.000000000002</x:v>
      </x:c>
      <x:c r="G8" s="14">
        <x:f>'12M_Deployment'!G5*Control!$C$12*Control!$C$10*(1+Control!$C$11)</x:f>
        <x:v>14850.000000000002</x:v>
      </x:c>
      <x:c r="H8" s="14">
        <x:f>'12M_Deployment'!H5*Control!$C$12*Control!$C$10*(1+Control!$C$11)</x:f>
        <x:v>15345.000000000002</x:v>
      </x:c>
      <x:c r="I8" s="14">
        <x:f>'12M_Deployment'!I5*Control!$C$12*Control!$C$10*(1+Control!$C$11)</x:f>
        <x:v>14850.000000000002</x:v>
      </x:c>
      <x:c r="J8" s="14">
        <x:f>'12M_Deployment'!J5*Control!$C$12*Control!$C$10*(1+Control!$C$11)</x:f>
        <x:v>15345.000000000002</x:v>
      </x:c>
      <x:c r="K8" s="14">
        <x:f>'12M_Deployment'!K5*Control!$C$12*Control!$C$10*(1+Control!$C$11)</x:f>
        <x:v>15345.000000000002</x:v>
      </x:c>
      <x:c r="L8" s="14">
        <x:f>'12M_Deployment'!L5*Control!$C$12*Control!$C$10*(1+Control!$C$11)</x:f>
        <x:v>14850.000000000002</x:v>
      </x:c>
      <x:c r="M8" s="14">
        <x:f>'12M_Deployment'!M5*Control!$C$12*Control!$C$10*(1+Control!$C$11)</x:f>
        <x:v>15345.000000000002</x:v>
      </x:c>
      <x:c r="N8" s="14">
        <x:f>'12M_Deployment'!N5*Control!$C$12*Control!$C$10*(1+Control!$C$11)</x:f>
        <x:v>14850.000000000002</x:v>
      </x:c>
      <x:c r="O8" s="14">
        <x:f>'12M_Deployment'!O5*Control!$C$12*Control!$C$10*(1+Control!$C$11)</x:f>
        <x:v>15345.000000000002</x:v>
      </x:c>
    </x:row>
    <x:row r="10">
      <x:c r="A10" s="7" t="inlineStr">
        <x:is>
          <x:t xml:space="preserve">Grootvlei BTC mined</x:t>
        </x:is>
      </x:c>
      <x:c r="B10" s="5" t="inlineStr">
        <x:is>
          <x:t xml:space="preserve">BTC/month</x:t>
        </x:is>
      </x:c>
      <x:c r="D10" s="14">
        <x:f>'12M_Deployment'!D58/D7*D8</x:f>
        <x:v>0</x:v>
      </x:c>
      <x:c r="E10" s="14">
        <x:f>'12M_Deployment'!E58/E7*E8</x:f>
        <x:v>0</x:v>
      </x:c>
      <x:c r="F10" s="14">
        <x:f>'12M_Deployment'!F58/F7*F8</x:f>
        <x:v>2.260651629188823</x:v>
      </x:c>
      <x:c r="G10" s="14">
        <x:f>'12M_Deployment'!G58/G7*G8</x:f>
        <x:v>6.487185312280811</x:v>
      </x:c>
      <x:c r="H10" s="14">
        <x:f>'12M_Deployment'!H58/H7*H8</x:f>
        <x:v>11.043006797307783</x:v>
      </x:c>
      <x:c r="I10" s="14">
        <x:f>'12M_Deployment'!I58/I7*I8</x:f>
        <x:v>12.675642823324825</x:v>
      </x:c>
      <x:c r="J10" s="14">
        <x:f>'12M_Deployment'!J58/J7*J8</x:f>
        <x:v>12.946497112690695</x:v>
      </x:c>
      <x:c r="K10" s="14">
        <x:f>'12M_Deployment'!K58/K7*K8</x:f>
        <x:v>12.7965861688647</x:v>
      </x:c>
      <x:c r="L10" s="14">
        <x:f>'12M_Deployment'!L58/L7*L8</x:f>
        <x:v>12.240397823079922</x:v>
      </x:c>
      <x:c r="M10" s="14">
        <x:f>'12M_Deployment'!M58/M7*M8</x:f>
        <x:v>12.50195175767211</x:v>
      </x:c>
      <x:c r="N10" s="14">
        <x:f>'12M_Deployment'!N58/N7*N8</x:f>
        <x:v>11.95856934493932</x:v>
      </x:c>
      <x:c r="O10" s="14">
        <x:f>'12M_Deployment'!O58/O7*O8</x:f>
        <x:v>12.214101142963463</x:v>
      </x:c>
    </x:row>
    <x:row r="11">
      <x:c r="A11" s="7" t="inlineStr">
        <x:is>
          <x:t xml:space="preserve">AMSA BTC mined</x:t>
        </x:is>
      </x:c>
      <x:c r="B11" s="5" t="inlineStr">
        <x:is>
          <x:t xml:space="preserve">BTC/month</x:t>
        </x:is>
      </x:c>
      <x:c r="D11" s="14">
        <x:f>'12M_Deployment'!D59/D7*D8</x:f>
        <x:v>0</x:v>
      </x:c>
      <x:c r="E11" s="14">
        <x:f>'12M_Deployment'!E59/E7*E8</x:f>
        <x:v>0</x:v>
      </x:c>
      <x:c r="F11" s="14">
        <x:f>'12M_Deployment'!F59/F7*F8</x:f>
        <x:v>0</x:v>
      </x:c>
      <x:c r="G11" s="14">
        <x:f>'12M_Deployment'!G59/G7*G8</x:f>
        <x:v>0</x:v>
      </x:c>
      <x:c r="H11" s="14">
        <x:f>'12M_Deployment'!H59/H7*H8</x:f>
        <x:v>0</x:v>
      </x:c>
      <x:c r="I11" s="14">
        <x:f>'12M_Deployment'!I59/I7*I8</x:f>
        <x:v>2.229974200399738</x:v>
      </x:c>
      <x:c r="J11" s="14">
        <x:f>'12M_Deployment'!J59/J7*J8</x:f>
        <x:v>4.555248984094874</x:v>
      </x:c>
      <x:c r="K11" s="14">
        <x:f>'12M_Deployment'!K59/K7*K8</x:f>
        <x:v>4.502502540896838</x:v>
      </x:c>
      <x:c r="L11" s="14">
        <x:f>'12M_Deployment'!L59/L7*L8</x:f>
        <x:v>4.306806641454046</x:v>
      </x:c>
      <x:c r="M11" s="14">
        <x:f>'12M_Deployment'!M59/M7*M8</x:f>
        <x:v>4.398834877699446</x:v>
      </x:c>
      <x:c r="N11" s="14">
        <x:f>'12M_Deployment'!N59/N7*N8</x:f>
        <x:v>4.207644769515687</x:v>
      </x:c>
      <x:c r="O11" s="14">
        <x:f>'12M_Deployment'!O59/O7*O8</x:f>
        <x:v>4.297554105857514</x:v>
      </x:c>
    </x:row>
    <x:row r="12">
      <x:c r="A12" s="19" t="inlineStr">
        <x:is>
          <x:t xml:space="preserve">Total BTC mined</x:t>
        </x:is>
      </x:c>
      <x:c r="B12" s="20" t="inlineStr">
        <x:is>
          <x:t xml:space="preserve">BTC/month</x:t>
        </x:is>
      </x:c>
      <x:c r="C12" s="21" t="n"/>
      <x:c r="D12" s="22">
        <x:f>D10+D11</x:f>
        <x:v>0</x:v>
      </x:c>
      <x:c r="E12" s="22">
        <x:f>E10+E11</x:f>
        <x:v>0</x:v>
      </x:c>
      <x:c r="F12" s="22">
        <x:f>F10+F11</x:f>
        <x:v>2.260651629188823</x:v>
      </x:c>
      <x:c r="G12" s="22">
        <x:f>G10+G11</x:f>
        <x:v>6.487185312280811</x:v>
      </x:c>
      <x:c r="H12" s="22">
        <x:f>H10+H11</x:f>
        <x:v>11.043006797307783</x:v>
      </x:c>
      <x:c r="I12" s="22">
        <x:f>I10+I11</x:f>
        <x:v>14.905617023724563</x:v>
      </x:c>
      <x:c r="J12" s="22">
        <x:f>J10+J11</x:f>
        <x:v>17.501746096785567</x:v>
      </x:c>
      <x:c r="K12" s="22">
        <x:f>K10+K11</x:f>
        <x:v>17.299088709761538</x:v>
      </x:c>
      <x:c r="L12" s="22">
        <x:f>L10+L11</x:f>
        <x:v>16.54720446453397</x:v>
      </x:c>
      <x:c r="M12" s="22">
        <x:f>M10+M11</x:f>
        <x:v>16.900786635371556</x:v>
      </x:c>
      <x:c r="N12" s="22">
        <x:f>N10+N11</x:f>
        <x:v>16.16621411445501</x:v>
      </x:c>
      <x:c r="O12" s="22">
        <x:f>O10+O11</x:f>
        <x:v>16.511655248820976</x:v>
      </x:c>
    </x:row>
    <x:row r="13">
      <x:c r="A13" s="2" t="inlineStr">
        <x:is>
          <x:t xml:space="preserve">BTC revenue</x:t>
        </x:is>
      </x:c>
      <x:c r="B13" s="5" t="inlineStr">
        <x:is>
          <x:t xml:space="preserve">ZAR'000</x:t>
        </x:is>
      </x:c>
      <x:c r="D13" s="14">
        <x:f>D12*D6/1000</x:f>
        <x:v>0</x:v>
      </x:c>
      <x:c r="E13" s="14">
        <x:f>E12*E6/1000</x:f>
        <x:v>0</x:v>
      </x:c>
      <x:c r="F13" s="14">
        <x:f>F12*F6/1000</x:f>
        <x:v>2928.482327300286</x:v>
      </x:c>
      <x:c r="G13" s="14">
        <x:f>G12*G6/1000</x:f>
        <x:v>8470.609484466271</x:v>
      </x:c>
      <x:c r="H13" s="14">
        <x:f>H12*H6/1000</x:f>
        <x:v>14534.33232293067</x:v>
      </x:c>
      <x:c r="I13" s="14">
        <x:f>I12*I6/1000</x:f>
        <x:v>19774.572137797128</x:v>
      </x:c>
      <x:c r="J13" s="14">
        <x:f>J12*J6/1000</x:f>
        <x:v>23403.882360038555</x:v>
      </x:c>
      <x:c r="K13" s="14">
        <x:f>K12*K6/1000</x:f>
        <x:v>23317.347416780114</x:v>
      </x:c>
      <x:c r="L13" s="14">
        <x:f>L12*L6/1000</x:f>
        <x:v>22481.74106429336</x:v>
      </x:c>
      <x:c r="M13" s="14">
        <x:f>M12*M6/1000</x:f>
        <x:v>23145.23622596956</x:v>
      </x:c>
      <x:c r="N13" s="14">
        <x:f>N12*N6/1000</x:f>
        <x:v>22315.797693595647</x:v>
      </x:c>
      <x:c r="O13" s="14">
        <x:f>O12*O6/1000</x:f>
        <x:v>22974.395431035195</x:v>
      </x:c>
    </x:row>
    <x:row r="15">
      <x:c r="A15" s="7" t="inlineStr">
        <x:is>
          <x:t xml:space="preserve">Demand response revenue - base case</x:t>
        </x:is>
      </x:c>
      <x:c r="B15" s="5" t="inlineStr">
        <x:is>
          <x:t xml:space="preserve">ZAR'000</x:t>
        </x:is>
      </x:c>
      <x:c r="D15" s="14">
        <x:f>IF(Control!$C$71=1,D16,0)</x:f>
        <x:v>0</x:v>
      </x:c>
      <x:c r="E15" s="14">
        <x:f>IF(Control!$C$71=1,E16,0)</x:f>
        <x:v>0</x:v>
      </x:c>
      <x:c r="F15" s="14">
        <x:f>IF(Control!$C$71=1,F16,0)</x:f>
        <x:v>0</x:v>
      </x:c>
      <x:c r="G15" s="14">
        <x:f>IF(Control!$C$71=1,G16,0)</x:f>
        <x:v>0</x:v>
      </x:c>
      <x:c r="H15" s="14">
        <x:f>IF(Control!$C$71=1,H16,0)</x:f>
        <x:v>0</x:v>
      </x:c>
      <x:c r="I15" s="14">
        <x:f>IF(Control!$C$71=1,I16,0)</x:f>
        <x:v>0</x:v>
      </x:c>
      <x:c r="J15" s="14">
        <x:f>IF(Control!$C$71=1,J16,0)</x:f>
        <x:v>0</x:v>
      </x:c>
      <x:c r="K15" s="14">
        <x:f>IF(Control!$C$71=1,K16,0)</x:f>
        <x:v>0</x:v>
      </x:c>
      <x:c r="L15" s="14">
        <x:f>IF(Control!$C$71=1,L16,0)</x:f>
        <x:v>0</x:v>
      </x:c>
      <x:c r="M15" s="14">
        <x:f>IF(Control!$C$71=1,M16,0)</x:f>
        <x:v>0</x:v>
      </x:c>
      <x:c r="N15" s="14">
        <x:f>IF(Control!$C$71=1,N16,0)</x:f>
        <x:v>0</x:v>
      </x:c>
      <x:c r="O15" s="14">
        <x:f>IF(Control!$C$71=1,O16,0)</x:f>
        <x:v>0</x:v>
      </x:c>
    </x:row>
    <x:row r="16">
      <x:c r="A16" s="7" t="inlineStr">
        <x:is>
          <x:t xml:space="preserve">Demand response revenue - upside</x:t>
        </x:is>
      </x:c>
      <x:c r="B16" s="5" t="inlineStr">
        <x:is>
          <x:t xml:space="preserve">ZAR'000</x:t>
        </x:is>
      </x:c>
      <x:c r="D16" s="14">
        <x:f>IF(D$3&gt;=Control!$C$72,'12M_Deployment'!D19*Control!$C$74*'12M_Deployment'!D5*Control!$C$75*Control!$C$73,0)</x:f>
        <x:v>0</x:v>
      </x:c>
      <x:c r="E16" s="14">
        <x:f>IF(E$3&gt;=Control!$C$72,'12M_Deployment'!E19*Control!$C$74*'12M_Deployment'!E5*Control!$C$75*Control!$C$73,0)</x:f>
        <x:v>0</x:v>
      </x:c>
      <x:c r="F16" s="14">
        <x:f>IF(F$3&gt;=Control!$C$72,'12M_Deployment'!F19*Control!$C$74*'12M_Deployment'!F5*Control!$C$75*Control!$C$73,0)</x:f>
        <x:v>0</x:v>
      </x:c>
      <x:c r="G16" s="14">
        <x:f>IF(G$3&gt;=Control!$C$72,'12M_Deployment'!G19*Control!$C$74*'12M_Deployment'!G5*Control!$C$75*Control!$C$73,0)</x:f>
        <x:v>0</x:v>
      </x:c>
      <x:c r="H16" s="14">
        <x:f>IF(H$3&gt;=Control!$C$72,'12M_Deployment'!H19*Control!$C$74*'12M_Deployment'!H5*Control!$C$75*Control!$C$73,0)</x:f>
        <x:v>0</x:v>
      </x:c>
      <x:c r="I16" s="14">
        <x:f>IF(I$3&gt;=Control!$C$72,'12M_Deployment'!I19*Control!$C$74*'12M_Deployment'!I5*Control!$C$75*Control!$C$73,0)</x:f>
        <x:v>0</x:v>
      </x:c>
      <x:c r="J16" s="14">
        <x:f>IF(J$3&gt;=Control!$C$72,'12M_Deployment'!J19*Control!$C$74*'12M_Deployment'!J5*Control!$C$75*Control!$C$73,0)</x:f>
        <x:v>116.25</x:v>
      </x:c>
      <x:c r="K16" s="14">
        <x:f>IF(K$3&gt;=Control!$C$72,'12M_Deployment'!K19*Control!$C$74*'12M_Deployment'!K5*Control!$C$75*Control!$C$73,0)</x:f>
        <x:v>116.25</x:v>
      </x:c>
      <x:c r="L16" s="14">
        <x:f>IF(L$3&gt;=Control!$C$72,'12M_Deployment'!L19*Control!$C$74*'12M_Deployment'!L5*Control!$C$75*Control!$C$73,0)</x:f>
        <x:v>112.5</x:v>
      </x:c>
      <x:c r="M16" s="14">
        <x:f>IF(M$3&gt;=Control!$C$72,'12M_Deployment'!M19*Control!$C$74*'12M_Deployment'!M5*Control!$C$75*Control!$C$73,0)</x:f>
        <x:v>116.25</x:v>
      </x:c>
      <x:c r="N16" s="14">
        <x:f>IF(N$3&gt;=Control!$C$72,'12M_Deployment'!N19*Control!$C$74*'12M_Deployment'!N5*Control!$C$75*Control!$C$73,0)</x:f>
        <x:v>112.5</x:v>
      </x:c>
      <x:c r="O16" s="14">
        <x:f>IF(O$3&gt;=Control!$C$72,'12M_Deployment'!O19*Control!$C$74*'12M_Deployment'!O5*Control!$C$75*Control!$C$73,0)</x:f>
        <x:v>116.25</x:v>
      </x:c>
    </x:row>
    <x:row r="18">
      <x:c r="A18" s="7" t="inlineStr">
        <x:is>
          <x:t xml:space="preserve">Hyperscaler revenue - base case</x:t>
        </x:is>
      </x:c>
      <x:c r="B18" s="5" t="inlineStr">
        <x:is>
          <x:t xml:space="preserve">ZAR'000</x:t>
        </x:is>
      </x:c>
      <x:c r="D18" s="14">
        <x:f>IF(Control!$C$76=1,D19,0)</x:f>
        <x:v>0</x:v>
      </x:c>
      <x:c r="E18" s="14">
        <x:f>IF(Control!$C$76=1,E19,0)</x:f>
        <x:v>0</x:v>
      </x:c>
      <x:c r="F18" s="14">
        <x:f>IF(Control!$C$76=1,F19,0)</x:f>
        <x:v>0</x:v>
      </x:c>
      <x:c r="G18" s="14">
        <x:f>IF(Control!$C$76=1,G19,0)</x:f>
        <x:v>0</x:v>
      </x:c>
      <x:c r="H18" s="14">
        <x:f>IF(Control!$C$76=1,H19,0)</x:f>
        <x:v>0</x:v>
      </x:c>
      <x:c r="I18" s="14">
        <x:f>IF(Control!$C$76=1,I19,0)</x:f>
        <x:v>0</x:v>
      </x:c>
      <x:c r="J18" s="14">
        <x:f>IF(Control!$C$76=1,J19,0)</x:f>
        <x:v>0</x:v>
      </x:c>
      <x:c r="K18" s="14">
        <x:f>IF(Control!$C$76=1,K19,0)</x:f>
        <x:v>0</x:v>
      </x:c>
      <x:c r="L18" s="14">
        <x:f>IF(Control!$C$76=1,L19,0)</x:f>
        <x:v>0</x:v>
      </x:c>
      <x:c r="M18" s="14">
        <x:f>IF(Control!$C$76=1,M19,0)</x:f>
        <x:v>0</x:v>
      </x:c>
      <x:c r="N18" s="14">
        <x:f>IF(Control!$C$76=1,N19,0)</x:f>
        <x:v>0</x:v>
      </x:c>
      <x:c r="O18" s="14">
        <x:f>IF(Control!$C$76=1,O19,0)</x:f>
        <x:v>0</x:v>
      </x:c>
    </x:row>
    <x:row r="19">
      <x:c r="A19" s="7" t="inlineStr">
        <x:is>
          <x:t xml:space="preserve">Hyperscaler revenue - upside</x:t>
        </x:is>
      </x:c>
      <x:c r="B19" s="5" t="inlineStr">
        <x:is>
          <x:t xml:space="preserve">ZAR'000</x:t>
        </x:is>
      </x:c>
      <x:c r="D19" s="14">
        <x:f>IF(D$3&gt;=Control!$C$77,Control!$C$78*Control!$C$79*'12M_Deployment'!D5*Control!$C$80*Control!$C$4/1000,0)</x:f>
        <x:v>0</x:v>
      </x:c>
      <x:c r="E19" s="14">
        <x:f>IF(E$3&gt;=Control!$C$77,Control!$C$78*Control!$C$79*'12M_Deployment'!E5*Control!$C$80*Control!$C$4/1000,0)</x:f>
        <x:v>0</x:v>
      </x:c>
      <x:c r="F19" s="14">
        <x:f>IF(F$3&gt;=Control!$C$77,Control!$C$78*Control!$C$79*'12M_Deployment'!F5*Control!$C$80*Control!$C$4/1000,0)</x:f>
        <x:v>0</x:v>
      </x:c>
      <x:c r="G19" s="14">
        <x:f>IF(G$3&gt;=Control!$C$77,Control!$C$78*Control!$C$79*'12M_Deployment'!G5*Control!$C$80*Control!$C$4/1000,0)</x:f>
        <x:v>0</x:v>
      </x:c>
      <x:c r="H19" s="14">
        <x:f>IF(H$3&gt;=Control!$C$77,Control!$C$78*Control!$C$79*'12M_Deployment'!H5*Control!$C$80*Control!$C$4/1000,0)</x:f>
        <x:v>0</x:v>
      </x:c>
      <x:c r="I19" s="14">
        <x:f>IF(I$3&gt;=Control!$C$77,Control!$C$78*Control!$C$79*'12M_Deployment'!I5*Control!$C$80*Control!$C$4/1000,0)</x:f>
        <x:v>0</x:v>
      </x:c>
      <x:c r="J19" s="14">
        <x:f>IF(J$3&gt;=Control!$C$77,Control!$C$78*Control!$C$79*'12M_Deployment'!J5*Control!$C$80*Control!$C$4/1000,0)</x:f>
        <x:v>0</x:v>
      </x:c>
      <x:c r="K19" s="14">
        <x:f>IF(K$3&gt;=Control!$C$77,Control!$C$78*Control!$C$79*'12M_Deployment'!K5*Control!$C$80*Control!$C$4/1000,0)</x:f>
        <x:v>0</x:v>
      </x:c>
      <x:c r="L19" s="14">
        <x:f>IF(L$3&gt;=Control!$C$77,Control!$C$78*Control!$C$79*'12M_Deployment'!L5*Control!$C$80*Control!$C$4/1000,0)</x:f>
        <x:v>0</x:v>
      </x:c>
      <x:c r="M19" s="14">
        <x:f>IF(M$3&gt;=Control!$C$77,Control!$C$78*Control!$C$79*'12M_Deployment'!M5*Control!$C$80*Control!$C$4/1000,0)</x:f>
        <x:v>0</x:v>
      </x:c>
      <x:c r="N19" s="14">
        <x:f>IF(N$3&gt;=Control!$C$77,Control!$C$78*Control!$C$79*'12M_Deployment'!N5*Control!$C$80*Control!$C$4/1000,0)</x:f>
        <x:v>0</x:v>
      </x:c>
      <x:c r="O19" s="14">
        <x:f>IF(O$3&gt;=Control!$C$77,Control!$C$78*Control!$C$79*'12M_Deployment'!O5*Control!$C$80*Control!$C$4/1000,0)</x:f>
        <x:v>0</x:v>
      </x:c>
    </x:row>
    <x:row r="21">
      <x:c r="A21" s="19" t="inlineStr">
        <x:is>
          <x:t xml:space="preserve">Total revenue - base case</x:t>
        </x:is>
      </x:c>
      <x:c r="B21" s="20" t="inlineStr">
        <x:is>
          <x:t xml:space="preserve">ZAR'000</x:t>
        </x:is>
      </x:c>
      <x:c r="C21" s="21" t="n"/>
      <x:c r="D21" s="22">
        <x:f>D13+D15+D18</x:f>
        <x:v>0</x:v>
      </x:c>
      <x:c r="E21" s="22">
        <x:f>E13+E15+E18</x:f>
        <x:v>0</x:v>
      </x:c>
      <x:c r="F21" s="22">
        <x:f>F13+F15+F18</x:f>
        <x:v>2928.482327300286</x:v>
      </x:c>
      <x:c r="G21" s="22">
        <x:f>G13+G15+G18</x:f>
        <x:v>8470.609484466271</x:v>
      </x:c>
      <x:c r="H21" s="22">
        <x:f>H13+H15+H18</x:f>
        <x:v>14534.33232293067</x:v>
      </x:c>
      <x:c r="I21" s="22">
        <x:f>I13+I15+I18</x:f>
        <x:v>19774.572137797128</x:v>
      </x:c>
      <x:c r="J21" s="22">
        <x:f>J13+J15+J18</x:f>
        <x:v>23403.882360038555</x:v>
      </x:c>
      <x:c r="K21" s="22">
        <x:f>K13+K15+K18</x:f>
        <x:v>23317.347416780114</x:v>
      </x:c>
      <x:c r="L21" s="22">
        <x:f>L13+L15+L18</x:f>
        <x:v>22481.74106429336</x:v>
      </x:c>
      <x:c r="M21" s="22">
        <x:f>M13+M15+M18</x:f>
        <x:v>23145.23622596956</x:v>
      </x:c>
      <x:c r="N21" s="22">
        <x:f>N13+N15+N18</x:f>
        <x:v>22315.797693595647</x:v>
      </x:c>
      <x:c r="O21" s="22">
        <x:f>O13+O15+O18</x:f>
        <x:v>22974.395431035195</x:v>
      </x:c>
    </x:row>
    <x:row r="22">
      <x:c r="A22" s="19" t="inlineStr">
        <x:is>
          <x:t xml:space="preserve">Total revenue - with upside</x:t>
        </x:is>
      </x:c>
      <x:c r="B22" s="20" t="inlineStr">
        <x:is>
          <x:t xml:space="preserve">ZAR'000</x:t>
        </x:is>
      </x:c>
      <x:c r="C22" s="21" t="n"/>
      <x:c r="D22" s="22">
        <x:f>D13+D16+D19</x:f>
        <x:v>0</x:v>
      </x:c>
      <x:c r="E22" s="22">
        <x:f>E13+E16+E19</x:f>
        <x:v>0</x:v>
      </x:c>
      <x:c r="F22" s="22">
        <x:f>F13+F16+F19</x:f>
        <x:v>2928.482327300286</x:v>
      </x:c>
      <x:c r="G22" s="22">
        <x:f>G13+G16+G19</x:f>
        <x:v>8470.609484466271</x:v>
      </x:c>
      <x:c r="H22" s="22">
        <x:f>H13+H16+H19</x:f>
        <x:v>14534.33232293067</x:v>
      </x:c>
      <x:c r="I22" s="22">
        <x:f>I13+I16+I19</x:f>
        <x:v>19774.572137797128</x:v>
      </x:c>
      <x:c r="J22" s="22">
        <x:f>J13+J16+J19</x:f>
        <x:v>23520.132360038555</x:v>
      </x:c>
      <x:c r="K22" s="22">
        <x:f>K13+K16+K19</x:f>
        <x:v>23433.597416780114</x:v>
      </x:c>
      <x:c r="L22" s="22">
        <x:f>L13+L16+L19</x:f>
        <x:v>22594.24106429336</x:v>
      </x:c>
      <x:c r="M22" s="22">
        <x:f>M13+M16+M19</x:f>
        <x:v>23261.48622596956</x:v>
      </x:c>
      <x:c r="N22" s="22">
        <x:f>N13+N16+N19</x:f>
        <x:v>22428.297693595647</x:v>
      </x:c>
      <x:c r="O22" s="22">
        <x:f>O13+O16+O19</x:f>
        <x:v>23090.645431035195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>
      <x:c r="A1" s="1" t="inlineStr">
        <x:is>
          <x:t xml:space="preserve">12-Month Operating Cost Build</x:t>
        </x:is>
      </x:c>
    </x:row>
    <x:row r="2">
      <x:c r="A2" s="5" t="inlineStr">
        <x:is>
          <x:t xml:space="preserve">Covers site energy cost, payroll, benefits, travel, software, legal, office, tools, security, insurance and utilities.</x:t>
        </x:is>
      </x:c>
    </x:row>
    <x:row r="3">
      <x:c r="D3" s="16" t="n">
        <x:v>1</x:v>
      </x:c>
      <x:c r="E3" s="16" t="n">
        <x:v>2</x:v>
      </x:c>
      <x:c r="F3" s="16" t="n">
        <x:v>3</x:v>
      </x:c>
      <x:c r="G3" s="16" t="n">
        <x:v>4</x:v>
      </x:c>
      <x:c r="H3" s="16" t="n">
        <x:v>5</x:v>
      </x:c>
      <x:c r="I3" s="16" t="n">
        <x:v>6</x:v>
      </x:c>
      <x:c r="J3" s="16" t="n">
        <x:v>7</x:v>
      </x:c>
      <x:c r="K3" s="16" t="n">
        <x:v>8</x:v>
      </x:c>
      <x:c r="L3" s="16" t="n">
        <x:v>9</x:v>
      </x:c>
      <x:c r="M3" s="16" t="n">
        <x:v>10</x:v>
      </x:c>
      <x:c r="N3" s="16" t="n">
        <x:v>11</x:v>
      </x:c>
      <x:c r="O3" s="16" t="n">
        <x:v>12</x:v>
      </x:c>
    </x:row>
    <x:row r="4">
      <x:c r="D4" s="17" t="inlineStr">
        <x:is>
          <x:t xml:space="preserve">Jan-26</x:t>
        </x:is>
      </x:c>
      <x:c r="E4" s="17" t="inlineStr">
        <x:is>
          <x:t xml:space="preserve">Feb-26</x:t>
        </x:is>
      </x:c>
      <x:c r="F4" s="17" t="inlineStr">
        <x:is>
          <x:t xml:space="preserve">Mar-26</x:t>
        </x:is>
      </x:c>
      <x:c r="G4" s="17" t="inlineStr">
        <x:is>
          <x:t xml:space="preserve">Apr-26</x:t>
        </x:is>
      </x:c>
      <x:c r="H4" s="17" t="inlineStr">
        <x:is>
          <x:t xml:space="preserve">May-26</x:t>
        </x:is>
      </x:c>
      <x:c r="I4" s="17" t="inlineStr">
        <x:is>
          <x:t xml:space="preserve">Jun-26</x:t>
        </x:is>
      </x:c>
      <x:c r="J4" s="17" t="inlineStr">
        <x:is>
          <x:t xml:space="preserve">Jul-26</x:t>
        </x:is>
      </x:c>
      <x:c r="K4" s="17" t="inlineStr">
        <x:is>
          <x:t xml:space="preserve">Aug-26</x:t>
        </x:is>
      </x:c>
      <x:c r="L4" s="17" t="inlineStr">
        <x:is>
          <x:t xml:space="preserve">Sep-26</x:t>
        </x:is>
      </x:c>
      <x:c r="M4" s="17" t="inlineStr">
        <x:is>
          <x:t xml:space="preserve">Oct-26</x:t>
        </x:is>
      </x:c>
      <x:c r="N4" s="17" t="inlineStr">
        <x:is>
          <x:t xml:space="preserve">Nov-26</x:t>
        </x:is>
      </x:c>
      <x:c r="O4" s="17" t="inlineStr">
        <x:is>
          <x:t xml:space="preserve">Dec-26</x:t>
        </x:is>
      </x:c>
    </x:row>
    <x:row r="5">
      <x:c r="A5" s="7" t="inlineStr">
        <x:is>
          <x:t xml:space="preserve">Grootvlei electricity cost</x:t>
        </x:is>
      </x:c>
      <x:c r="B5" s="5" t="inlineStr">
        <x:is>
          <x:t xml:space="preserve">ZAR'000</x:t>
        </x:is>
      </x:c>
      <x:c r="D5" s="14">
        <x:f>'12M_Deployment'!D62*Control!$C$25</x:f>
        <x:v>0</x:v>
      </x:c>
      <x:c r="E5" s="14">
        <x:f>'12M_Deployment'!E62*Control!$C$25</x:f>
        <x:v>0</x:v>
      </x:c>
      <x:c r="F5" s="14">
        <x:f>'12M_Deployment'!F62*Control!$C$25</x:f>
        <x:v>1325.25</x:v>
      </x:c>
      <x:c r="G5" s="14">
        <x:f>'12M_Deployment'!G62*Control!$C$25</x:f>
        <x:v>3847.5</x:v>
      </x:c>
      <x:c r="H5" s="14">
        <x:f>'12M_Deployment'!H62*Control!$C$25</x:f>
        <x:v>6626.25</x:v>
      </x:c>
      <x:c r="I5" s="14">
        <x:f>'12M_Deployment'!I62*Control!$C$25</x:f>
        <x:v>7695</x:v>
      </x:c>
      <x:c r="J5" s="14">
        <x:f>'12M_Deployment'!J62*Control!$C$25</x:f>
        <x:v>7951.5</x:v>
      </x:c>
      <x:c r="K5" s="14">
        <x:f>'12M_Deployment'!K62*Control!$C$25</x:f>
        <x:v>7951.5</x:v>
      </x:c>
      <x:c r="L5" s="14">
        <x:f>'12M_Deployment'!L62*Control!$C$25</x:f>
        <x:v>7695</x:v>
      </x:c>
      <x:c r="M5" s="14">
        <x:f>'12M_Deployment'!M62*Control!$C$25</x:f>
        <x:v>7951.5</x:v>
      </x:c>
      <x:c r="N5" s="14">
        <x:f>'12M_Deployment'!N62*Control!$C$25</x:f>
        <x:v>7695</x:v>
      </x:c>
      <x:c r="O5" s="14">
        <x:f>'12M_Deployment'!O62*Control!$C$25</x:f>
        <x:v>7951.5</x:v>
      </x:c>
    </x:row>
    <x:row r="6">
      <x:c r="A6" s="7" t="inlineStr">
        <x:is>
          <x:t xml:space="preserve">AMSA Eskom electricity cost</x:t>
        </x:is>
      </x:c>
      <x:c r="B6" s="5" t="inlineStr">
        <x:is>
          <x:t xml:space="preserve">ZAR'000</x:t>
        </x:is>
      </x:c>
      <x:c r="D6" s="14">
        <x:f>'12M_Deployment'!D65*Control!$C$26</x:f>
        <x:v>0</x:v>
      </x:c>
      <x:c r="E6" s="14">
        <x:f>'12M_Deployment'!E65*Control!$C$26</x:f>
        <x:v>0</x:v>
      </x:c>
      <x:c r="F6" s="14">
        <x:f>'12M_Deployment'!F65*Control!$C$26</x:f>
        <x:v>0</x:v>
      </x:c>
      <x:c r="G6" s="14">
        <x:f>'12M_Deployment'!G65*Control!$C$26</x:f>
        <x:v>0</x:v>
      </x:c>
      <x:c r="H6" s="14">
        <x:f>'12M_Deployment'!H65*Control!$C$26</x:f>
        <x:v>0</x:v>
      </x:c>
      <x:c r="I6" s="14">
        <x:f>'12M_Deployment'!I65*Control!$C$26</x:f>
        <x:v>641.25</x:v>
      </x:c>
      <x:c r="J6" s="14">
        <x:f>'12M_Deployment'!J65*Control!$C$26</x:f>
        <x:v>1325.25</x:v>
      </x:c>
      <x:c r="K6" s="14">
        <x:f>'12M_Deployment'!K65*Control!$C$26</x:f>
        <x:v>1325.25</x:v>
      </x:c>
      <x:c r="L6" s="14">
        <x:f>'12M_Deployment'!L65*Control!$C$26</x:f>
        <x:v>1282.5</x:v>
      </x:c>
      <x:c r="M6" s="14">
        <x:f>'12M_Deployment'!M65*Control!$C$26</x:f>
        <x:v>1325.25</x:v>
      </x:c>
      <x:c r="N6" s="14">
        <x:f>'12M_Deployment'!N65*Control!$C$26</x:f>
        <x:v>1282.5</x:v>
      </x:c>
      <x:c r="O6" s="14">
        <x:f>'12M_Deployment'!O65*Control!$C$26</x:f>
        <x:v>1325.25</x:v>
      </x:c>
    </x:row>
    <x:row r="7">
      <x:c r="A7" s="7" t="inlineStr">
        <x:is>
          <x:t xml:space="preserve">AMSA solar O&amp;M</x:t>
        </x:is>
      </x:c>
      <x:c r="B7" s="5" t="inlineStr">
        <x:is>
          <x:t xml:space="preserve">ZAR'000</x:t>
        </x:is>
      </x:c>
      <x:c r="D7" s="14">
        <x:f>'12M_Deployment'!D18*Control!$C$27*Control!$C$28/12</x:f>
        <x:v>0</x:v>
      </x:c>
      <x:c r="E7" s="14">
        <x:f>'12M_Deployment'!E18*Control!$C$27*Control!$C$28/12</x:f>
        <x:v>0</x:v>
      </x:c>
      <x:c r="F7" s="14">
        <x:f>'12M_Deployment'!F18*Control!$C$27*Control!$C$28/12</x:f>
        <x:v>0</x:v>
      </x:c>
      <x:c r="G7" s="14">
        <x:f>'12M_Deployment'!G18*Control!$C$27*Control!$C$28/12</x:f>
        <x:v>0</x:v>
      </x:c>
      <x:c r="H7" s="14">
        <x:f>'12M_Deployment'!H18*Control!$C$27*Control!$C$28/12</x:f>
        <x:v>58.333333333333336</x:v>
      </x:c>
      <x:c r="I7" s="14">
        <x:f>'12M_Deployment'!I18*Control!$C$27*Control!$C$28/12</x:f>
        <x:v>116.66666666666667</x:v>
      </x:c>
      <x:c r="J7" s="14">
        <x:f>'12M_Deployment'!J18*Control!$C$27*Control!$C$28/12</x:f>
        <x:v>116.66666666666667</x:v>
      </x:c>
      <x:c r="K7" s="14">
        <x:f>'12M_Deployment'!K18*Control!$C$27*Control!$C$28/12</x:f>
        <x:v>116.66666666666667</x:v>
      </x:c>
      <x:c r="L7" s="14">
        <x:f>'12M_Deployment'!L18*Control!$C$27*Control!$C$28/12</x:f>
        <x:v>116.66666666666667</x:v>
      </x:c>
      <x:c r="M7" s="14">
        <x:f>'12M_Deployment'!M18*Control!$C$27*Control!$C$28/12</x:f>
        <x:v>116.66666666666667</x:v>
      </x:c>
      <x:c r="N7" s="14">
        <x:f>'12M_Deployment'!N18*Control!$C$27*Control!$C$28/12</x:f>
        <x:v>116.66666666666667</x:v>
      </x:c>
      <x:c r="O7" s="14">
        <x:f>'12M_Deployment'!O18*Control!$C$27*Control!$C$28/12</x:f>
        <x:v>116.66666666666667</x:v>
      </x:c>
    </x:row>
    <x:row r="8">
      <x:c r="A8" s="19" t="inlineStr">
        <x:is>
          <x:t xml:space="preserve">Total energy cost</x:t>
        </x:is>
      </x:c>
      <x:c r="B8" s="20" t="inlineStr">
        <x:is>
          <x:t xml:space="preserve">ZAR'000</x:t>
        </x:is>
      </x:c>
      <x:c r="C8" s="21" t="n"/>
      <x:c r="D8" s="22">
        <x:f>D5+D6+D7</x:f>
        <x:v>0</x:v>
      </x:c>
      <x:c r="E8" s="22">
        <x:f>E5+E6+E7</x:f>
        <x:v>0</x:v>
      </x:c>
      <x:c r="F8" s="22">
        <x:f>F5+F6+F7</x:f>
        <x:v>1325.25</x:v>
      </x:c>
      <x:c r="G8" s="22">
        <x:f>G5+G6+G7</x:f>
        <x:v>3847.5</x:v>
      </x:c>
      <x:c r="H8" s="22">
        <x:f>H5+H6+H7</x:f>
        <x:v>6684.583333333333</x:v>
      </x:c>
      <x:c r="I8" s="22">
        <x:f>I5+I6+I7</x:f>
        <x:v>8452.916666666666</x:v>
      </x:c>
      <x:c r="J8" s="22">
        <x:f>J5+J6+J7</x:f>
        <x:v>9393.416666666666</x:v>
      </x:c>
      <x:c r="K8" s="22">
        <x:f>K5+K6+K7</x:f>
        <x:v>9393.416666666666</x:v>
      </x:c>
      <x:c r="L8" s="22">
        <x:f>L5+L6+L7</x:f>
        <x:v>9094.166666666666</x:v>
      </x:c>
      <x:c r="M8" s="22">
        <x:f>M5+M6+M7</x:f>
        <x:v>9393.416666666666</x:v>
      </x:c>
      <x:c r="N8" s="22">
        <x:f>N5+N6+N7</x:f>
        <x:v>9094.166666666666</x:v>
      </x:c>
      <x:c r="O8" s="22">
        <x:f>O5+O6+O7</x:f>
        <x:v>9393.416666666666</x:v>
      </x:c>
    </x:row>
    <x:row r="9">
      <x:c r="D9" s="14" t="n"/>
      <x:c r="E9" s="14" t="n"/>
      <x:c r="F9" s="14" t="n"/>
      <x:c r="G9" s="14" t="n"/>
      <x:c r="H9" s="14" t="n"/>
      <x:c r="I9" s="14" t="n"/>
      <x:c r="J9" s="14" t="n"/>
      <x:c r="K9" s="14" t="n"/>
      <x:c r="L9" s="14" t="n"/>
      <x:c r="M9" s="14" t="n"/>
      <x:c r="N9" s="14" t="n"/>
      <x:c r="O9" s="14" t="n"/>
    </x:row>
    <x:row r="10">
      <x:c r="A10" s="7" t="inlineStr">
        <x:is>
          <x:t xml:space="preserve">Corporate payroll</x:t>
        </x:is>
      </x:c>
      <x:c r="B10" s="5" t="inlineStr">
        <x:is>
          <x:t xml:space="preserve">ZAR'000</x:t>
        </x:is>
      </x:c>
      <x:c r="D10" s="14">
        <x:f>Control!$C$52*Control!$C$53/12</x:f>
        <x:v>500</x:v>
      </x:c>
      <x:c r="E10" s="14">
        <x:f>Control!$C$52*Control!$C$53/12</x:f>
        <x:v>500</x:v>
      </x:c>
      <x:c r="F10" s="14">
        <x:f>Control!$C$52*Control!$C$53/12</x:f>
        <x:v>500</x:v>
      </x:c>
      <x:c r="G10" s="14">
        <x:f>Control!$C$52*Control!$C$53/12</x:f>
        <x:v>500</x:v>
      </x:c>
      <x:c r="H10" s="14">
        <x:f>Control!$C$52*Control!$C$53/12</x:f>
        <x:v>500</x:v>
      </x:c>
      <x:c r="I10" s="14">
        <x:f>Control!$C$52*Control!$C$53/12</x:f>
        <x:v>500</x:v>
      </x:c>
      <x:c r="J10" s="14">
        <x:f>Control!$C$52*Control!$C$53/12</x:f>
        <x:v>500</x:v>
      </x:c>
      <x:c r="K10" s="14">
        <x:f>Control!$C$52*Control!$C$53/12</x:f>
        <x:v>500</x:v>
      </x:c>
      <x:c r="L10" s="14">
        <x:f>Control!$C$52*Control!$C$53/12</x:f>
        <x:v>500</x:v>
      </x:c>
      <x:c r="M10" s="14">
        <x:f>Control!$C$52*Control!$C$53/12</x:f>
        <x:v>500</x:v>
      </x:c>
      <x:c r="N10" s="14">
        <x:f>Control!$C$52*Control!$C$53/12</x:f>
        <x:v>500</x:v>
      </x:c>
      <x:c r="O10" s="14">
        <x:f>Control!$C$52*Control!$C$53/12</x:f>
        <x:v>500</x:v>
      </x:c>
    </x:row>
    <x:row r="11">
      <x:c r="A11" s="7" t="inlineStr">
        <x:is>
          <x:t xml:space="preserve">Site management payroll</x:t>
        </x:is>
      </x:c>
      <x:c r="B11" s="5" t="inlineStr">
        <x:is>
          <x:t xml:space="preserve">ZAR'000</x:t>
        </x:is>
      </x:c>
      <x:c r="D11" s="14">
        <x:f>'12M_Deployment'!D28*Control!$C$54*Control!$C$55/12</x:f>
        <x:v>0</x:v>
      </x:c>
      <x:c r="E11" s="14">
        <x:f>'12M_Deployment'!E28*Control!$C$54*Control!$C$55/12</x:f>
        <x:v>0</x:v>
      </x:c>
      <x:c r="F11" s="14">
        <x:f>'12M_Deployment'!F28*Control!$C$54*Control!$C$55/12</x:f>
        <x:v>116.66666666666667</x:v>
      </x:c>
      <x:c r="G11" s="14">
        <x:f>'12M_Deployment'!G28*Control!$C$54*Control!$C$55/12</x:f>
        <x:v>116.66666666666667</x:v>
      </x:c>
      <x:c r="H11" s="14">
        <x:f>'12M_Deployment'!H28*Control!$C$54*Control!$C$55/12</x:f>
        <x:v>116.66666666666667</x:v>
      </x:c>
      <x:c r="I11" s="14">
        <x:f>'12M_Deployment'!I28*Control!$C$54*Control!$C$55/12</x:f>
        <x:v>233.33333333333334</x:v>
      </x:c>
      <x:c r="J11" s="14">
        <x:f>'12M_Deployment'!J28*Control!$C$54*Control!$C$55/12</x:f>
        <x:v>233.33333333333334</x:v>
      </x:c>
      <x:c r="K11" s="14">
        <x:f>'12M_Deployment'!K28*Control!$C$54*Control!$C$55/12</x:f>
        <x:v>233.33333333333334</x:v>
      </x:c>
      <x:c r="L11" s="14">
        <x:f>'12M_Deployment'!L28*Control!$C$54*Control!$C$55/12</x:f>
        <x:v>233.33333333333334</x:v>
      </x:c>
      <x:c r="M11" s="14">
        <x:f>'12M_Deployment'!M28*Control!$C$54*Control!$C$55/12</x:f>
        <x:v>233.33333333333334</x:v>
      </x:c>
      <x:c r="N11" s="14">
        <x:f>'12M_Deployment'!N28*Control!$C$54*Control!$C$55/12</x:f>
        <x:v>233.33333333333334</x:v>
      </x:c>
      <x:c r="O11" s="14">
        <x:f>'12M_Deployment'!O28*Control!$C$54*Control!$C$55/12</x:f>
        <x:v>233.33333333333334</x:v>
      </x:c>
    </x:row>
    <x:row r="12">
      <x:c r="A12" s="7" t="inlineStr">
        <x:is>
          <x:t xml:space="preserve">Technician payroll</x:t>
        </x:is>
      </x:c>
      <x:c r="B12" s="5" t="inlineStr">
        <x:is>
          <x:t xml:space="preserve">ZAR'000</x:t>
        </x:is>
      </x:c>
      <x:c r="D12" s="14">
        <x:f>'12M_Deployment'!D19*Control!$C$56*Control!$C$57/12</x:f>
        <x:v>0</x:v>
      </x:c>
      <x:c r="E12" s="14">
        <x:f>'12M_Deployment'!E19*Control!$C$56*Control!$C$57/12</x:f>
        <x:v>0</x:v>
      </x:c>
      <x:c r="F12" s="14">
        <x:f>'12M_Deployment'!F19*Control!$C$56*Control!$C$57/12</x:f>
        <x:v>25.520833333333332</x:v>
      </x:c>
      <x:c r="G12" s="14">
        <x:f>'12M_Deployment'!G19*Control!$C$56*Control!$C$57/12</x:f>
        <x:v>76.5625</x:v>
      </x:c>
      <x:c r="H12" s="14">
        <x:f>'12M_Deployment'!H19*Control!$C$56*Control!$C$57/12</x:f>
        <x:v>127.60416666666667</x:v>
      </x:c>
      <x:c r="I12" s="14">
        <x:f>'12M_Deployment'!I19*Control!$C$56*Control!$C$57/12</x:f>
        <x:v>178.64583333333334</x:v>
      </x:c>
      <x:c r="J12" s="14">
        <x:f>'12M_Deployment'!J19*Control!$C$56*Control!$C$57/12</x:f>
        <x:v>204.16666666666666</x:v>
      </x:c>
      <x:c r="K12" s="14">
        <x:f>'12M_Deployment'!K19*Control!$C$56*Control!$C$57/12</x:f>
        <x:v>204.16666666666666</x:v>
      </x:c>
      <x:c r="L12" s="14">
        <x:f>'12M_Deployment'!L19*Control!$C$56*Control!$C$57/12</x:f>
        <x:v>204.16666666666666</x:v>
      </x:c>
      <x:c r="M12" s="14">
        <x:f>'12M_Deployment'!M19*Control!$C$56*Control!$C$57/12</x:f>
        <x:v>204.16666666666666</x:v>
      </x:c>
      <x:c r="N12" s="14">
        <x:f>'12M_Deployment'!N19*Control!$C$56*Control!$C$57/12</x:f>
        <x:v>204.16666666666666</x:v>
      </x:c>
      <x:c r="O12" s="14">
        <x:f>'12M_Deployment'!O19*Control!$C$56*Control!$C$57/12</x:f>
        <x:v>204.16666666666666</x:v>
      </x:c>
    </x:row>
    <x:row r="13">
      <x:c r="A13" s="7" t="inlineStr">
        <x:is>
          <x:t xml:space="preserve">Electrician payroll</x:t>
        </x:is>
      </x:c>
      <x:c r="B13" s="5" t="inlineStr">
        <x:is>
          <x:t xml:space="preserve">ZAR'000</x:t>
        </x:is>
      </x:c>
      <x:c r="D13" s="14">
        <x:f>'12M_Deployment'!D19*Control!$C$58*Control!$C$59/12</x:f>
        <x:v>0</x:v>
      </x:c>
      <x:c r="E13" s="14">
        <x:f>'12M_Deployment'!E19*Control!$C$58*Control!$C$59/12</x:f>
        <x:v>0</x:v>
      </x:c>
      <x:c r="F13" s="14">
        <x:f>'12M_Deployment'!F19*Control!$C$58*Control!$C$59/12</x:f>
        <x:v>7.5</x:v>
      </x:c>
      <x:c r="G13" s="14">
        <x:f>'12M_Deployment'!G19*Control!$C$58*Control!$C$59/12</x:f>
        <x:v>22.5</x:v>
      </x:c>
      <x:c r="H13" s="14">
        <x:f>'12M_Deployment'!H19*Control!$C$58*Control!$C$59/12</x:f>
        <x:v>37.5</x:v>
      </x:c>
      <x:c r="I13" s="14">
        <x:f>'12M_Deployment'!I19*Control!$C$58*Control!$C$59/12</x:f>
        <x:v>52.50000000000001</x:v>
      </x:c>
      <x:c r="J13" s="14">
        <x:f>'12M_Deployment'!J19*Control!$C$58*Control!$C$59/12</x:f>
        <x:v>60</x:v>
      </x:c>
      <x:c r="K13" s="14">
        <x:f>'12M_Deployment'!K19*Control!$C$58*Control!$C$59/12</x:f>
        <x:v>60</x:v>
      </x:c>
      <x:c r="L13" s="14">
        <x:f>'12M_Deployment'!L19*Control!$C$58*Control!$C$59/12</x:f>
        <x:v>60</x:v>
      </x:c>
      <x:c r="M13" s="14">
        <x:f>'12M_Deployment'!M19*Control!$C$58*Control!$C$59/12</x:f>
        <x:v>60</x:v>
      </x:c>
      <x:c r="N13" s="14">
        <x:f>'12M_Deployment'!N19*Control!$C$58*Control!$C$59/12</x:f>
        <x:v>60</x:v>
      </x:c>
      <x:c r="O13" s="14">
        <x:f>'12M_Deployment'!O19*Control!$C$58*Control!$C$59/12</x:f>
        <x:v>60</x:v>
      </x:c>
    </x:row>
    <x:row r="14">
      <x:c r="A14" s="7" t="inlineStr">
        <x:is>
          <x:t xml:space="preserve">Gross payroll</x:t>
        </x:is>
      </x:c>
      <x:c r="B14" s="5" t="inlineStr">
        <x:is>
          <x:t xml:space="preserve">ZAR'000</x:t>
        </x:is>
      </x:c>
      <x:c r="D14" s="14">
        <x:f>SUM(D10:D13)</x:f>
        <x:v>500</x:v>
      </x:c>
      <x:c r="E14" s="14">
        <x:f>SUM(E10:E13)</x:f>
        <x:v>500</x:v>
      </x:c>
      <x:c r="F14" s="14">
        <x:f>SUM(F10:F13)</x:f>
        <x:v>649.6875</x:v>
      </x:c>
      <x:c r="G14" s="14">
        <x:f>SUM(G10:G13)</x:f>
        <x:v>715.7291666666666</x:v>
      </x:c>
      <x:c r="H14" s="14">
        <x:f>SUM(H10:H13)</x:f>
        <x:v>781.7708333333333</x:v>
      </x:c>
      <x:c r="I14" s="14">
        <x:f>SUM(I10:I13)</x:f>
        <x:v>964.4791666666667</x:v>
      </x:c>
      <x:c r="J14" s="14">
        <x:f>SUM(J10:J13)</x:f>
        <x:v>997.5</x:v>
      </x:c>
      <x:c r="K14" s="14">
        <x:f>SUM(K10:K13)</x:f>
        <x:v>997.5</x:v>
      </x:c>
      <x:c r="L14" s="14">
        <x:f>SUM(L10:L13)</x:f>
        <x:v>997.5</x:v>
      </x:c>
      <x:c r="M14" s="14">
        <x:f>SUM(M10:M13)</x:f>
        <x:v>997.5</x:v>
      </x:c>
      <x:c r="N14" s="14">
        <x:f>SUM(N10:N13)</x:f>
        <x:v>997.5</x:v>
      </x:c>
      <x:c r="O14" s="14">
        <x:f>SUM(O10:O13)</x:f>
        <x:v>997.5</x:v>
      </x:c>
    </x:row>
    <x:row r="15">
      <x:c r="A15" s="7" t="inlineStr">
        <x:is>
          <x:t xml:space="preserve">Benefits</x:t>
        </x:is>
      </x:c>
      <x:c r="B15" s="5" t="inlineStr">
        <x:is>
          <x:t xml:space="preserve">ZAR'000</x:t>
        </x:is>
      </x:c>
      <x:c r="D15" s="14">
        <x:f>D14*Control!$C$60</x:f>
        <x:v>100</x:v>
      </x:c>
      <x:c r="E15" s="14">
        <x:f>E14*Control!$C$60</x:f>
        <x:v>100</x:v>
      </x:c>
      <x:c r="F15" s="14">
        <x:f>F14*Control!$C$60</x:f>
        <x:v>129.9375</x:v>
      </x:c>
      <x:c r="G15" s="14">
        <x:f>G14*Control!$C$60</x:f>
        <x:v>143.14583333333334</x:v>
      </x:c>
      <x:c r="H15" s="14">
        <x:f>H14*Control!$C$60</x:f>
        <x:v>156.35416666666666</x:v>
      </x:c>
      <x:c r="I15" s="14">
        <x:f>I14*Control!$C$60</x:f>
        <x:v>192.89583333333337</x:v>
      </x:c>
      <x:c r="J15" s="14">
        <x:f>J14*Control!$C$60</x:f>
        <x:v>199.5</x:v>
      </x:c>
      <x:c r="K15" s="14">
        <x:f>K14*Control!$C$60</x:f>
        <x:v>199.5</x:v>
      </x:c>
      <x:c r="L15" s="14">
        <x:f>L14*Control!$C$60</x:f>
        <x:v>199.5</x:v>
      </x:c>
      <x:c r="M15" s="14">
        <x:f>M14*Control!$C$60</x:f>
        <x:v>199.5</x:v>
      </x:c>
      <x:c r="N15" s="14">
        <x:f>N14*Control!$C$60</x:f>
        <x:v>199.5</x:v>
      </x:c>
      <x:c r="O15" s="14">
        <x:f>O14*Control!$C$60</x:f>
        <x:v>199.5</x:v>
      </x:c>
    </x:row>
    <x:row r="16">
      <x:c r="A16" s="2" t="inlineStr">
        <x:is>
          <x:t xml:space="preserve">Salaries &amp; benefits</x:t>
        </x:is>
      </x:c>
      <x:c r="B16" s="5" t="inlineStr">
        <x:is>
          <x:t xml:space="preserve">ZAR'000</x:t>
        </x:is>
      </x:c>
      <x:c r="D16" s="14">
        <x:f>D14+D15</x:f>
        <x:v>600</x:v>
      </x:c>
      <x:c r="E16" s="14">
        <x:f>E14+E15</x:f>
        <x:v>600</x:v>
      </x:c>
      <x:c r="F16" s="14">
        <x:f>F14+F15</x:f>
        <x:v>779.625</x:v>
      </x:c>
      <x:c r="G16" s="14">
        <x:f>G14+G15</x:f>
        <x:v>858.875</x:v>
      </x:c>
      <x:c r="H16" s="14">
        <x:f>H14+H15</x:f>
        <x:v>938.1249999999999</x:v>
      </x:c>
      <x:c r="I16" s="14">
        <x:f>I14+I15</x:f>
        <x:v>1157.375</x:v>
      </x:c>
      <x:c r="J16" s="14">
        <x:f>J14+J15</x:f>
        <x:v>1197</x:v>
      </x:c>
      <x:c r="K16" s="14">
        <x:f>K14+K15</x:f>
        <x:v>1197</x:v>
      </x:c>
      <x:c r="L16" s="14">
        <x:f>L14+L15</x:f>
        <x:v>1197</x:v>
      </x:c>
      <x:c r="M16" s="14">
        <x:f>M14+M15</x:f>
        <x:v>1197</x:v>
      </x:c>
      <x:c r="N16" s="14">
        <x:f>N14+N15</x:f>
        <x:v>1197</x:v>
      </x:c>
      <x:c r="O16" s="14">
        <x:f>O14+O15</x:f>
        <x:v>1197</x:v>
      </x:c>
    </x:row>
    <x:row r="17">
      <x:c r="A17" s="7" t="inlineStr">
        <x:is>
          <x:t xml:space="preserve">Travel / accommodation</x:t>
        </x:is>
      </x:c>
      <x:c r="B17" s="5" t="inlineStr">
        <x:is>
          <x:t xml:space="preserve">ZAR'000</x:t>
        </x:is>
      </x:c>
      <x:c r="D17" s="14">
        <x:f>D14*Control!$C$61+'12M_Deployment'!D32*Control!$C$62</x:f>
        <x:v>30</x:v>
      </x:c>
      <x:c r="E17" s="14">
        <x:f>E14*Control!$C$61+'12M_Deployment'!E32*Control!$C$62</x:f>
        <x:v>30</x:v>
      </x:c>
      <x:c r="F17" s="14">
        <x:f>F14*Control!$C$61+'12M_Deployment'!F32*Control!$C$62</x:f>
        <x:v>288.98125</x:v>
      </x:c>
      <x:c r="G17" s="14">
        <x:f>G14*Control!$C$61+'12M_Deployment'!G32*Control!$C$62</x:f>
        <x:v>42.943749999999994</x:v>
      </x:c>
      <x:c r="H17" s="14">
        <x:f>H14*Control!$C$61+'12M_Deployment'!H32*Control!$C$62</x:f>
        <x:v>46.90624999999999</x:v>
      </x:c>
      <x:c r="I17" s="14">
        <x:f>I14*Control!$C$61+'12M_Deployment'!I32*Control!$C$62</x:f>
        <x:v>307.86875</x:v>
      </x:c>
      <x:c r="J17" s="14">
        <x:f>J14*Control!$C$61+'12M_Deployment'!J32*Control!$C$62</x:f>
        <x:v>59.849999999999994</x:v>
      </x:c>
      <x:c r="K17" s="14">
        <x:f>K14*Control!$C$61+'12M_Deployment'!K32*Control!$C$62</x:f>
        <x:v>59.849999999999994</x:v>
      </x:c>
      <x:c r="L17" s="14">
        <x:f>L14*Control!$C$61+'12M_Deployment'!L32*Control!$C$62</x:f>
        <x:v>59.849999999999994</x:v>
      </x:c>
      <x:c r="M17" s="14">
        <x:f>M14*Control!$C$61+'12M_Deployment'!M32*Control!$C$62</x:f>
        <x:v>59.849999999999994</x:v>
      </x:c>
      <x:c r="N17" s="14">
        <x:f>N14*Control!$C$61+'12M_Deployment'!N32*Control!$C$62</x:f>
        <x:v>59.849999999999994</x:v>
      </x:c>
      <x:c r="O17" s="14">
        <x:f>O14*Control!$C$61+'12M_Deployment'!O32*Control!$C$62</x:f>
        <x:v>59.849999999999994</x:v>
      </x:c>
    </x:row>
    <x:row r="18">
      <x:c r="A18" s="7" t="inlineStr">
        <x:is>
          <x:t xml:space="preserve">Software / storage / monitoring</x:t>
        </x:is>
      </x:c>
      <x:c r="B18" s="5" t="inlineStr">
        <x:is>
          <x:t xml:space="preserve">ZAR'000</x:t>
        </x:is>
      </x:c>
      <x:c r="D18" s="14">
        <x:f>'12M_Deployment'!D49*Control!$C$63+'12M_Deployment'!D28*Control!$C$64+Control!$C$67</x:f>
        <x:v>46</x:v>
      </x:c>
      <x:c r="E18" s="14">
        <x:f>'12M_Deployment'!E49*Control!$C$63+'12M_Deployment'!E28*Control!$C$64+Control!$C$67</x:f>
        <x:v>46</x:v>
      </x:c>
      <x:c r="F18" s="14">
        <x:f>'12M_Deployment'!F49*Control!$C$63+'12M_Deployment'!F28*Control!$C$64+Control!$C$67</x:f>
        <x:v>100.525</x:v>
      </x:c>
      <x:c r="G18" s="14">
        <x:f>'12M_Deployment'!G49*Control!$C$63+'12M_Deployment'!G28*Control!$C$64+Control!$C$67</x:f>
        <x:v>108.05000000000001</x:v>
      </x:c>
      <x:c r="H18" s="14">
        <x:f>'12M_Deployment'!H49*Control!$C$63+'12M_Deployment'!H28*Control!$C$64+Control!$C$67</x:f>
        <x:v>115.57499999999999</x:v>
      </x:c>
      <x:c r="I18" s="14">
        <x:f>'12M_Deployment'!I49*Control!$C$63+'12M_Deployment'!I28*Control!$C$64+Control!$C$67</x:f>
        <x:v>170.10000000000002</x:v>
      </x:c>
      <x:c r="J18" s="14">
        <x:f>'12M_Deployment'!J49*Control!$C$63+'12M_Deployment'!J28*Control!$C$64+Control!$C$67</x:f>
        <x:v>170.10000000000002</x:v>
      </x:c>
      <x:c r="K18" s="14">
        <x:f>'12M_Deployment'!K49*Control!$C$63+'12M_Deployment'!K28*Control!$C$64+Control!$C$67</x:f>
        <x:v>170.10000000000002</x:v>
      </x:c>
      <x:c r="L18" s="14">
        <x:f>'12M_Deployment'!L49*Control!$C$63+'12M_Deployment'!L28*Control!$C$64+Control!$C$67</x:f>
        <x:v>170.10000000000002</x:v>
      </x:c>
      <x:c r="M18" s="14">
        <x:f>'12M_Deployment'!M49*Control!$C$63+'12M_Deployment'!M28*Control!$C$64+Control!$C$67</x:f>
        <x:v>170.10000000000002</x:v>
      </x:c>
      <x:c r="N18" s="14">
        <x:f>'12M_Deployment'!N49*Control!$C$63+'12M_Deployment'!N28*Control!$C$64+Control!$C$67</x:f>
        <x:v>170.10000000000002</x:v>
      </x:c>
      <x:c r="O18" s="14">
        <x:f>'12M_Deployment'!O49*Control!$C$63+'12M_Deployment'!O28*Control!$C$64+Control!$C$67</x:f>
        <x:v>170.10000000000002</x:v>
      </x:c>
    </x:row>
    <x:row r="19">
      <x:c r="A19" s="7" t="inlineStr">
        <x:is>
          <x:t xml:space="preserve">Legal fees</x:t>
        </x:is>
      </x:c>
      <x:c r="B19" s="5" t="inlineStr">
        <x:is>
          <x:t xml:space="preserve">ZAR'000</x:t>
        </x:is>
      </x:c>
      <x:c r="D19" s="14">
        <x:f>Control!$C$65</x:f>
        <x:v>75</x:v>
      </x:c>
      <x:c r="E19" s="14">
        <x:f>Control!$C$65</x:f>
        <x:v>75</x:v>
      </x:c>
      <x:c r="F19" s="14">
        <x:f>Control!$C$65</x:f>
        <x:v>75</x:v>
      </x:c>
      <x:c r="G19" s="14">
        <x:f>Control!$C$65</x:f>
        <x:v>75</x:v>
      </x:c>
      <x:c r="H19" s="14">
        <x:f>Control!$C$65</x:f>
        <x:v>75</x:v>
      </x:c>
      <x:c r="I19" s="14">
        <x:f>Control!$C$65</x:f>
        <x:v>75</x:v>
      </x:c>
      <x:c r="J19" s="14">
        <x:f>Control!$C$65</x:f>
        <x:v>75</x:v>
      </x:c>
      <x:c r="K19" s="14">
        <x:f>Control!$C$65</x:f>
        <x:v>75</x:v>
      </x:c>
      <x:c r="L19" s="14">
        <x:f>Control!$C$65</x:f>
        <x:v>75</x:v>
      </x:c>
      <x:c r="M19" s="14">
        <x:f>Control!$C$65</x:f>
        <x:v>75</x:v>
      </x:c>
      <x:c r="N19" s="14">
        <x:f>Control!$C$65</x:f>
        <x:v>75</x:v>
      </x:c>
      <x:c r="O19" s="14">
        <x:f>Control!$C$65</x:f>
        <x:v>75</x:v>
      </x:c>
    </x:row>
    <x:row r="20">
      <x:c r="A20" s="7" t="inlineStr">
        <x:is>
          <x:t xml:space="preserve">Office rent</x:t>
        </x:is>
      </x:c>
      <x:c r="B20" s="5" t="inlineStr">
        <x:is>
          <x:t xml:space="preserve">ZAR'000</x:t>
        </x:is>
      </x:c>
      <x:c r="D20" s="14">
        <x:f>Control!$C$66</x:f>
        <x:v>90</x:v>
      </x:c>
      <x:c r="E20" s="14">
        <x:f>Control!$C$66</x:f>
        <x:v>90</x:v>
      </x:c>
      <x:c r="F20" s="14">
        <x:f>Control!$C$66</x:f>
        <x:v>90</x:v>
      </x:c>
      <x:c r="G20" s="14">
        <x:f>Control!$C$66</x:f>
        <x:v>90</x:v>
      </x:c>
      <x:c r="H20" s="14">
        <x:f>Control!$C$66</x:f>
        <x:v>90</x:v>
      </x:c>
      <x:c r="I20" s="14">
        <x:f>Control!$C$66</x:f>
        <x:v>90</x:v>
      </x:c>
      <x:c r="J20" s="14">
        <x:f>Control!$C$66</x:f>
        <x:v>90</x:v>
      </x:c>
      <x:c r="K20" s="14">
        <x:f>Control!$C$66</x:f>
        <x:v>90</x:v>
      </x:c>
      <x:c r="L20" s="14">
        <x:f>Control!$C$66</x:f>
        <x:v>90</x:v>
      </x:c>
      <x:c r="M20" s="14">
        <x:f>Control!$C$66</x:f>
        <x:v>90</x:v>
      </x:c>
      <x:c r="N20" s="14">
        <x:f>Control!$C$66</x:f>
        <x:v>90</x:v>
      </x:c>
      <x:c r="O20" s="14">
        <x:f>Control!$C$66</x:f>
        <x:v>90</x:v>
      </x:c>
    </x:row>
    <x:row r="21">
      <x:c r="A21" s="7" t="inlineStr">
        <x:is>
          <x:t xml:space="preserve">Tools / consumables recurring</x:t>
        </x:is>
      </x:c>
      <x:c r="B21" s="5" t="inlineStr">
        <x:is>
          <x:t xml:space="preserve">ZAR'000</x:t>
        </x:is>
      </x:c>
      <x:c r="D21" s="14">
        <x:f>'12M_Deployment'!D19*Control!$C$68</x:f>
        <x:v>0</x:v>
      </x:c>
      <x:c r="E21" s="14">
        <x:f>'12M_Deployment'!E19*Control!$C$68</x:f>
        <x:v>0</x:v>
      </x:c>
      <x:c r="F21" s="14">
        <x:f>'12M_Deployment'!F19*Control!$C$68</x:f>
        <x:v>20</x:v>
      </x:c>
      <x:c r="G21" s="14">
        <x:f>'12M_Deployment'!G19*Control!$C$68</x:f>
        <x:v>60</x:v>
      </x:c>
      <x:c r="H21" s="14">
        <x:f>'12M_Deployment'!H19*Control!$C$68</x:f>
        <x:v>100</x:v>
      </x:c>
      <x:c r="I21" s="14">
        <x:f>'12M_Deployment'!I19*Control!$C$68</x:f>
        <x:v>140</x:v>
      </x:c>
      <x:c r="J21" s="14">
        <x:f>'12M_Deployment'!J19*Control!$C$68</x:f>
        <x:v>160</x:v>
      </x:c>
      <x:c r="K21" s="14">
        <x:f>'12M_Deployment'!K19*Control!$C$68</x:f>
        <x:v>160</x:v>
      </x:c>
      <x:c r="L21" s="14">
        <x:f>'12M_Deployment'!L19*Control!$C$68</x:f>
        <x:v>160</x:v>
      </x:c>
      <x:c r="M21" s="14">
        <x:f>'12M_Deployment'!M19*Control!$C$68</x:f>
        <x:v>160</x:v>
      </x:c>
      <x:c r="N21" s="14">
        <x:f>'12M_Deployment'!N19*Control!$C$68</x:f>
        <x:v>160</x:v>
      </x:c>
      <x:c r="O21" s="14">
        <x:f>'12M_Deployment'!O19*Control!$C$68</x:f>
        <x:v>160</x:v>
      </x:c>
    </x:row>
    <x:row r="22">
      <x:c r="A22" s="7" t="inlineStr">
        <x:is>
          <x:t xml:space="preserve">Security &amp; operating insurance</x:t>
        </x:is>
      </x:c>
      <x:c r="B22" s="5" t="inlineStr">
        <x:is>
          <x:t xml:space="preserve">ZAR'000</x:t>
        </x:is>
      </x:c>
      <x:c r="D22" s="14">
        <x:f>'12M_Deployment'!D28*Control!$C$69</x:f>
        <x:v>0</x:v>
      </x:c>
      <x:c r="E22" s="14">
        <x:f>'12M_Deployment'!E28*Control!$C$69</x:f>
        <x:v>0</x:v>
      </x:c>
      <x:c r="F22" s="14">
        <x:f>'12M_Deployment'!F28*Control!$C$69</x:f>
        <x:v>120</x:v>
      </x:c>
      <x:c r="G22" s="14">
        <x:f>'12M_Deployment'!G28*Control!$C$69</x:f>
        <x:v>120</x:v>
      </x:c>
      <x:c r="H22" s="14">
        <x:f>'12M_Deployment'!H28*Control!$C$69</x:f>
        <x:v>120</x:v>
      </x:c>
      <x:c r="I22" s="14">
        <x:f>'12M_Deployment'!I28*Control!$C$69</x:f>
        <x:v>240</x:v>
      </x:c>
      <x:c r="J22" s="14">
        <x:f>'12M_Deployment'!J28*Control!$C$69</x:f>
        <x:v>240</x:v>
      </x:c>
      <x:c r="K22" s="14">
        <x:f>'12M_Deployment'!K28*Control!$C$69</x:f>
        <x:v>240</x:v>
      </x:c>
      <x:c r="L22" s="14">
        <x:f>'12M_Deployment'!L28*Control!$C$69</x:f>
        <x:v>240</x:v>
      </x:c>
      <x:c r="M22" s="14">
        <x:f>'12M_Deployment'!M28*Control!$C$69</x:f>
        <x:v>240</x:v>
      </x:c>
      <x:c r="N22" s="14">
        <x:f>'12M_Deployment'!N28*Control!$C$69</x:f>
        <x:v>240</x:v>
      </x:c>
      <x:c r="O22" s="14">
        <x:f>'12M_Deployment'!O28*Control!$C$69</x:f>
        <x:v>240</x:v>
      </x:c>
    </x:row>
    <x:row r="23">
      <x:c r="A23" s="7" t="inlineStr">
        <x:is>
          <x:t xml:space="preserve">Other utilities / water</x:t>
        </x:is>
      </x:c>
      <x:c r="B23" s="5" t="inlineStr">
        <x:is>
          <x:t xml:space="preserve">ZAR'000</x:t>
        </x:is>
      </x:c>
      <x:c r="D23" s="14">
        <x:f>'12M_Deployment'!D19*Control!$C$70</x:f>
        <x:v>0</x:v>
      </x:c>
      <x:c r="E23" s="14">
        <x:f>'12M_Deployment'!E19*Control!$C$70</x:f>
        <x:v>0</x:v>
      </x:c>
      <x:c r="F23" s="14">
        <x:f>'12M_Deployment'!F19*Control!$C$70</x:f>
        <x:v>50</x:v>
      </x:c>
      <x:c r="G23" s="14">
        <x:f>'12M_Deployment'!G19*Control!$C$70</x:f>
        <x:v>150</x:v>
      </x:c>
      <x:c r="H23" s="14">
        <x:f>'12M_Deployment'!H19*Control!$C$70</x:f>
        <x:v>250</x:v>
      </x:c>
      <x:c r="I23" s="14">
        <x:f>'12M_Deployment'!I19*Control!$C$70</x:f>
        <x:v>350</x:v>
      </x:c>
      <x:c r="J23" s="14">
        <x:f>'12M_Deployment'!J19*Control!$C$70</x:f>
        <x:v>400</x:v>
      </x:c>
      <x:c r="K23" s="14">
        <x:f>'12M_Deployment'!K19*Control!$C$70</x:f>
        <x:v>400</x:v>
      </x:c>
      <x:c r="L23" s="14">
        <x:f>'12M_Deployment'!L19*Control!$C$70</x:f>
        <x:v>400</x:v>
      </x:c>
      <x:c r="M23" s="14">
        <x:f>'12M_Deployment'!M19*Control!$C$70</x:f>
        <x:v>400</x:v>
      </x:c>
      <x:c r="N23" s="14">
        <x:f>'12M_Deployment'!N19*Control!$C$70</x:f>
        <x:v>400</x:v>
      </x:c>
      <x:c r="O23" s="14">
        <x:f>'12M_Deployment'!O19*Control!$C$70</x:f>
        <x:v>400</x:v>
      </x:c>
    </x:row>
    <x:row r="24">
      <x:c r="A24" s="19" t="inlineStr">
        <x:is>
          <x:t xml:space="preserve">Total cash opex</x:t>
        </x:is>
      </x:c>
      <x:c r="B24" s="20" t="inlineStr">
        <x:is>
          <x:t xml:space="preserve">ZAR'000</x:t>
        </x:is>
      </x:c>
      <x:c r="C24" s="21" t="n"/>
      <x:c r="D24" s="22">
        <x:f>SUM(D8,D16:D23)</x:f>
        <x:v>841</x:v>
      </x:c>
      <x:c r="E24" s="22">
        <x:f>SUM(E8,E16:E23)</x:f>
        <x:v>841</x:v>
      </x:c>
      <x:c r="F24" s="22">
        <x:f>SUM(F8,F16:F23)</x:f>
        <x:v>2849.3812500000004</x:v>
      </x:c>
      <x:c r="G24" s="22">
        <x:f>SUM(G8,G16:G23)</x:f>
        <x:v>5352.36875</x:v>
      </x:c>
      <x:c r="H24" s="22">
        <x:f>SUM(H8,H16:H23)</x:f>
        <x:v>8420.189583333333</x:v>
      </x:c>
      <x:c r="I24" s="22">
        <x:f>SUM(I8,I16:I23)</x:f>
        <x:v>10983.260416666666</x:v>
      </x:c>
      <x:c r="J24" s="22">
        <x:f>SUM(J8,J16:J23)</x:f>
        <x:v>11785.366666666665</x:v>
      </x:c>
      <x:c r="K24" s="22">
        <x:f>SUM(K8,K16:K23)</x:f>
        <x:v>11785.366666666665</x:v>
      </x:c>
      <x:c r="L24" s="22">
        <x:f>SUM(L8,L16:L23)</x:f>
        <x:v>11486.116666666665</x:v>
      </x:c>
      <x:c r="M24" s="22">
        <x:f>SUM(M8,M16:M23)</x:f>
        <x:v>11785.366666666665</x:v>
      </x:c>
      <x:c r="N24" s="22">
        <x:f>SUM(N8,N16:N23)</x:f>
        <x:v>11486.116666666665</x:v>
      </x:c>
      <x:c r="O24" s="22">
        <x:f>SUM(O8,O16:O23)</x:f>
        <x:v>11785.366666666665</x:v>
      </x:c>
    </x:row>
    <x:row r="25">
      <x:c r="A25" s="19" t="inlineStr">
        <x:is>
          <x:t xml:space="preserve">EBITDA - base case</x:t>
        </x:is>
      </x:c>
      <x:c r="B25" s="20" t="inlineStr">
        <x:is>
          <x:t xml:space="preserve">ZAR'000</x:t>
        </x:is>
      </x:c>
      <x:c r="C25" s="21" t="n"/>
      <x:c r="D25" s="22">
        <x:f>'12M_Revenue'!D21-D24</x:f>
        <x:v>-841</x:v>
      </x:c>
      <x:c r="E25" s="22">
        <x:f>'12M_Revenue'!E21-E24</x:f>
        <x:v>-841</x:v>
      </x:c>
      <x:c r="F25" s="22">
        <x:f>'12M_Revenue'!F21-F24</x:f>
        <x:v>79.10107730028585</x:v>
      </x:c>
      <x:c r="G25" s="22">
        <x:f>'12M_Revenue'!G21-G24</x:f>
        <x:v>3118.2407344662715</x:v>
      </x:c>
      <x:c r="H25" s="22">
        <x:f>'12M_Revenue'!H21-H24</x:f>
        <x:v>6114.142739597337</x:v>
      </x:c>
      <x:c r="I25" s="22">
        <x:f>'12M_Revenue'!I21-I24</x:f>
        <x:v>8791.311721130462</x:v>
      </x:c>
      <x:c r="J25" s="22">
        <x:f>'12M_Revenue'!J21-J24</x:f>
        <x:v>11618.51569337189</x:v>
      </x:c>
      <x:c r="K25" s="22">
        <x:f>'12M_Revenue'!K21-K24</x:f>
        <x:v>11531.98075011345</x:v>
      </x:c>
      <x:c r="L25" s="22">
        <x:f>'12M_Revenue'!L21-L24</x:f>
        <x:v>10995.624397626696</x:v>
      </x:c>
      <x:c r="M25" s="22">
        <x:f>'12M_Revenue'!M21-M24</x:f>
        <x:v>11359.869559302893</x:v>
      </x:c>
      <x:c r="N25" s="22">
        <x:f>'12M_Revenue'!N21-N24</x:f>
        <x:v>10829.681026928982</x:v>
      </x:c>
      <x:c r="O25" s="22">
        <x:f>'12M_Revenue'!O21-O24</x:f>
        <x:v>11189.02876436853</x:v>
      </x:c>
    </x:row>
    <x:row r="26">
      <x:c r="A26" s="19" t="inlineStr">
        <x:is>
          <x:t xml:space="preserve">EBITDA - with upside</x:t>
        </x:is>
      </x:c>
      <x:c r="B26" s="20" t="inlineStr">
        <x:is>
          <x:t xml:space="preserve">ZAR'000</x:t>
        </x:is>
      </x:c>
      <x:c r="C26" s="21" t="n"/>
      <x:c r="D26" s="22">
        <x:f>'12M_Revenue'!D22-D24</x:f>
        <x:v>-841</x:v>
      </x:c>
      <x:c r="E26" s="22">
        <x:f>'12M_Revenue'!E22-E24</x:f>
        <x:v>-841</x:v>
      </x:c>
      <x:c r="F26" s="22">
        <x:f>'12M_Revenue'!F22-F24</x:f>
        <x:v>79.10107730028585</x:v>
      </x:c>
      <x:c r="G26" s="22">
        <x:f>'12M_Revenue'!G22-G24</x:f>
        <x:v>3118.2407344662715</x:v>
      </x:c>
      <x:c r="H26" s="22">
        <x:f>'12M_Revenue'!H22-H24</x:f>
        <x:v>6114.142739597337</x:v>
      </x:c>
      <x:c r="I26" s="22">
        <x:f>'12M_Revenue'!I22-I24</x:f>
        <x:v>8791.311721130462</x:v>
      </x:c>
      <x:c r="J26" s="22">
        <x:f>'12M_Revenue'!J22-J24</x:f>
        <x:v>11734.76569337189</x:v>
      </x:c>
      <x:c r="K26" s="22">
        <x:f>'12M_Revenue'!K22-K24</x:f>
        <x:v>11648.23075011345</x:v>
      </x:c>
      <x:c r="L26" s="22">
        <x:f>'12M_Revenue'!L22-L24</x:f>
        <x:v>11108.124397626696</x:v>
      </x:c>
      <x:c r="M26" s="22">
        <x:f>'12M_Revenue'!M22-M24</x:f>
        <x:v>11476.119559302893</x:v>
      </x:c>
      <x:c r="N26" s="22">
        <x:f>'12M_Revenue'!N22-N24</x:f>
        <x:v>10942.181026928982</x:v>
      </x:c>
      <x:c r="O26" s="22">
        <x:f>'12M_Revenue'!O22-O24</x:f>
        <x:v>11305.27876436853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>
      <x:c r="A1" s="1" t="inlineStr">
        <x:is>
          <x:t xml:space="preserve">12-Month Capex &amp; Deployment Spend</x:t>
        </x:is>
      </x:c>
    </x:row>
    <x:row r="2">
      <x:c r="A2" s="5" t="inlineStr">
        <x:is>
          <x:t xml:space="preserve">This sheet distinguishes capex basis from cash spend timing. Hardware / container / EPC deposits are pulled forward ahead of commissioning.</x:t>
        </x:is>
      </x:c>
    </x:row>
    <x:row r="3">
      <x:c r="D3" s="16" t="n">
        <x:v>1</x:v>
      </x:c>
      <x:c r="E3" s="16" t="n">
        <x:v>2</x:v>
      </x:c>
      <x:c r="F3" s="16" t="n">
        <x:v>3</x:v>
      </x:c>
      <x:c r="G3" s="16" t="n">
        <x:v>4</x:v>
      </x:c>
      <x:c r="H3" s="16" t="n">
        <x:v>5</x:v>
      </x:c>
      <x:c r="I3" s="16" t="n">
        <x:v>6</x:v>
      </x:c>
      <x:c r="J3" s="16" t="n">
        <x:v>7</x:v>
      </x:c>
      <x:c r="K3" s="16" t="n">
        <x:v>8</x:v>
      </x:c>
      <x:c r="L3" s="16" t="n">
        <x:v>9</x:v>
      </x:c>
      <x:c r="M3" s="16" t="n">
        <x:v>10</x:v>
      </x:c>
      <x:c r="N3" s="16" t="n">
        <x:v>11</x:v>
      </x:c>
      <x:c r="O3" s="16" t="n">
        <x:v>12</x:v>
      </x:c>
    </x:row>
    <x:row r="4">
      <x:c r="D4" s="17" t="inlineStr">
        <x:is>
          <x:t xml:space="preserve">Jan-26</x:t>
        </x:is>
      </x:c>
      <x:c r="E4" s="17" t="inlineStr">
        <x:is>
          <x:t xml:space="preserve">Feb-26</x:t>
        </x:is>
      </x:c>
      <x:c r="F4" s="17" t="inlineStr">
        <x:is>
          <x:t xml:space="preserve">Mar-26</x:t>
        </x:is>
      </x:c>
      <x:c r="G4" s="17" t="inlineStr">
        <x:is>
          <x:t xml:space="preserve">Apr-26</x:t>
        </x:is>
      </x:c>
      <x:c r="H4" s="17" t="inlineStr">
        <x:is>
          <x:t xml:space="preserve">May-26</x:t>
        </x:is>
      </x:c>
      <x:c r="I4" s="17" t="inlineStr">
        <x:is>
          <x:t xml:space="preserve">Jun-26</x:t>
        </x:is>
      </x:c>
      <x:c r="J4" s="17" t="inlineStr">
        <x:is>
          <x:t xml:space="preserve">Jul-26</x:t>
        </x:is>
      </x:c>
      <x:c r="K4" s="17" t="inlineStr">
        <x:is>
          <x:t xml:space="preserve">Aug-26</x:t>
        </x:is>
      </x:c>
      <x:c r="L4" s="17" t="inlineStr">
        <x:is>
          <x:t xml:space="preserve">Sep-26</x:t>
        </x:is>
      </x:c>
      <x:c r="M4" s="17" t="inlineStr">
        <x:is>
          <x:t xml:space="preserve">Oct-26</x:t>
        </x:is>
      </x:c>
      <x:c r="N4" s="17" t="inlineStr">
        <x:is>
          <x:t xml:space="preserve">Nov-26</x:t>
        </x:is>
      </x:c>
      <x:c r="O4" s="17" t="inlineStr">
        <x:is>
          <x:t xml:space="preserve">Dec-26</x:t>
        </x:is>
      </x:c>
    </x:row>
    <x:row r="5">
      <x:c r="A5" s="7" t="inlineStr">
        <x:is>
          <x:t xml:space="preserve">New MW commissioned</x:t>
        </x:is>
      </x:c>
      <x:c r="B5" s="5" t="inlineStr">
        <x:is>
          <x:t xml:space="preserve">MW</x:t>
        </x:is>
      </x:c>
      <x:c r="D5" s="14">
        <x:f>'12M_Deployment'!D24</x:f>
        <x:v>0</x:v>
      </x:c>
      <x:c r="E5" s="14">
        <x:f>'12M_Deployment'!E24</x:f>
        <x:v>0</x:v>
      </x:c>
      <x:c r="F5" s="14">
        <x:f>'12M_Deployment'!F24</x:f>
        <x:v>5</x:v>
      </x:c>
      <x:c r="G5" s="14">
        <x:f>'12M_Deployment'!G24</x:f>
        <x:v>5</x:v>
      </x:c>
      <x:c r="H5" s="14">
        <x:f>'12M_Deployment'!H24</x:f>
        <x:v>5</x:v>
      </x:c>
      <x:c r="I5" s="14">
        <x:f>'12M_Deployment'!I24</x:f>
        <x:v>5</x:v>
      </x:c>
      <x:c r="J5" s="14">
        <x:f>'12M_Deployment'!J24</x:f>
        <x:v>0</x:v>
      </x:c>
      <x:c r="K5" s="14">
        <x:f>'12M_Deployment'!K24</x:f>
        <x:v>0</x:v>
      </x:c>
      <x:c r="L5" s="14">
        <x:f>'12M_Deployment'!L24</x:f>
        <x:v>0</x:v>
      </x:c>
      <x:c r="M5" s="14">
        <x:f>'12M_Deployment'!M24</x:f>
        <x:v>0</x:v>
      </x:c>
      <x:c r="N5" s="14">
        <x:f>'12M_Deployment'!N24</x:f>
        <x:v>0</x:v>
      </x:c>
      <x:c r="O5" s="14">
        <x:f>'12M_Deployment'!O24</x:f>
        <x:v>0</x:v>
      </x:c>
    </x:row>
    <x:row r="6">
      <x:c r="A6" s="7" t="inlineStr">
        <x:is>
          <x:t xml:space="preserve">New containers commissioned</x:t>
        </x:is>
      </x:c>
      <x:c r="B6" s="5" t="inlineStr">
        <x:is>
          <x:t xml:space="preserve">containers</x:t>
        </x:is>
      </x:c>
      <x:c r="D6" s="14">
        <x:f>'12M_Deployment'!D44</x:f>
        <x:v>0</x:v>
      </x:c>
      <x:c r="E6" s="14">
        <x:f>'12M_Deployment'!E44</x:f>
        <x:v>0</x:v>
      </x:c>
      <x:c r="F6" s="14">
        <x:f>'12M_Deployment'!F44</x:f>
        <x:v>3</x:v>
      </x:c>
      <x:c r="G6" s="14">
        <x:f>'12M_Deployment'!G44</x:f>
        <x:v>2</x:v>
      </x:c>
      <x:c r="H6" s="14">
        <x:f>'12M_Deployment'!H44</x:f>
        <x:v>2</x:v>
      </x:c>
      <x:c r="I6" s="14">
        <x:f>'12M_Deployment'!I44</x:f>
        <x:v>3</x:v>
      </x:c>
      <x:c r="J6" s="14">
        <x:f>'12M_Deployment'!J44</x:f>
        <x:v>0</x:v>
      </x:c>
      <x:c r="K6" s="14">
        <x:f>'12M_Deployment'!K44</x:f>
        <x:v>0</x:v>
      </x:c>
      <x:c r="L6" s="14">
        <x:f>'12M_Deployment'!L44</x:f>
        <x:v>0</x:v>
      </x:c>
      <x:c r="M6" s="14">
        <x:f>'12M_Deployment'!M44</x:f>
        <x:v>0</x:v>
      </x:c>
      <x:c r="N6" s="14">
        <x:f>'12M_Deployment'!N44</x:f>
        <x:v>0</x:v>
      </x:c>
      <x:c r="O6" s="14">
        <x:f>'12M_Deployment'!O44</x:f>
        <x:v>0</x:v>
      </x:c>
    </x:row>
    <x:row r="7">
      <x:c r="A7" s="7" t="inlineStr">
        <x:is>
          <x:t xml:space="preserve">New solar MW</x:t>
        </x:is>
      </x:c>
      <x:c r="B7" s="5" t="inlineStr">
        <x:is>
          <x:t xml:space="preserve">MW</x:t>
        </x:is>
      </x:c>
      <x:c r="D7" s="14">
        <x:f>'12M_Deployment'!D23</x:f>
        <x:v>0</x:v>
      </x:c>
      <x:c r="E7" s="14">
        <x:f>'12M_Deployment'!E23</x:f>
        <x:v>0</x:v>
      </x:c>
      <x:c r="F7" s="14">
        <x:f>'12M_Deployment'!F23</x:f>
        <x:v>0</x:v>
      </x:c>
      <x:c r="G7" s="14">
        <x:f>'12M_Deployment'!G23</x:f>
        <x:v>0</x:v>
      </x:c>
      <x:c r="H7" s="14">
        <x:f>'12M_Deployment'!H23</x:f>
        <x:v>10</x:v>
      </x:c>
      <x:c r="I7" s="14">
        <x:f>'12M_Deployment'!I23</x:f>
        <x:v>0</x:v>
      </x:c>
      <x:c r="J7" s="14">
        <x:f>'12M_Deployment'!J23</x:f>
        <x:v>0</x:v>
      </x:c>
      <x:c r="K7" s="14">
        <x:f>'12M_Deployment'!K23</x:f>
        <x:v>0</x:v>
      </x:c>
      <x:c r="L7" s="14">
        <x:f>'12M_Deployment'!L23</x:f>
        <x:v>0</x:v>
      </x:c>
      <x:c r="M7" s="14">
        <x:f>'12M_Deployment'!M23</x:f>
        <x:v>0</x:v>
      </x:c>
      <x:c r="N7" s="14">
        <x:f>'12M_Deployment'!N23</x:f>
        <x:v>0</x:v>
      </x:c>
      <x:c r="O7" s="14">
        <x:f>'12M_Deployment'!O23</x:f>
        <x:v>0</x:v>
      </x:c>
    </x:row>
    <x:row r="8">
      <x:c r="A8" s="7" t="inlineStr">
        <x:is>
          <x:t xml:space="preserve">New FTE onboarded</x:t>
        </x:is>
      </x:c>
      <x:c r="B8" s="5" t="inlineStr">
        <x:is>
          <x:t xml:space="preserve">FTE</x:t>
        </x:is>
      </x:c>
      <x:c r="D8" s="14">
        <x:f>'12M_Deployment'!D52</x:f>
        <x:v>0</x:v>
      </x:c>
      <x:c r="E8" s="14">
        <x:f>'12M_Deployment'!E52</x:f>
        <x:v>0</x:v>
      </x:c>
      <x:c r="F8" s="14">
        <x:f>'12M_Deployment'!F52</x:f>
        <x:v>4.15</x:v>
      </x:c>
      <x:c r="G8" s="14">
        <x:f>'12M_Deployment'!G52</x:f>
        <x:v>2.1500000000000004</x:v>
      </x:c>
      <x:c r="H8" s="14">
        <x:f>'12M_Deployment'!H52</x:f>
        <x:v>2.1499999999999986</x:v>
      </x:c>
      <x:c r="I8" s="14">
        <x:f>'12M_Deployment'!I52</x:f>
        <x:v>4.150000000000002</x:v>
      </x:c>
      <x:c r="J8" s="14">
        <x:f>'12M_Deployment'!J52</x:f>
        <x:v>0</x:v>
      </x:c>
      <x:c r="K8" s="14">
        <x:f>'12M_Deployment'!K52</x:f>
        <x:v>0</x:v>
      </x:c>
      <x:c r="L8" s="14">
        <x:f>'12M_Deployment'!L52</x:f>
        <x:v>0</x:v>
      </x:c>
      <x:c r="M8" s="14">
        <x:f>'12M_Deployment'!M52</x:f>
        <x:v>0</x:v>
      </x:c>
      <x:c r="N8" s="14">
        <x:f>'12M_Deployment'!N52</x:f>
        <x:v>0</x:v>
      </x:c>
      <x:c r="O8" s="14">
        <x:f>'12M_Deployment'!O52</x:f>
        <x:v>0</x:v>
      </x:c>
    </x:row>
    <x:row r="10">
      <x:c r="A10" s="7" t="inlineStr">
        <x:is>
          <x:t xml:space="preserve">ASIC hardware capex basis</x:t>
        </x:is>
      </x:c>
      <x:c r="B10" s="5" t="inlineStr">
        <x:is>
          <x:t xml:space="preserve">ZAR'000</x:t>
        </x:is>
      </x:c>
      <x:c r="D10" s="14">
        <x:f>('12M_Deployment'!D24/(1+Control!$C$34))*1000000/Control!$C$32*Control!$C$33*Control!$C$4/1000</x:f>
        <x:v>0</x:v>
      </x:c>
      <x:c r="E10" s="14">
        <x:f>('12M_Deployment'!E24/(1+Control!$C$34))*1000000/Control!$C$32*Control!$C$33*Control!$C$4/1000</x:f>
        <x:v>0</x:v>
      </x:c>
      <x:c r="F10" s="14">
        <x:f>('12M_Deployment'!F24/(1+Control!$C$34))*1000000/Control!$C$32*Control!$C$33*Control!$C$4/1000</x:f>
        <x:v>54723.80952380953</x:v>
      </x:c>
      <x:c r="G10" s="14">
        <x:f>('12M_Deployment'!G24/(1+Control!$C$34))*1000000/Control!$C$32*Control!$C$33*Control!$C$4/1000</x:f>
        <x:v>54723.80952380953</x:v>
      </x:c>
      <x:c r="H10" s="14">
        <x:f>('12M_Deployment'!H24/(1+Control!$C$34))*1000000/Control!$C$32*Control!$C$33*Control!$C$4/1000</x:f>
        <x:v>54723.80952380953</x:v>
      </x:c>
      <x:c r="I10" s="14">
        <x:f>('12M_Deployment'!I24/(1+Control!$C$34))*1000000/Control!$C$32*Control!$C$33*Control!$C$4/1000</x:f>
        <x:v>54723.80952380953</x:v>
      </x:c>
      <x:c r="J10" s="14">
        <x:f>('12M_Deployment'!J24/(1+Control!$C$34))*1000000/Control!$C$32*Control!$C$33*Control!$C$4/1000</x:f>
        <x:v>0</x:v>
      </x:c>
      <x:c r="K10" s="14">
        <x:f>('12M_Deployment'!K24/(1+Control!$C$34))*1000000/Control!$C$32*Control!$C$33*Control!$C$4/1000</x:f>
        <x:v>0</x:v>
      </x:c>
      <x:c r="L10" s="14">
        <x:f>('12M_Deployment'!L24/(1+Control!$C$34))*1000000/Control!$C$32*Control!$C$33*Control!$C$4/1000</x:f>
        <x:v>0</x:v>
      </x:c>
      <x:c r="M10" s="14">
        <x:f>('12M_Deployment'!M24/(1+Control!$C$34))*1000000/Control!$C$32*Control!$C$33*Control!$C$4/1000</x:f>
        <x:v>0</x:v>
      </x:c>
      <x:c r="N10" s="14">
        <x:f>('12M_Deployment'!N24/(1+Control!$C$34))*1000000/Control!$C$32*Control!$C$33*Control!$C$4/1000</x:f>
        <x:v>0</x:v>
      </x:c>
      <x:c r="O10" s="14">
        <x:f>('12M_Deployment'!O24/(1+Control!$C$34))*1000000/Control!$C$32*Control!$C$33*Control!$C$4/1000</x:f>
        <x:v>0</x:v>
      </x:c>
    </x:row>
    <x:row r="11">
      <x:c r="A11" s="7" t="inlineStr">
        <x:is>
          <x:t xml:space="preserve">Hydro container capex basis</x:t>
        </x:is>
      </x:c>
      <x:c r="B11" s="5" t="inlineStr">
        <x:is>
          <x:t xml:space="preserve">ZAR'000</x:t>
        </x:is>
      </x:c>
      <x:c r="D11" s="14">
        <x:f>'12M_Deployment'!D44*Control!$C$36*Control!$C$4/1000</x:f>
        <x:v>0</x:v>
      </x:c>
      <x:c r="E11" s="14">
        <x:f>'12M_Deployment'!E44*Control!$C$36*Control!$C$4/1000</x:f>
        <x:v>0</x:v>
      </x:c>
      <x:c r="F11" s="14">
        <x:f>'12M_Deployment'!F44*Control!$C$36*Control!$C$4/1000</x:f>
        <x:v>17850</x:v>
      </x:c>
      <x:c r="G11" s="14">
        <x:f>'12M_Deployment'!G44*Control!$C$36*Control!$C$4/1000</x:f>
        <x:v>11900</x:v>
      </x:c>
      <x:c r="H11" s="14">
        <x:f>'12M_Deployment'!H44*Control!$C$36*Control!$C$4/1000</x:f>
        <x:v>11900</x:v>
      </x:c>
      <x:c r="I11" s="14">
        <x:f>'12M_Deployment'!I44*Control!$C$36*Control!$C$4/1000</x:f>
        <x:v>17850</x:v>
      </x:c>
      <x:c r="J11" s="14">
        <x:f>'12M_Deployment'!J44*Control!$C$36*Control!$C$4/1000</x:f>
        <x:v>0</x:v>
      </x:c>
      <x:c r="K11" s="14">
        <x:f>'12M_Deployment'!K44*Control!$C$36*Control!$C$4/1000</x:f>
        <x:v>0</x:v>
      </x:c>
      <x:c r="L11" s="14">
        <x:f>'12M_Deployment'!L44*Control!$C$36*Control!$C$4/1000</x:f>
        <x:v>0</x:v>
      </x:c>
      <x:c r="M11" s="14">
        <x:f>'12M_Deployment'!M44*Control!$C$36*Control!$C$4/1000</x:f>
        <x:v>0</x:v>
      </x:c>
      <x:c r="N11" s="14">
        <x:f>'12M_Deployment'!N44*Control!$C$36*Control!$C$4/1000</x:f>
        <x:v>0</x:v>
      </x:c>
      <x:c r="O11" s="14">
        <x:f>'12M_Deployment'!O44*Control!$C$36*Control!$C$4/1000</x:f>
        <x:v>0</x:v>
      </x:c>
    </x:row>
    <x:row r="12">
      <x:c r="A12" s="7" t="inlineStr">
        <x:is>
          <x:t xml:space="preserve">Electrical/BOS capex basis</x:t>
        </x:is>
      </x:c>
      <x:c r="B12" s="5" t="inlineStr">
        <x:is>
          <x:t xml:space="preserve">ZAR'000</x:t>
        </x:is>
      </x:c>
      <x:c r="D12" s="14">
        <x:f>'12M_Deployment'!D24*Control!$C$39</x:f>
        <x:v>0</x:v>
      </x:c>
      <x:c r="E12" s="14">
        <x:f>'12M_Deployment'!E24*Control!$C$39</x:f>
        <x:v>0</x:v>
      </x:c>
      <x:c r="F12" s="14">
        <x:f>'12M_Deployment'!F24*Control!$C$39</x:f>
        <x:v>25000</x:v>
      </x:c>
      <x:c r="G12" s="14">
        <x:f>'12M_Deployment'!G24*Control!$C$39</x:f>
        <x:v>25000</x:v>
      </x:c>
      <x:c r="H12" s="14">
        <x:f>'12M_Deployment'!H24*Control!$C$39</x:f>
        <x:v>25000</x:v>
      </x:c>
      <x:c r="I12" s="14">
        <x:f>'12M_Deployment'!I24*Control!$C$39</x:f>
        <x:v>25000</x:v>
      </x:c>
      <x:c r="J12" s="14">
        <x:f>'12M_Deployment'!J24*Control!$C$39</x:f>
        <x:v>0</x:v>
      </x:c>
      <x:c r="K12" s="14">
        <x:f>'12M_Deployment'!K24*Control!$C$39</x:f>
        <x:v>0</x:v>
      </x:c>
      <x:c r="L12" s="14">
        <x:f>'12M_Deployment'!L24*Control!$C$39</x:f>
        <x:v>0</x:v>
      </x:c>
      <x:c r="M12" s="14">
        <x:f>'12M_Deployment'!M24*Control!$C$39</x:f>
        <x:v>0</x:v>
      </x:c>
      <x:c r="N12" s="14">
        <x:f>'12M_Deployment'!N24*Control!$C$39</x:f>
        <x:v>0</x:v>
      </x:c>
      <x:c r="O12" s="14">
        <x:f>'12M_Deployment'!O24*Control!$C$39</x:f>
        <x:v>0</x:v>
      </x:c>
    </x:row>
    <x:row r="13">
      <x:c r="A13" s="7" t="inlineStr">
        <x:is>
          <x:t xml:space="preserve">Solar PV capex basis</x:t>
        </x:is>
      </x:c>
      <x:c r="B13" s="5" t="inlineStr">
        <x:is>
          <x:t xml:space="preserve">ZAR'000</x:t>
        </x:is>
      </x:c>
      <x:c r="D13" s="14">
        <x:f>'12M_Deployment'!D23*Control!$C$27</x:f>
        <x:v>0</x:v>
      </x:c>
      <x:c r="E13" s="14">
        <x:f>'12M_Deployment'!E23*Control!$C$27</x:f>
        <x:v>0</x:v>
      </x:c>
      <x:c r="F13" s="14">
        <x:f>'12M_Deployment'!F23*Control!$C$27</x:f>
        <x:v>0</x:v>
      </x:c>
      <x:c r="G13" s="14">
        <x:f>'12M_Deployment'!G23*Control!$C$27</x:f>
        <x:v>0</x:v>
      </x:c>
      <x:c r="H13" s="14">
        <x:f>'12M_Deployment'!H23*Control!$C$27</x:f>
        <x:v>70000</x:v>
      </x:c>
      <x:c r="I13" s="14">
        <x:f>'12M_Deployment'!I23*Control!$C$27</x:f>
        <x:v>0</x:v>
      </x:c>
      <x:c r="J13" s="14">
        <x:f>'12M_Deployment'!J23*Control!$C$27</x:f>
        <x:v>0</x:v>
      </x:c>
      <x:c r="K13" s="14">
        <x:f>'12M_Deployment'!K23*Control!$C$27</x:f>
        <x:v>0</x:v>
      </x:c>
      <x:c r="L13" s="14">
        <x:f>'12M_Deployment'!L23*Control!$C$27</x:f>
        <x:v>0</x:v>
      </x:c>
      <x:c r="M13" s="14">
        <x:f>'12M_Deployment'!M23*Control!$C$27</x:f>
        <x:v>0</x:v>
      </x:c>
      <x:c r="N13" s="14">
        <x:f>'12M_Deployment'!N23*Control!$C$27</x:f>
        <x:v>0</x:v>
      </x:c>
      <x:c r="O13" s="14">
        <x:f>'12M_Deployment'!O23*Control!$C$27</x:f>
        <x:v>0</x:v>
      </x:c>
    </x:row>
    <x:row r="14">
      <x:c r="A14" s="7" t="inlineStr">
        <x:is>
          <x:t xml:space="preserve">Initial spare parts basis</x:t>
        </x:is>
      </x:c>
      <x:c r="B14" s="5" t="inlineStr">
        <x:is>
          <x:t xml:space="preserve">ZAR'000</x:t>
        </x:is>
      </x:c>
      <x:c r="D14" s="14">
        <x:f>D10*Control!$C$46</x:f>
        <x:v>0</x:v>
      </x:c>
      <x:c r="E14" s="14">
        <x:f>E10*Control!$C$46</x:f>
        <x:v>0</x:v>
      </x:c>
      <x:c r="F14" s="14">
        <x:f>F10*Control!$C$46</x:f>
        <x:v>1094.4761904761906</x:v>
      </x:c>
      <x:c r="G14" s="14">
        <x:f>G10*Control!$C$46</x:f>
        <x:v>1094.4761904761906</x:v>
      </x:c>
      <x:c r="H14" s="14">
        <x:f>H10*Control!$C$46</x:f>
        <x:v>1094.4761904761906</x:v>
      </x:c>
      <x:c r="I14" s="14">
        <x:f>I10*Control!$C$46</x:f>
        <x:v>1094.4761904761906</x:v>
      </x:c>
      <x:c r="J14" s="14">
        <x:f>J10*Control!$C$46</x:f>
        <x:v>0</x:v>
      </x:c>
      <x:c r="K14" s="14">
        <x:f>K10*Control!$C$46</x:f>
        <x:v>0</x:v>
      </x:c>
      <x:c r="L14" s="14">
        <x:f>L10*Control!$C$46</x:f>
        <x:v>0</x:v>
      </x:c>
      <x:c r="M14" s="14">
        <x:f>M10*Control!$C$46</x:f>
        <x:v>0</x:v>
      </x:c>
      <x:c r="N14" s="14">
        <x:f>N10*Control!$C$46</x:f>
        <x:v>0</x:v>
      </x:c>
      <x:c r="O14" s="14">
        <x:f>O10*Control!$C$46</x:f>
        <x:v>0</x:v>
      </x:c>
    </x:row>
    <x:row r="15">
      <x:c r="A15" s="7" t="inlineStr">
        <x:is>
          <x:t xml:space="preserve">Tools/equipment initial basis</x:t>
        </x:is>
      </x:c>
      <x:c r="B15" s="5" t="inlineStr">
        <x:is>
          <x:t xml:space="preserve">ZAR'000</x:t>
        </x:is>
      </x:c>
      <x:c r="D15" s="14">
        <x:f>'12M_Deployment'!D32*Control!$C$47</x:f>
        <x:v>0</x:v>
      </x:c>
      <x:c r="E15" s="14">
        <x:f>'12M_Deployment'!E32*Control!$C$47</x:f>
        <x:v>0</x:v>
      </x:c>
      <x:c r="F15" s="14">
        <x:f>'12M_Deployment'!F32*Control!$C$47</x:f>
        <x:v>750</x:v>
      </x:c>
      <x:c r="G15" s="14">
        <x:f>'12M_Deployment'!G32*Control!$C$47</x:f>
        <x:v>0</x:v>
      </x:c>
      <x:c r="H15" s="14">
        <x:f>'12M_Deployment'!H32*Control!$C$47</x:f>
        <x:v>0</x:v>
      </x:c>
      <x:c r="I15" s="14">
        <x:f>'12M_Deployment'!I32*Control!$C$47</x:f>
        <x:v>750</x:v>
      </x:c>
      <x:c r="J15" s="14">
        <x:f>'12M_Deployment'!J32*Control!$C$47</x:f>
        <x:v>0</x:v>
      </x:c>
      <x:c r="K15" s="14">
        <x:f>'12M_Deployment'!K32*Control!$C$47</x:f>
        <x:v>0</x:v>
      </x:c>
      <x:c r="L15" s="14">
        <x:f>'12M_Deployment'!L32*Control!$C$47</x:f>
        <x:v>0</x:v>
      </x:c>
      <x:c r="M15" s="14">
        <x:f>'12M_Deployment'!M32*Control!$C$47</x:f>
        <x:v>0</x:v>
      </x:c>
      <x:c r="N15" s="14">
        <x:f>'12M_Deployment'!N32*Control!$C$47</x:f>
        <x:v>0</x:v>
      </x:c>
      <x:c r="O15" s="14">
        <x:f>'12M_Deployment'!O32*Control!$C$47</x:f>
        <x:v>0</x:v>
      </x:c>
    </x:row>
    <x:row r="16">
      <x:c r="A16" s="7" t="inlineStr">
        <x:is>
          <x:t xml:space="preserve">Staff hardware basis</x:t>
        </x:is>
      </x:c>
      <x:c r="B16" s="5" t="inlineStr">
        <x:is>
          <x:t xml:space="preserve">ZAR'000</x:t>
        </x:is>
      </x:c>
      <x:c r="D16" s="14">
        <x:f>'12M_Deployment'!D52*Control!$C$51</x:f>
        <x:v>0</x:v>
      </x:c>
      <x:c r="E16" s="14">
        <x:f>'12M_Deployment'!E52*Control!$C$51</x:f>
        <x:v>0</x:v>
      </x:c>
      <x:c r="F16" s="14">
        <x:f>'12M_Deployment'!F52*Control!$C$51</x:f>
        <x:v>145.25</x:v>
      </x:c>
      <x:c r="G16" s="14">
        <x:f>'12M_Deployment'!G52*Control!$C$51</x:f>
        <x:v>75.25000000000001</x:v>
      </x:c>
      <x:c r="H16" s="14">
        <x:f>'12M_Deployment'!H52*Control!$C$51</x:f>
        <x:v>75.24999999999994</x:v>
      </x:c>
      <x:c r="I16" s="14">
        <x:f>'12M_Deployment'!I52*Control!$C$51</x:f>
        <x:v>145.25000000000009</x:v>
      </x:c>
      <x:c r="J16" s="14">
        <x:f>'12M_Deployment'!J52*Control!$C$51</x:f>
        <x:v>0</x:v>
      </x:c>
      <x:c r="K16" s="14">
        <x:f>'12M_Deployment'!K52*Control!$C$51</x:f>
        <x:v>0</x:v>
      </x:c>
      <x:c r="L16" s="14">
        <x:f>'12M_Deployment'!L52*Control!$C$51</x:f>
        <x:v>0</x:v>
      </x:c>
      <x:c r="M16" s="14">
        <x:f>'12M_Deployment'!M52*Control!$C$51</x:f>
        <x:v>0</x:v>
      </x:c>
      <x:c r="N16" s="14">
        <x:f>'12M_Deployment'!N52*Control!$C$51</x:f>
        <x:v>0</x:v>
      </x:c>
      <x:c r="O16" s="14">
        <x:f>'12M_Deployment'!O52*Control!$C$51</x:f>
        <x:v>0</x:v>
      </x:c>
    </x:row>
    <x:row r="17">
      <x:c r="A17" s="7" t="inlineStr">
        <x:is>
          <x:t xml:space="preserve">Freight basis</x:t>
        </x:is>
      </x:c>
      <x:c r="B17" s="5" t="inlineStr">
        <x:is>
          <x:t xml:space="preserve">ZAR'000</x:t>
        </x:is>
      </x:c>
      <x:c r="D17" s="14">
        <x:f>'12M_Deployment'!D44*Control!$C$40*Control!$C$4/1000</x:f>
        <x:v>0</x:v>
      </x:c>
      <x:c r="E17" s="14">
        <x:f>'12M_Deployment'!E44*Control!$C$40*Control!$C$4/1000</x:f>
        <x:v>0</x:v>
      </x:c>
      <x:c r="F17" s="14">
        <x:f>'12M_Deployment'!F44*Control!$C$40*Control!$C$4/1000</x:f>
        <x:v>408</x:v>
      </x:c>
      <x:c r="G17" s="14">
        <x:f>'12M_Deployment'!G44*Control!$C$40*Control!$C$4/1000</x:f>
        <x:v>272</x:v>
      </x:c>
      <x:c r="H17" s="14">
        <x:f>'12M_Deployment'!H44*Control!$C$40*Control!$C$4/1000</x:f>
        <x:v>272</x:v>
      </x:c>
      <x:c r="I17" s="14">
        <x:f>'12M_Deployment'!I44*Control!$C$40*Control!$C$4/1000</x:f>
        <x:v>408</x:v>
      </x:c>
      <x:c r="J17" s="14">
        <x:f>'12M_Deployment'!J44*Control!$C$40*Control!$C$4/1000</x:f>
        <x:v>0</x:v>
      </x:c>
      <x:c r="K17" s="14">
        <x:f>'12M_Deployment'!K44*Control!$C$40*Control!$C$4/1000</x:f>
        <x:v>0</x:v>
      </x:c>
      <x:c r="L17" s="14">
        <x:f>'12M_Deployment'!L44*Control!$C$40*Control!$C$4/1000</x:f>
        <x:v>0</x:v>
      </x:c>
      <x:c r="M17" s="14">
        <x:f>'12M_Deployment'!M44*Control!$C$40*Control!$C$4/1000</x:f>
        <x:v>0</x:v>
      </x:c>
      <x:c r="N17" s="14">
        <x:f>'12M_Deployment'!N44*Control!$C$40*Control!$C$4/1000</x:f>
        <x:v>0</x:v>
      </x:c>
      <x:c r="O17" s="14">
        <x:f>'12M_Deployment'!O44*Control!$C$40*Control!$C$4/1000</x:f>
        <x:v>0</x:v>
      </x:c>
    </x:row>
    <x:row r="18">
      <x:c r="A18" s="7" t="inlineStr">
        <x:is>
          <x:t xml:space="preserve">Port/clearing basis</x:t>
        </x:is>
      </x:c>
      <x:c r="B18" s="5" t="inlineStr">
        <x:is>
          <x:t xml:space="preserve">ZAR'000</x:t>
        </x:is>
      </x:c>
      <x:c r="D18" s="14">
        <x:f>'12M_Deployment'!D44*Control!$C$41</x:f>
        <x:v>0</x:v>
      </x:c>
      <x:c r="E18" s="14">
        <x:f>'12M_Deployment'!E44*Control!$C$41</x:f>
        <x:v>0</x:v>
      </x:c>
      <x:c r="F18" s="14">
        <x:f>'12M_Deployment'!F44*Control!$C$41</x:f>
        <x:v>450</x:v>
      </x:c>
      <x:c r="G18" s="14">
        <x:f>'12M_Deployment'!G44*Control!$C$41</x:f>
        <x:v>300</x:v>
      </x:c>
      <x:c r="H18" s="14">
        <x:f>'12M_Deployment'!H44*Control!$C$41</x:f>
        <x:v>300</x:v>
      </x:c>
      <x:c r="I18" s="14">
        <x:f>'12M_Deployment'!I44*Control!$C$41</x:f>
        <x:v>450</x:v>
      </x:c>
      <x:c r="J18" s="14">
        <x:f>'12M_Deployment'!J44*Control!$C$41</x:f>
        <x:v>0</x:v>
      </x:c>
      <x:c r="K18" s="14">
        <x:f>'12M_Deployment'!K44*Control!$C$41</x:f>
        <x:v>0</x:v>
      </x:c>
      <x:c r="L18" s="14">
        <x:f>'12M_Deployment'!L44*Control!$C$41</x:f>
        <x:v>0</x:v>
      </x:c>
      <x:c r="M18" s="14">
        <x:f>'12M_Deployment'!M44*Control!$C$41</x:f>
        <x:v>0</x:v>
      </x:c>
      <x:c r="N18" s="14">
        <x:f>'12M_Deployment'!N44*Control!$C$41</x:f>
        <x:v>0</x:v>
      </x:c>
      <x:c r="O18" s="14">
        <x:f>'12M_Deployment'!O44*Control!$C$41</x:f>
        <x:v>0</x:v>
      </x:c>
    </x:row>
    <x:row r="19">
      <x:c r="A19" s="7" t="inlineStr">
        <x:is>
          <x:t xml:space="preserve">Inland trucking basis</x:t>
        </x:is>
      </x:c>
      <x:c r="B19" s="5" t="inlineStr">
        <x:is>
          <x:t xml:space="preserve">ZAR'000</x:t>
        </x:is>
      </x:c>
      <x:c r="D19" s="14">
        <x:f>'12M_Deployment'!D44*Control!$C$42</x:f>
        <x:v>0</x:v>
      </x:c>
      <x:c r="E19" s="14">
        <x:f>'12M_Deployment'!E44*Control!$C$42</x:f>
        <x:v>0</x:v>
      </x:c>
      <x:c r="F19" s="14">
        <x:f>'12M_Deployment'!F44*Control!$C$42</x:f>
        <x:v>360</x:v>
      </x:c>
      <x:c r="G19" s="14">
        <x:f>'12M_Deployment'!G44*Control!$C$42</x:f>
        <x:v>240</x:v>
      </x:c>
      <x:c r="H19" s="14">
        <x:f>'12M_Deployment'!H44*Control!$C$42</x:f>
        <x:v>240</x:v>
      </x:c>
      <x:c r="I19" s="14">
        <x:f>'12M_Deployment'!I44*Control!$C$42</x:f>
        <x:v>360</x:v>
      </x:c>
      <x:c r="J19" s="14">
        <x:f>'12M_Deployment'!J44*Control!$C$42</x:f>
        <x:v>0</x:v>
      </x:c>
      <x:c r="K19" s="14">
        <x:f>'12M_Deployment'!K44*Control!$C$42</x:f>
        <x:v>0</x:v>
      </x:c>
      <x:c r="L19" s="14">
        <x:f>'12M_Deployment'!L44*Control!$C$42</x:f>
        <x:v>0</x:v>
      </x:c>
      <x:c r="M19" s="14">
        <x:f>'12M_Deployment'!M44*Control!$C$42</x:f>
        <x:v>0</x:v>
      </x:c>
      <x:c r="N19" s="14">
        <x:f>'12M_Deployment'!N44*Control!$C$42</x:f>
        <x:v>0</x:v>
      </x:c>
      <x:c r="O19" s="14">
        <x:f>'12M_Deployment'!O44*Control!$C$42</x:f>
        <x:v>0</x:v>
      </x:c>
    </x:row>
    <x:row r="20">
      <x:c r="A20" s="7" t="inlineStr">
        <x:is>
          <x:t xml:space="preserve">Crane/rigging basis</x:t>
        </x:is>
      </x:c>
      <x:c r="B20" s="5" t="inlineStr">
        <x:is>
          <x:t xml:space="preserve">ZAR'000</x:t>
        </x:is>
      </x:c>
      <x:c r="D20" s="14">
        <x:f>'12M_Deployment'!D44*Control!$C$43</x:f>
        <x:v>0</x:v>
      </x:c>
      <x:c r="E20" s="14">
        <x:f>'12M_Deployment'!E44*Control!$C$43</x:f>
        <x:v>0</x:v>
      </x:c>
      <x:c r="F20" s="14">
        <x:f>'12M_Deployment'!F44*Control!$C$43</x:f>
        <x:v>300</x:v>
      </x:c>
      <x:c r="G20" s="14">
        <x:f>'12M_Deployment'!G44*Control!$C$43</x:f>
        <x:v>200</x:v>
      </x:c>
      <x:c r="H20" s="14">
        <x:f>'12M_Deployment'!H44*Control!$C$43</x:f>
        <x:v>200</x:v>
      </x:c>
      <x:c r="I20" s="14">
        <x:f>'12M_Deployment'!I44*Control!$C$43</x:f>
        <x:v>300</x:v>
      </x:c>
      <x:c r="J20" s="14">
        <x:f>'12M_Deployment'!J44*Control!$C$43</x:f>
        <x:v>0</x:v>
      </x:c>
      <x:c r="K20" s="14">
        <x:f>'12M_Deployment'!K44*Control!$C$43</x:f>
        <x:v>0</x:v>
      </x:c>
      <x:c r="L20" s="14">
        <x:f>'12M_Deployment'!L44*Control!$C$43</x:f>
        <x:v>0</x:v>
      </x:c>
      <x:c r="M20" s="14">
        <x:f>'12M_Deployment'!M44*Control!$C$43</x:f>
        <x:v>0</x:v>
      </x:c>
      <x:c r="N20" s="14">
        <x:f>'12M_Deployment'!N44*Control!$C$43</x:f>
        <x:v>0</x:v>
      </x:c>
      <x:c r="O20" s="14">
        <x:f>'12M_Deployment'!O44*Control!$C$43</x:f>
        <x:v>0</x:v>
      </x:c>
    </x:row>
    <x:row r="21">
      <x:c r="A21" s="7" t="inlineStr">
        <x:is>
          <x:t xml:space="preserve">Cargo insurance basis</x:t>
        </x:is>
      </x:c>
      <x:c r="B21" s="5" t="inlineStr">
        <x:is>
          <x:t xml:space="preserve">ZAR'000</x:t>
        </x:is>
      </x:c>
      <x:c r="D21" s="14">
        <x:f>(D10+D11)*Control!$C$44</x:f>
        <x:v>0</x:v>
      </x:c>
      <x:c r="E21" s="14">
        <x:f>(E10+E11)*Control!$C$44</x:f>
        <x:v>0</x:v>
      </x:c>
      <x:c r="F21" s="14">
        <x:f>(F10+F11)*Control!$C$44</x:f>
        <x:v>725.7380952380953</x:v>
      </x:c>
      <x:c r="G21" s="14">
        <x:f>(G10+G11)*Control!$C$44</x:f>
        <x:v>666.2380952380953</x:v>
      </x:c>
      <x:c r="H21" s="14">
        <x:f>(H10+H11)*Control!$C$44</x:f>
        <x:v>666.2380952380953</x:v>
      </x:c>
      <x:c r="I21" s="14">
        <x:f>(I10+I11)*Control!$C$44</x:f>
        <x:v>725.7380952380953</x:v>
      </x:c>
      <x:c r="J21" s="14">
        <x:f>(J10+J11)*Control!$C$44</x:f>
        <x:v>0</x:v>
      </x:c>
      <x:c r="K21" s="14">
        <x:f>(K10+K11)*Control!$C$44</x:f>
        <x:v>0</x:v>
      </x:c>
      <x:c r="L21" s="14">
        <x:f>(L10+L11)*Control!$C$44</x:f>
        <x:v>0</x:v>
      </x:c>
      <x:c r="M21" s="14">
        <x:f>(M10+M11)*Control!$C$44</x:f>
        <x:v>0</x:v>
      </x:c>
      <x:c r="N21" s="14">
        <x:f>(N10+N11)*Control!$C$44</x:f>
        <x:v>0</x:v>
      </x:c>
      <x:c r="O21" s="14">
        <x:f>(O10+O11)*Control!$C$44</x:f>
        <x:v>0</x:v>
      </x:c>
    </x:row>
    <x:row r="22">
      <x:c r="A22" s="7" t="inlineStr">
        <x:is>
          <x:t xml:space="preserve">Import duty basis</x:t>
        </x:is>
      </x:c>
      <x:c r="B22" s="5" t="inlineStr">
        <x:is>
          <x:t xml:space="preserve">ZAR'000</x:t>
        </x:is>
      </x:c>
      <x:c r="D22" s="14">
        <x:f>(D10+D11)*Control!$C$45</x:f>
        <x:v>0</x:v>
      </x:c>
      <x:c r="E22" s="14">
        <x:f>(E10+E11)*Control!$C$45</x:f>
        <x:v>0</x:v>
      </x:c>
      <x:c r="F22" s="14">
        <x:f>(F10+F11)*Control!$C$45</x:f>
        <x:v>3628.6904761904766</x:v>
      </x:c>
      <x:c r="G22" s="14">
        <x:f>(G10+G11)*Control!$C$45</x:f>
        <x:v>3331.1904761904766</x:v>
      </x:c>
      <x:c r="H22" s="14">
        <x:f>(H10+H11)*Control!$C$45</x:f>
        <x:v>3331.1904761904766</x:v>
      </x:c>
      <x:c r="I22" s="14">
        <x:f>(I10+I11)*Control!$C$45</x:f>
        <x:v>3628.6904761904766</x:v>
      </x:c>
      <x:c r="J22" s="14">
        <x:f>(J10+J11)*Control!$C$45</x:f>
        <x:v>0</x:v>
      </x:c>
      <x:c r="K22" s="14">
        <x:f>(K10+K11)*Control!$C$45</x:f>
        <x:v>0</x:v>
      </x:c>
      <x:c r="L22" s="14">
        <x:f>(L10+L11)*Control!$C$45</x:f>
        <x:v>0</x:v>
      </x:c>
      <x:c r="M22" s="14">
        <x:f>(M10+M11)*Control!$C$45</x:f>
        <x:v>0</x:v>
      </x:c>
      <x:c r="N22" s="14">
        <x:f>(N10+N11)*Control!$C$45</x:f>
        <x:v>0</x:v>
      </x:c>
      <x:c r="O22" s="14">
        <x:f>(O10+O11)*Control!$C$45</x:f>
        <x:v>0</x:v>
      </x:c>
    </x:row>
    <x:row r="23">
      <x:c r="A23" s="7" t="inlineStr">
        <x:is>
          <x:t xml:space="preserve">Office/software/legal setup basis</x:t>
        </x:is>
      </x:c>
      <x:c r="B23" s="5" t="inlineStr">
        <x:is>
          <x:t xml:space="preserve">ZAR'000</x:t>
        </x:is>
      </x:c>
      <x:c r="D23" s="14">
        <x:f>IF(D$3=1,Control!$C$48+Control!$C$49+Control!$C$50,0)</x:f>
        <x:v>3300</x:v>
      </x:c>
      <x:c r="E23" s="14">
        <x:f>IF(E$3=1,Control!$C$48+Control!$C$49+Control!$C$50,0)</x:f>
        <x:v>0</x:v>
      </x:c>
      <x:c r="F23" s="14">
        <x:f>IF(F$3=1,Control!$C$48+Control!$C$49+Control!$C$50,0)</x:f>
        <x:v>0</x:v>
      </x:c>
      <x:c r="G23" s="14">
        <x:f>IF(G$3=1,Control!$C$48+Control!$C$49+Control!$C$50,0)</x:f>
        <x:v>0</x:v>
      </x:c>
      <x:c r="H23" s="14">
        <x:f>IF(H$3=1,Control!$C$48+Control!$C$49+Control!$C$50,0)</x:f>
        <x:v>0</x:v>
      </x:c>
      <x:c r="I23" s="14">
        <x:f>IF(I$3=1,Control!$C$48+Control!$C$49+Control!$C$50,0)</x:f>
        <x:v>0</x:v>
      </x:c>
      <x:c r="J23" s="14">
        <x:f>IF(J$3=1,Control!$C$48+Control!$C$49+Control!$C$50,0)</x:f>
        <x:v>0</x:v>
      </x:c>
      <x:c r="K23" s="14">
        <x:f>IF(K$3=1,Control!$C$48+Control!$C$49+Control!$C$50,0)</x:f>
        <x:v>0</x:v>
      </x:c>
      <x:c r="L23" s="14">
        <x:f>IF(L$3=1,Control!$C$48+Control!$C$49+Control!$C$50,0)</x:f>
        <x:v>0</x:v>
      </x:c>
      <x:c r="M23" s="14">
        <x:f>IF(M$3=1,Control!$C$48+Control!$C$49+Control!$C$50,0)</x:f>
        <x:v>0</x:v>
      </x:c>
      <x:c r="N23" s="14">
        <x:f>IF(N$3=1,Control!$C$48+Control!$C$49+Control!$C$50,0)</x:f>
        <x:v>0</x:v>
      </x:c>
      <x:c r="O23" s="14">
        <x:f>IF(O$3=1,Control!$C$48+Control!$C$49+Control!$C$50,0)</x:f>
        <x:v>0</x:v>
      </x:c>
    </x:row>
    <x:row r="26">
      <x:c r="A26" s="7" t="inlineStr">
        <x:is>
          <x:t xml:space="preserve">ASIC hardware cash spend</x:t>
        </x:is>
      </x:c>
      <x:c r="B26" s="5" t="inlineStr">
        <x:is>
          <x:t xml:space="preserve">ZAR'000</x:t>
        </x:is>
      </x:c>
      <x:c r="D26" s="14">
        <x:f>0.3*F10+0.6*E10+0.1*D10</x:f>
        <x:v>16417.14285714286</x:v>
      </x:c>
      <x:c r="E26" s="14">
        <x:f>0.3*G10+0.6*F10+0.1*E10</x:f>
        <x:v>49251.42857142858</x:v>
      </x:c>
      <x:c r="F26" s="14">
        <x:f>0.3*H10+0.6*G10+0.1*F10</x:f>
        <x:v>54723.809523809534</x:v>
      </x:c>
      <x:c r="G26" s="14">
        <x:f>0.3*I10+0.6*H10+0.1*G10</x:f>
        <x:v>54723.809523809534</x:v>
      </x:c>
      <x:c r="H26" s="14">
        <x:f>0.3*J10+0.6*I10+0.1*H10</x:f>
        <x:v>38306.66666666667</x:v>
      </x:c>
      <x:c r="I26" s="14">
        <x:f>0.3*K10+0.6*J10+0.1*I10</x:f>
        <x:v>5472.380952380953</x:v>
      </x:c>
      <x:c r="J26" s="14">
        <x:f>0.3*L10+0.6*K10+0.1*J10</x:f>
        <x:v>0</x:v>
      </x:c>
      <x:c r="K26" s="14">
        <x:f>0.3*M10+0.6*L10+0.1*K10</x:f>
        <x:v>0</x:v>
      </x:c>
      <x:c r="L26" s="14">
        <x:f>0.3*N10+0.6*M10+0.1*L10</x:f>
        <x:v>0</x:v>
      </x:c>
      <x:c r="M26" s="14">
        <x:f>0.3*O10+0.6*N10+0.1*M10</x:f>
        <x:v>0</x:v>
      </x:c>
      <x:c r="N26" s="14">
        <x:f>0.6*O10+0.1*N10</x:f>
        <x:v>0</x:v>
      </x:c>
      <x:c r="O26" s="14">
        <x:f>0.1*O10</x:f>
        <x:v>0</x:v>
      </x:c>
    </x:row>
    <x:row r="27">
      <x:c r="A27" s="7" t="inlineStr">
        <x:is>
          <x:t xml:space="preserve">Hydro container cash spend</x:t>
        </x:is>
      </x:c>
      <x:c r="B27" s="5" t="inlineStr">
        <x:is>
          <x:t xml:space="preserve">ZAR'000</x:t>
        </x:is>
      </x:c>
      <x:c r="D27" s="14">
        <x:f>0.3*F11+0.5*E11+0.2*D11</x:f>
        <x:v>5355</x:v>
      </x:c>
      <x:c r="E27" s="14">
        <x:f>0.3*G11+0.5*F11+0.2*E11</x:f>
        <x:v>12495</x:v>
      </x:c>
      <x:c r="F27" s="14">
        <x:f>0.3*H11+0.5*G11+0.2*F11</x:f>
        <x:v>13090</x:v>
      </x:c>
      <x:c r="G27" s="14">
        <x:f>0.3*I11+0.5*H11+0.2*G11</x:f>
        <x:v>13685</x:v>
      </x:c>
      <x:c r="H27" s="14">
        <x:f>0.3*J11+0.5*I11+0.2*H11</x:f>
        <x:v>11305</x:v>
      </x:c>
      <x:c r="I27" s="14">
        <x:f>0.3*K11+0.5*J11+0.2*I11</x:f>
        <x:v>3570</x:v>
      </x:c>
      <x:c r="J27" s="14">
        <x:f>0.3*L11+0.5*K11+0.2*J11</x:f>
        <x:v>0</x:v>
      </x:c>
      <x:c r="K27" s="14">
        <x:f>0.3*M11+0.5*L11+0.2*K11</x:f>
        <x:v>0</x:v>
      </x:c>
      <x:c r="L27" s="14">
        <x:f>0.3*N11+0.5*M11+0.2*L11</x:f>
        <x:v>0</x:v>
      </x:c>
      <x:c r="M27" s="14">
        <x:f>0.3*O11+0.5*N11+0.2*M11</x:f>
        <x:v>0</x:v>
      </x:c>
      <x:c r="N27" s="14">
        <x:f>0.5*O11+0.2*N11</x:f>
        <x:v>0</x:v>
      </x:c>
      <x:c r="O27" s="14">
        <x:f>0.2*O11</x:f>
        <x:v>0</x:v>
      </x:c>
    </x:row>
    <x:row r="28">
      <x:c r="A28" s="7" t="inlineStr">
        <x:is>
          <x:t xml:space="preserve">Electrical/BOS cash spend</x:t>
        </x:is>
      </x:c>
      <x:c r="B28" s="5" t="inlineStr">
        <x:is>
          <x:t xml:space="preserve">ZAR'000</x:t>
        </x:is>
      </x:c>
      <x:c r="D28" s="14">
        <x:f>0.2*F12+0.5*E12+0.3*D12</x:f>
        <x:v>5000</x:v>
      </x:c>
      <x:c r="E28" s="14">
        <x:f>0.2*G12+0.5*F12+0.3*E12</x:f>
        <x:v>17500</x:v>
      </x:c>
      <x:c r="F28" s="14">
        <x:f>0.2*H12+0.5*G12+0.3*F12</x:f>
        <x:v>25000</x:v>
      </x:c>
      <x:c r="G28" s="14">
        <x:f>0.2*I12+0.5*H12+0.3*G12</x:f>
        <x:v>25000</x:v>
      </x:c>
      <x:c r="H28" s="14">
        <x:f>0.2*J12+0.5*I12+0.3*H12</x:f>
        <x:v>20000</x:v>
      </x:c>
      <x:c r="I28" s="14">
        <x:f>0.2*K12+0.5*J12+0.3*I12</x:f>
        <x:v>7500</x:v>
      </x:c>
      <x:c r="J28" s="14">
        <x:f>0.2*L12+0.5*K12+0.3*J12</x:f>
        <x:v>0</x:v>
      </x:c>
      <x:c r="K28" s="14">
        <x:f>0.2*M12+0.5*L12+0.3*K12</x:f>
        <x:v>0</x:v>
      </x:c>
      <x:c r="L28" s="14">
        <x:f>0.2*N12+0.5*M12+0.3*L12</x:f>
        <x:v>0</x:v>
      </x:c>
      <x:c r="M28" s="14">
        <x:f>0.2*O12+0.5*N12+0.3*M12</x:f>
        <x:v>0</x:v>
      </x:c>
      <x:c r="N28" s="14">
        <x:f>0.5*O12+0.3*N12</x:f>
        <x:v>0</x:v>
      </x:c>
      <x:c r="O28" s="14">
        <x:f>0.3*O12</x:f>
        <x:v>0</x:v>
      </x:c>
    </x:row>
    <x:row r="29">
      <x:c r="A29" s="7" t="inlineStr">
        <x:is>
          <x:t xml:space="preserve">Solar PV cash spend</x:t>
        </x:is>
      </x:c>
      <x:c r="B29" s="5" t="inlineStr">
        <x:is>
          <x:t xml:space="preserve">ZAR'000</x:t>
        </x:is>
      </x:c>
      <x:c r="D29" s="14">
        <x:f>0.2*F13+0.5*E13+0.3*D13</x:f>
        <x:v>0</x:v>
      </x:c>
      <x:c r="E29" s="14">
        <x:f>0.2*G13+0.5*F13+0.3*E13</x:f>
        <x:v>0</x:v>
      </x:c>
      <x:c r="F29" s="14">
        <x:f>0.2*H13+0.5*G13+0.3*F13</x:f>
        <x:v>14000</x:v>
      </x:c>
      <x:c r="G29" s="14">
        <x:f>0.2*I13+0.5*H13+0.3*G13</x:f>
        <x:v>35000</x:v>
      </x:c>
      <x:c r="H29" s="14">
        <x:f>0.2*J13+0.5*I13+0.3*H13</x:f>
        <x:v>21000</x:v>
      </x:c>
      <x:c r="I29" s="14">
        <x:f>0.2*K13+0.5*J13+0.3*I13</x:f>
        <x:v>0</x:v>
      </x:c>
      <x:c r="J29" s="14">
        <x:f>0.2*L13+0.5*K13+0.3*J13</x:f>
        <x:v>0</x:v>
      </x:c>
      <x:c r="K29" s="14">
        <x:f>0.2*M13+0.5*L13+0.3*K13</x:f>
        <x:v>0</x:v>
      </x:c>
      <x:c r="L29" s="14">
        <x:f>0.2*N13+0.5*M13+0.3*L13</x:f>
        <x:v>0</x:v>
      </x:c>
      <x:c r="M29" s="14">
        <x:f>0.2*O13+0.5*N13+0.3*M13</x:f>
        <x:v>0</x:v>
      </x:c>
      <x:c r="N29" s="14">
        <x:f>0.5*O13+0.3*N13</x:f>
        <x:v>0</x:v>
      </x:c>
      <x:c r="O29" s="14">
        <x:f>0.3*O13</x:f>
        <x:v>0</x:v>
      </x:c>
    </x:row>
    <x:row r="30">
      <x:c r="A30" s="7" t="inlineStr">
        <x:is>
          <x:t xml:space="preserve">Initial spare parts cash spend</x:t>
        </x:is>
      </x:c>
      <x:c r="B30" s="5" t="inlineStr">
        <x:is>
          <x:t xml:space="preserve">ZAR'000</x:t>
        </x:is>
      </x:c>
      <x:c r="D30" s="14">
        <x:f>D14</x:f>
        <x:v>0</x:v>
      </x:c>
      <x:c r="E30" s="14">
        <x:f>E14</x:f>
        <x:v>0</x:v>
      </x:c>
      <x:c r="F30" s="14">
        <x:f>F14</x:f>
        <x:v>1094.4761904761906</x:v>
      </x:c>
      <x:c r="G30" s="14">
        <x:f>G14</x:f>
        <x:v>1094.4761904761906</x:v>
      </x:c>
      <x:c r="H30" s="14">
        <x:f>H14</x:f>
        <x:v>1094.4761904761906</x:v>
      </x:c>
      <x:c r="I30" s="14">
        <x:f>I14</x:f>
        <x:v>1094.4761904761906</x:v>
      </x:c>
      <x:c r="J30" s="14">
        <x:f>J14</x:f>
        <x:v>0</x:v>
      </x:c>
      <x:c r="K30" s="14">
        <x:f>K14</x:f>
        <x:v>0</x:v>
      </x:c>
      <x:c r="L30" s="14">
        <x:f>L14</x:f>
        <x:v>0</x:v>
      </x:c>
      <x:c r="M30" s="14">
        <x:f>M14</x:f>
        <x:v>0</x:v>
      </x:c>
      <x:c r="N30" s="14">
        <x:f>N14</x:f>
        <x:v>0</x:v>
      </x:c>
      <x:c r="O30" s="14">
        <x:f>O14</x:f>
        <x:v>0</x:v>
      </x:c>
    </x:row>
    <x:row r="31">
      <x:c r="A31" s="7" t="inlineStr">
        <x:is>
          <x:t xml:space="preserve">Tools/equipment initial cash spend</x:t>
        </x:is>
      </x:c>
      <x:c r="B31" s="5" t="inlineStr">
        <x:is>
          <x:t xml:space="preserve">ZAR'000</x:t>
        </x:is>
      </x:c>
      <x:c r="D31" s="14">
        <x:f>D15</x:f>
        <x:v>0</x:v>
      </x:c>
      <x:c r="E31" s="14">
        <x:f>E15</x:f>
        <x:v>0</x:v>
      </x:c>
      <x:c r="F31" s="14">
        <x:f>F15</x:f>
        <x:v>750</x:v>
      </x:c>
      <x:c r="G31" s="14">
        <x:f>G15</x:f>
        <x:v>0</x:v>
      </x:c>
      <x:c r="H31" s="14">
        <x:f>H15</x:f>
        <x:v>0</x:v>
      </x:c>
      <x:c r="I31" s="14">
        <x:f>I15</x:f>
        <x:v>750</x:v>
      </x:c>
      <x:c r="J31" s="14">
        <x:f>J15</x:f>
        <x:v>0</x:v>
      </x:c>
      <x:c r="K31" s="14">
        <x:f>K15</x:f>
        <x:v>0</x:v>
      </x:c>
      <x:c r="L31" s="14">
        <x:f>L15</x:f>
        <x:v>0</x:v>
      </x:c>
      <x:c r="M31" s="14">
        <x:f>M15</x:f>
        <x:v>0</x:v>
      </x:c>
      <x:c r="N31" s="14">
        <x:f>N15</x:f>
        <x:v>0</x:v>
      </x:c>
      <x:c r="O31" s="14">
        <x:f>O15</x:f>
        <x:v>0</x:v>
      </x:c>
    </x:row>
    <x:row r="32">
      <x:c r="A32" s="7" t="inlineStr">
        <x:is>
          <x:t xml:space="preserve">Staff hardware cash spend</x:t>
        </x:is>
      </x:c>
      <x:c r="B32" s="5" t="inlineStr">
        <x:is>
          <x:t xml:space="preserve">ZAR'000</x:t>
        </x:is>
      </x:c>
      <x:c r="D32" s="14">
        <x:f>D16</x:f>
        <x:v>0</x:v>
      </x:c>
      <x:c r="E32" s="14">
        <x:f>E16</x:f>
        <x:v>0</x:v>
      </x:c>
      <x:c r="F32" s="14">
        <x:f>F16</x:f>
        <x:v>145.25</x:v>
      </x:c>
      <x:c r="G32" s="14">
        <x:f>G16</x:f>
        <x:v>75.25000000000001</x:v>
      </x:c>
      <x:c r="H32" s="14">
        <x:f>H16</x:f>
        <x:v>75.24999999999994</x:v>
      </x:c>
      <x:c r="I32" s="14">
        <x:f>I16</x:f>
        <x:v>145.25000000000009</x:v>
      </x:c>
      <x:c r="J32" s="14">
        <x:f>J16</x:f>
        <x:v>0</x:v>
      </x:c>
      <x:c r="K32" s="14">
        <x:f>K16</x:f>
        <x:v>0</x:v>
      </x:c>
      <x:c r="L32" s="14">
        <x:f>L16</x:f>
        <x:v>0</x:v>
      </x:c>
      <x:c r="M32" s="14">
        <x:f>M16</x:f>
        <x:v>0</x:v>
      </x:c>
      <x:c r="N32" s="14">
        <x:f>N16</x:f>
        <x:v>0</x:v>
      </x:c>
      <x:c r="O32" s="14">
        <x:f>O16</x:f>
        <x:v>0</x:v>
      </x:c>
    </x:row>
    <x:row r="33">
      <x:c r="A33" s="7" t="inlineStr">
        <x:is>
          <x:t xml:space="preserve">Freight cash spend</x:t>
        </x:is>
      </x:c>
      <x:c r="B33" s="5" t="inlineStr">
        <x:is>
          <x:t xml:space="preserve">ZAR'000</x:t>
        </x:is>
      </x:c>
      <x:c r="D33" s="14">
        <x:f>E17</x:f>
        <x:v>0</x:v>
      </x:c>
      <x:c r="E33" s="14">
        <x:f>F17</x:f>
        <x:v>408</x:v>
      </x:c>
      <x:c r="F33" s="14">
        <x:f>G17</x:f>
        <x:v>272</x:v>
      </x:c>
      <x:c r="G33" s="14">
        <x:f>H17</x:f>
        <x:v>272</x:v>
      </x:c>
      <x:c r="H33" s="14">
        <x:f>I17</x:f>
        <x:v>408</x:v>
      </x:c>
      <x:c r="I33" s="14">
        <x:f>J17</x:f>
        <x:v>0</x:v>
      </x:c>
      <x:c r="J33" s="14">
        <x:f>K17</x:f>
        <x:v>0</x:v>
      </x:c>
      <x:c r="K33" s="14">
        <x:f>L17</x:f>
        <x:v>0</x:v>
      </x:c>
      <x:c r="L33" s="14">
        <x:f>M17</x:f>
        <x:v>0</x:v>
      </x:c>
      <x:c r="M33" s="14">
        <x:f>N17</x:f>
        <x:v>0</x:v>
      </x:c>
      <x:c r="N33" s="14">
        <x:f>O17</x:f>
        <x:v>0</x:v>
      </x:c>
      <x:c r="O33" s="14" t="n">
        <x:v>0</x:v>
      </x:c>
    </x:row>
    <x:row r="34">
      <x:c r="A34" s="7" t="inlineStr">
        <x:is>
          <x:t xml:space="preserve">Port/clearing cash spend</x:t>
        </x:is>
      </x:c>
      <x:c r="B34" s="5" t="inlineStr">
        <x:is>
          <x:t xml:space="preserve">ZAR'000</x:t>
        </x:is>
      </x:c>
      <x:c r="D34" s="14">
        <x:f>E18</x:f>
        <x:v>0</x:v>
      </x:c>
      <x:c r="E34" s="14">
        <x:f>F18</x:f>
        <x:v>450</x:v>
      </x:c>
      <x:c r="F34" s="14">
        <x:f>G18</x:f>
        <x:v>300</x:v>
      </x:c>
      <x:c r="G34" s="14">
        <x:f>H18</x:f>
        <x:v>300</x:v>
      </x:c>
      <x:c r="H34" s="14">
        <x:f>I18</x:f>
        <x:v>450</x:v>
      </x:c>
      <x:c r="I34" s="14">
        <x:f>J18</x:f>
        <x:v>0</x:v>
      </x:c>
      <x:c r="J34" s="14">
        <x:f>K18</x:f>
        <x:v>0</x:v>
      </x:c>
      <x:c r="K34" s="14">
        <x:f>L18</x:f>
        <x:v>0</x:v>
      </x:c>
      <x:c r="L34" s="14">
        <x:f>M18</x:f>
        <x:v>0</x:v>
      </x:c>
      <x:c r="M34" s="14">
        <x:f>N18</x:f>
        <x:v>0</x:v>
      </x:c>
      <x:c r="N34" s="14">
        <x:f>O18</x:f>
        <x:v>0</x:v>
      </x:c>
      <x:c r="O34" s="14" t="n">
        <x:v>0</x:v>
      </x:c>
    </x:row>
    <x:row r="35">
      <x:c r="A35" s="7" t="inlineStr">
        <x:is>
          <x:t xml:space="preserve">Inland trucking cash spend</x:t>
        </x:is>
      </x:c>
      <x:c r="B35" s="5" t="inlineStr">
        <x:is>
          <x:t xml:space="preserve">ZAR'000</x:t>
        </x:is>
      </x:c>
      <x:c r="D35" s="14">
        <x:f>E19</x:f>
        <x:v>0</x:v>
      </x:c>
      <x:c r="E35" s="14">
        <x:f>F19</x:f>
        <x:v>360</x:v>
      </x:c>
      <x:c r="F35" s="14">
        <x:f>G19</x:f>
        <x:v>240</x:v>
      </x:c>
      <x:c r="G35" s="14">
        <x:f>H19</x:f>
        <x:v>240</x:v>
      </x:c>
      <x:c r="H35" s="14">
        <x:f>I19</x:f>
        <x:v>360</x:v>
      </x:c>
      <x:c r="I35" s="14">
        <x:f>J19</x:f>
        <x:v>0</x:v>
      </x:c>
      <x:c r="J35" s="14">
        <x:f>K19</x:f>
        <x:v>0</x:v>
      </x:c>
      <x:c r="K35" s="14">
        <x:f>L19</x:f>
        <x:v>0</x:v>
      </x:c>
      <x:c r="L35" s="14">
        <x:f>M19</x:f>
        <x:v>0</x:v>
      </x:c>
      <x:c r="M35" s="14">
        <x:f>N19</x:f>
        <x:v>0</x:v>
      </x:c>
      <x:c r="N35" s="14">
        <x:f>O19</x:f>
        <x:v>0</x:v>
      </x:c>
      <x:c r="O35" s="14" t="n">
        <x:v>0</x:v>
      </x:c>
    </x:row>
    <x:row r="36">
      <x:c r="A36" s="7" t="inlineStr">
        <x:is>
          <x:t xml:space="preserve">Crane/rigging cash spend</x:t>
        </x:is>
      </x:c>
      <x:c r="B36" s="5" t="inlineStr">
        <x:is>
          <x:t xml:space="preserve">ZAR'000</x:t>
        </x:is>
      </x:c>
      <x:c r="D36" s="14">
        <x:f>D20</x:f>
        <x:v>0</x:v>
      </x:c>
      <x:c r="E36" s="14">
        <x:f>E20</x:f>
        <x:v>0</x:v>
      </x:c>
      <x:c r="F36" s="14">
        <x:f>F20</x:f>
        <x:v>300</x:v>
      </x:c>
      <x:c r="G36" s="14">
        <x:f>G20</x:f>
        <x:v>200</x:v>
      </x:c>
      <x:c r="H36" s="14">
        <x:f>H20</x:f>
        <x:v>200</x:v>
      </x:c>
      <x:c r="I36" s="14">
        <x:f>I20</x:f>
        <x:v>300</x:v>
      </x:c>
      <x:c r="J36" s="14">
        <x:f>J20</x:f>
        <x:v>0</x:v>
      </x:c>
      <x:c r="K36" s="14">
        <x:f>K20</x:f>
        <x:v>0</x:v>
      </x:c>
      <x:c r="L36" s="14">
        <x:f>L20</x:f>
        <x:v>0</x:v>
      </x:c>
      <x:c r="M36" s="14">
        <x:f>M20</x:f>
        <x:v>0</x:v>
      </x:c>
      <x:c r="N36" s="14">
        <x:f>N20</x:f>
        <x:v>0</x:v>
      </x:c>
      <x:c r="O36" s="14">
        <x:f>O20</x:f>
        <x:v>0</x:v>
      </x:c>
    </x:row>
    <x:row r="37">
      <x:c r="A37" s="7" t="inlineStr">
        <x:is>
          <x:t xml:space="preserve">Cargo insurance cash spend</x:t>
        </x:is>
      </x:c>
      <x:c r="B37" s="5" t="inlineStr">
        <x:is>
          <x:t xml:space="preserve">ZAR'000</x:t>
        </x:is>
      </x:c>
      <x:c r="D37" s="14">
        <x:f>E21</x:f>
        <x:v>0</x:v>
      </x:c>
      <x:c r="E37" s="14">
        <x:f>F21</x:f>
        <x:v>725.7380952380953</x:v>
      </x:c>
      <x:c r="F37" s="14">
        <x:f>G21</x:f>
        <x:v>666.2380952380953</x:v>
      </x:c>
      <x:c r="G37" s="14">
        <x:f>H21</x:f>
        <x:v>666.2380952380953</x:v>
      </x:c>
      <x:c r="H37" s="14">
        <x:f>I21</x:f>
        <x:v>725.7380952380953</x:v>
      </x:c>
      <x:c r="I37" s="14">
        <x:f>J21</x:f>
        <x:v>0</x:v>
      </x:c>
      <x:c r="J37" s="14">
        <x:f>K21</x:f>
        <x:v>0</x:v>
      </x:c>
      <x:c r="K37" s="14">
        <x:f>L21</x:f>
        <x:v>0</x:v>
      </x:c>
      <x:c r="L37" s="14">
        <x:f>M21</x:f>
        <x:v>0</x:v>
      </x:c>
      <x:c r="M37" s="14">
        <x:f>N21</x:f>
        <x:v>0</x:v>
      </x:c>
      <x:c r="N37" s="14">
        <x:f>O21</x:f>
        <x:v>0</x:v>
      </x:c>
      <x:c r="O37" s="14" t="n">
        <x:v>0</x:v>
      </x:c>
    </x:row>
    <x:row r="38">
      <x:c r="A38" s="7" t="inlineStr">
        <x:is>
          <x:t xml:space="preserve">Import duty cash spend</x:t>
        </x:is>
      </x:c>
      <x:c r="B38" s="5" t="inlineStr">
        <x:is>
          <x:t xml:space="preserve">ZAR'000</x:t>
        </x:is>
      </x:c>
      <x:c r="D38" s="14">
        <x:f>E22</x:f>
        <x:v>0</x:v>
      </x:c>
      <x:c r="E38" s="14">
        <x:f>F22</x:f>
        <x:v>3628.6904761904766</x:v>
      </x:c>
      <x:c r="F38" s="14">
        <x:f>G22</x:f>
        <x:v>3331.1904761904766</x:v>
      </x:c>
      <x:c r="G38" s="14">
        <x:f>H22</x:f>
        <x:v>3331.1904761904766</x:v>
      </x:c>
      <x:c r="H38" s="14">
        <x:f>I22</x:f>
        <x:v>3628.6904761904766</x:v>
      </x:c>
      <x:c r="I38" s="14">
        <x:f>J22</x:f>
        <x:v>0</x:v>
      </x:c>
      <x:c r="J38" s="14">
        <x:f>K22</x:f>
        <x:v>0</x:v>
      </x:c>
      <x:c r="K38" s="14">
        <x:f>L22</x:f>
        <x:v>0</x:v>
      </x:c>
      <x:c r="L38" s="14">
        <x:f>M22</x:f>
        <x:v>0</x:v>
      </x:c>
      <x:c r="M38" s="14">
        <x:f>N22</x:f>
        <x:v>0</x:v>
      </x:c>
      <x:c r="N38" s="14">
        <x:f>O22</x:f>
        <x:v>0</x:v>
      </x:c>
      <x:c r="O38" s="14" t="n">
        <x:v>0</x:v>
      </x:c>
    </x:row>
    <x:row r="39">
      <x:c r="A39" s="7" t="inlineStr">
        <x:is>
          <x:t xml:space="preserve">Office/software/legal setup cash spend</x:t>
        </x:is>
      </x:c>
      <x:c r="B39" s="5" t="inlineStr">
        <x:is>
          <x:t xml:space="preserve">ZAR'000</x:t>
        </x:is>
      </x:c>
      <x:c r="D39" s="14">
        <x:f>D23</x:f>
        <x:v>3300</x:v>
      </x:c>
      <x:c r="E39" s="14">
        <x:f>E23</x:f>
        <x:v>0</x:v>
      </x:c>
      <x:c r="F39" s="14">
        <x:f>F23</x:f>
        <x:v>0</x:v>
      </x:c>
      <x:c r="G39" s="14">
        <x:f>G23</x:f>
        <x:v>0</x:v>
      </x:c>
      <x:c r="H39" s="14">
        <x:f>H23</x:f>
        <x:v>0</x:v>
      </x:c>
      <x:c r="I39" s="14">
        <x:f>I23</x:f>
        <x:v>0</x:v>
      </x:c>
      <x:c r="J39" s="14">
        <x:f>J23</x:f>
        <x:v>0</x:v>
      </x:c>
      <x:c r="K39" s="14">
        <x:f>K23</x:f>
        <x:v>0</x:v>
      </x:c>
      <x:c r="L39" s="14">
        <x:f>L23</x:f>
        <x:v>0</x:v>
      </x:c>
      <x:c r="M39" s="14">
        <x:f>M23</x:f>
        <x:v>0</x:v>
      </x:c>
      <x:c r="N39" s="14">
        <x:f>N23</x:f>
        <x:v>0</x:v>
      </x:c>
      <x:c r="O39" s="14">
        <x:f>O23</x:f>
        <x:v>0</x:v>
      </x:c>
    </x:row>
    <x:row r="40">
      <x:c r="A40" s="19" t="inlineStr">
        <x:is>
          <x:t xml:space="preserve">Total capex cash spend</x:t>
        </x:is>
      </x:c>
      <x:c r="B40" s="20" t="inlineStr">
        <x:is>
          <x:t xml:space="preserve">ZAR'000</x:t>
        </x:is>
      </x:c>
      <x:c r="C40" s="21" t="n"/>
      <x:c r="D40" s="22">
        <x:f>SUM(D26:D39)</x:f>
        <x:v>30072.14285714286</x:v>
      </x:c>
      <x:c r="E40" s="22">
        <x:f>SUM(E26:E39)</x:f>
        <x:v>84818.85714285714</x:v>
      </x:c>
      <x:c r="F40" s="22">
        <x:f>SUM(F26:F39)</x:f>
        <x:v>113912.96428571428</x:v>
      </x:c>
      <x:c r="G40" s="22">
        <x:f>SUM(G26:G39)</x:f>
        <x:v>134587.9642857143</x:v>
      </x:c>
      <x:c r="H40" s="22">
        <x:f>SUM(H26:H39)</x:f>
        <x:v>97553.82142857142</x:v>
      </x:c>
      <x:c r="I40" s="22">
        <x:f>SUM(I26:I39)</x:f>
        <x:v>18832.107142857145</x:v>
      </x:c>
      <x:c r="J40" s="22">
        <x:f>SUM(J26:J39)</x:f>
        <x:v>0</x:v>
      </x:c>
      <x:c r="K40" s="22">
        <x:f>SUM(K26:K39)</x:f>
        <x:v>0</x:v>
      </x:c>
      <x:c r="L40" s="22">
        <x:f>SUM(L26:L39)</x:f>
        <x:v>0</x:v>
      </x:c>
      <x:c r="M40" s="22">
        <x:f>SUM(M26:M39)</x:f>
        <x:v>0</x:v>
      </x:c>
      <x:c r="N40" s="22">
        <x:f>SUM(N26:N39)</x:f>
        <x:v>0</x:v>
      </x:c>
      <x:c r="O40" s="22">
        <x:f>SUM(O26:O39)</x:f>
        <x:v>0</x:v>
      </x:c>
    </x:row>
    <x:row r="41">
      <x:c r="A41" s="2" t="inlineStr">
        <x:is>
          <x:t xml:space="preserve">Cumulative capex spend</x:t>
        </x:is>
      </x:c>
      <x:c r="B41" s="5" t="inlineStr">
        <x:is>
          <x:t xml:space="preserve">ZAR'000</x:t>
        </x:is>
      </x:c>
      <x:c r="D41" s="14">
        <x:f>D40</x:f>
        <x:v>30072.14285714286</x:v>
      </x:c>
      <x:c r="E41" s="14">
        <x:f>D41+E40</x:f>
        <x:v>114891</x:v>
      </x:c>
      <x:c r="F41" s="14">
        <x:f>E41+F40</x:f>
        <x:v>228803.96428571426</x:v>
      </x:c>
      <x:c r="G41" s="14">
        <x:f>F41+G40</x:f>
        <x:v>363391.9285714285</x:v>
      </x:c>
      <x:c r="H41" s="14">
        <x:f>G41+H40</x:f>
        <x:v>460945.74999999994</x:v>
      </x:c>
      <x:c r="I41" s="14">
        <x:f>H41+I40</x:f>
        <x:v>479777.8571428571</x:v>
      </x:c>
      <x:c r="J41" s="14">
        <x:f>I41+J40</x:f>
        <x:v>479777.8571428571</x:v>
      </x:c>
      <x:c r="K41" s="14">
        <x:f>J41+K40</x:f>
        <x:v>479777.8571428571</x:v>
      </x:c>
      <x:c r="L41" s="14">
        <x:f>K41+L40</x:f>
        <x:v>479777.8571428571</x:v>
      </x:c>
      <x:c r="M41" s="14">
        <x:f>L41+M40</x:f>
        <x:v>479777.8571428571</x:v>
      </x:c>
      <x:c r="N41" s="14">
        <x:f>M41+N40</x:f>
        <x:v>479777.8571428571</x:v>
      </x:c>
      <x:c r="O41" s="14">
        <x:f>N41+O40</x:f>
        <x:v>479777.8571428571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</x:cols>
  <x:sheetData>
    <x:row r="1">
      <x:c r="A1" s="1" t="inlineStr">
        <x:is>
          <x:t xml:space="preserve">12-Month Cash Flow &amp; Burn</x:t>
        </x:is>
      </x:c>
    </x:row>
    <x:row r="2">
      <x:c r="A2" s="5" t="inlineStr">
        <x:is>
          <x:t xml:space="preserve">Base case uses BTC revenue only unless optional layers are switched on.</x:t>
        </x:is>
      </x:c>
    </x:row>
    <x:row r="3">
      <x:c r="D3" s="16" t="n">
        <x:v>1</x:v>
      </x:c>
      <x:c r="E3" s="16" t="n">
        <x:v>2</x:v>
      </x:c>
      <x:c r="F3" s="16" t="n">
        <x:v>3</x:v>
      </x:c>
      <x:c r="G3" s="16" t="n">
        <x:v>4</x:v>
      </x:c>
      <x:c r="H3" s="16" t="n">
        <x:v>5</x:v>
      </x:c>
      <x:c r="I3" s="16" t="n">
        <x:v>6</x:v>
      </x:c>
      <x:c r="J3" s="16" t="n">
        <x:v>7</x:v>
      </x:c>
      <x:c r="K3" s="16" t="n">
        <x:v>8</x:v>
      </x:c>
      <x:c r="L3" s="16" t="n">
        <x:v>9</x:v>
      </x:c>
      <x:c r="M3" s="16" t="n">
        <x:v>10</x:v>
      </x:c>
      <x:c r="N3" s="16" t="n">
        <x:v>11</x:v>
      </x:c>
      <x:c r="O3" s="16" t="n">
        <x:v>12</x:v>
      </x:c>
    </x:row>
    <x:row r="4">
      <x:c r="D4" s="17" t="inlineStr">
        <x:is>
          <x:t xml:space="preserve">Jan-26</x:t>
        </x:is>
      </x:c>
      <x:c r="E4" s="17" t="inlineStr">
        <x:is>
          <x:t xml:space="preserve">Feb-26</x:t>
        </x:is>
      </x:c>
      <x:c r="F4" s="17" t="inlineStr">
        <x:is>
          <x:t xml:space="preserve">Mar-26</x:t>
        </x:is>
      </x:c>
      <x:c r="G4" s="17" t="inlineStr">
        <x:is>
          <x:t xml:space="preserve">Apr-26</x:t>
        </x:is>
      </x:c>
      <x:c r="H4" s="17" t="inlineStr">
        <x:is>
          <x:t xml:space="preserve">May-26</x:t>
        </x:is>
      </x:c>
      <x:c r="I4" s="17" t="inlineStr">
        <x:is>
          <x:t xml:space="preserve">Jun-26</x:t>
        </x:is>
      </x:c>
      <x:c r="J4" s="17" t="inlineStr">
        <x:is>
          <x:t xml:space="preserve">Jul-26</x:t>
        </x:is>
      </x:c>
      <x:c r="K4" s="17" t="inlineStr">
        <x:is>
          <x:t xml:space="preserve">Aug-26</x:t>
        </x:is>
      </x:c>
      <x:c r="L4" s="17" t="inlineStr">
        <x:is>
          <x:t xml:space="preserve">Sep-26</x:t>
        </x:is>
      </x:c>
      <x:c r="M4" s="17" t="inlineStr">
        <x:is>
          <x:t xml:space="preserve">Oct-26</x:t>
        </x:is>
      </x:c>
      <x:c r="N4" s="17" t="inlineStr">
        <x:is>
          <x:t xml:space="preserve">Nov-26</x:t>
        </x:is>
      </x:c>
      <x:c r="O4" s="17" t="inlineStr">
        <x:is>
          <x:t xml:space="preserve">Dec-26</x:t>
        </x:is>
      </x:c>
    </x:row>
    <x:row r="5">
      <x:c r="A5" s="7" t="inlineStr">
        <x:is>
          <x:t xml:space="preserve">Revenue - base case</x:t>
        </x:is>
      </x:c>
      <x:c r="B5" s="5" t="inlineStr">
        <x:is>
          <x:t xml:space="preserve">ZAR'000</x:t>
        </x:is>
      </x:c>
      <x:c r="D5" s="14">
        <x:f>'12M_Revenue'!D21</x:f>
        <x:v>0</x:v>
      </x:c>
      <x:c r="E5" s="14">
        <x:f>'12M_Revenue'!E21</x:f>
        <x:v>0</x:v>
      </x:c>
      <x:c r="F5" s="14">
        <x:f>'12M_Revenue'!F21</x:f>
        <x:v>2928.482327300286</x:v>
      </x:c>
      <x:c r="G5" s="14">
        <x:f>'12M_Revenue'!G21</x:f>
        <x:v>8470.609484466271</x:v>
      </x:c>
      <x:c r="H5" s="14">
        <x:f>'12M_Revenue'!H21</x:f>
        <x:v>14534.33232293067</x:v>
      </x:c>
      <x:c r="I5" s="14">
        <x:f>'12M_Revenue'!I21</x:f>
        <x:v>19774.572137797128</x:v>
      </x:c>
      <x:c r="J5" s="14">
        <x:f>'12M_Revenue'!J21</x:f>
        <x:v>23403.882360038555</x:v>
      </x:c>
      <x:c r="K5" s="14">
        <x:f>'12M_Revenue'!K21</x:f>
        <x:v>23317.347416780114</x:v>
      </x:c>
      <x:c r="L5" s="14">
        <x:f>'12M_Revenue'!L21</x:f>
        <x:v>22481.74106429336</x:v>
      </x:c>
      <x:c r="M5" s="14">
        <x:f>'12M_Revenue'!M21</x:f>
        <x:v>23145.23622596956</x:v>
      </x:c>
      <x:c r="N5" s="14">
        <x:f>'12M_Revenue'!N21</x:f>
        <x:v>22315.797693595647</x:v>
      </x:c>
      <x:c r="O5" s="14">
        <x:f>'12M_Revenue'!O21</x:f>
        <x:v>22974.395431035195</x:v>
      </x:c>
    </x:row>
    <x:row r="6">
      <x:c r="A6" s="7" t="inlineStr">
        <x:is>
          <x:t xml:space="preserve">Revenue - with upside</x:t>
        </x:is>
      </x:c>
      <x:c r="B6" s="5" t="inlineStr">
        <x:is>
          <x:t xml:space="preserve">ZAR'000</x:t>
        </x:is>
      </x:c>
      <x:c r="D6" s="14">
        <x:f>'12M_Revenue'!D22</x:f>
        <x:v>0</x:v>
      </x:c>
      <x:c r="E6" s="14">
        <x:f>'12M_Revenue'!E22</x:f>
        <x:v>0</x:v>
      </x:c>
      <x:c r="F6" s="14">
        <x:f>'12M_Revenue'!F22</x:f>
        <x:v>2928.482327300286</x:v>
      </x:c>
      <x:c r="G6" s="14">
        <x:f>'12M_Revenue'!G22</x:f>
        <x:v>8470.609484466271</x:v>
      </x:c>
      <x:c r="H6" s="14">
        <x:f>'12M_Revenue'!H22</x:f>
        <x:v>14534.33232293067</x:v>
      </x:c>
      <x:c r="I6" s="14">
        <x:f>'12M_Revenue'!I22</x:f>
        <x:v>19774.572137797128</x:v>
      </x:c>
      <x:c r="J6" s="14">
        <x:f>'12M_Revenue'!J22</x:f>
        <x:v>23520.132360038555</x:v>
      </x:c>
      <x:c r="K6" s="14">
        <x:f>'12M_Revenue'!K22</x:f>
        <x:v>23433.597416780114</x:v>
      </x:c>
      <x:c r="L6" s="14">
        <x:f>'12M_Revenue'!L22</x:f>
        <x:v>22594.24106429336</x:v>
      </x:c>
      <x:c r="M6" s="14">
        <x:f>'12M_Revenue'!M22</x:f>
        <x:v>23261.48622596956</x:v>
      </x:c>
      <x:c r="N6" s="14">
        <x:f>'12M_Revenue'!N22</x:f>
        <x:v>22428.297693595647</x:v>
      </x:c>
      <x:c r="O6" s="14">
        <x:f>'12M_Revenue'!O22</x:f>
        <x:v>23090.645431035195</x:v>
      </x:c>
    </x:row>
    <x:row r="7">
      <x:c r="A7" s="7" t="inlineStr">
        <x:is>
          <x:t xml:space="preserve">Cash opex</x:t>
        </x:is>
      </x:c>
      <x:c r="B7" s="5" t="inlineStr">
        <x:is>
          <x:t xml:space="preserve">ZAR'000</x:t>
        </x:is>
      </x:c>
      <x:c r="D7" s="14">
        <x:f>'12M_Opex'!D24</x:f>
        <x:v>841</x:v>
      </x:c>
      <x:c r="E7" s="14">
        <x:f>'12M_Opex'!E24</x:f>
        <x:v>841</x:v>
      </x:c>
      <x:c r="F7" s="14">
        <x:f>'12M_Opex'!F24</x:f>
        <x:v>2849.3812500000004</x:v>
      </x:c>
      <x:c r="G7" s="14">
        <x:f>'12M_Opex'!G24</x:f>
        <x:v>5352.36875</x:v>
      </x:c>
      <x:c r="H7" s="14">
        <x:f>'12M_Opex'!H24</x:f>
        <x:v>8420.189583333333</x:v>
      </x:c>
      <x:c r="I7" s="14">
        <x:f>'12M_Opex'!I24</x:f>
        <x:v>10983.260416666666</x:v>
      </x:c>
      <x:c r="J7" s="14">
        <x:f>'12M_Opex'!J24</x:f>
        <x:v>11785.366666666665</x:v>
      </x:c>
      <x:c r="K7" s="14">
        <x:f>'12M_Opex'!K24</x:f>
        <x:v>11785.366666666665</x:v>
      </x:c>
      <x:c r="L7" s="14">
        <x:f>'12M_Opex'!L24</x:f>
        <x:v>11486.116666666665</x:v>
      </x:c>
      <x:c r="M7" s="14">
        <x:f>'12M_Opex'!M24</x:f>
        <x:v>11785.366666666665</x:v>
      </x:c>
      <x:c r="N7" s="14">
        <x:f>'12M_Opex'!N24</x:f>
        <x:v>11486.116666666665</x:v>
      </x:c>
      <x:c r="O7" s="14">
        <x:f>'12M_Opex'!O24</x:f>
        <x:v>11785.366666666665</x:v>
      </x:c>
    </x:row>
    <x:row r="8">
      <x:c r="A8" s="19" t="inlineStr">
        <x:is>
          <x:t xml:space="preserve">EBITDA - base case</x:t>
        </x:is>
      </x:c>
      <x:c r="B8" s="20" t="inlineStr">
        <x:is>
          <x:t xml:space="preserve">ZAR'000</x:t>
        </x:is>
      </x:c>
      <x:c r="C8" s="21" t="n"/>
      <x:c r="D8" s="22">
        <x:f>'12M_Opex'!D25</x:f>
        <x:v>-841</x:v>
      </x:c>
      <x:c r="E8" s="22">
        <x:f>'12M_Opex'!E25</x:f>
        <x:v>-841</x:v>
      </x:c>
      <x:c r="F8" s="22">
        <x:f>'12M_Opex'!F25</x:f>
        <x:v>79.10107730028585</x:v>
      </x:c>
      <x:c r="G8" s="22">
        <x:f>'12M_Opex'!G25</x:f>
        <x:v>3118.2407344662715</x:v>
      </x:c>
      <x:c r="H8" s="22">
        <x:f>'12M_Opex'!H25</x:f>
        <x:v>6114.142739597337</x:v>
      </x:c>
      <x:c r="I8" s="22">
        <x:f>'12M_Opex'!I25</x:f>
        <x:v>8791.311721130462</x:v>
      </x:c>
      <x:c r="J8" s="22">
        <x:f>'12M_Opex'!J25</x:f>
        <x:v>11618.51569337189</x:v>
      </x:c>
      <x:c r="K8" s="22">
        <x:f>'12M_Opex'!K25</x:f>
        <x:v>11531.98075011345</x:v>
      </x:c>
      <x:c r="L8" s="22">
        <x:f>'12M_Opex'!L25</x:f>
        <x:v>10995.624397626696</x:v>
      </x:c>
      <x:c r="M8" s="22">
        <x:f>'12M_Opex'!M25</x:f>
        <x:v>11359.869559302893</x:v>
      </x:c>
      <x:c r="N8" s="22">
        <x:f>'12M_Opex'!N25</x:f>
        <x:v>10829.681026928982</x:v>
      </x:c>
      <x:c r="O8" s="22">
        <x:f>'12M_Opex'!O25</x:f>
        <x:v>11189.02876436853</x:v>
      </x:c>
    </x:row>
    <x:row r="9">
      <x:c r="A9" s="7" t="inlineStr">
        <x:is>
          <x:t xml:space="preserve">Capex cash spend</x:t>
        </x:is>
      </x:c>
      <x:c r="B9" s="5" t="inlineStr">
        <x:is>
          <x:t xml:space="preserve">ZAR'000</x:t>
        </x:is>
      </x:c>
      <x:c r="D9" s="14">
        <x:f>'12M_Capex'!D40</x:f>
        <x:v>30072.14285714286</x:v>
      </x:c>
      <x:c r="E9" s="14">
        <x:f>'12M_Capex'!E40</x:f>
        <x:v>84818.85714285714</x:v>
      </x:c>
      <x:c r="F9" s="14">
        <x:f>'12M_Capex'!F40</x:f>
        <x:v>113912.96428571428</x:v>
      </x:c>
      <x:c r="G9" s="14">
        <x:f>'12M_Capex'!G40</x:f>
        <x:v>134587.9642857143</x:v>
      </x:c>
      <x:c r="H9" s="14">
        <x:f>'12M_Capex'!H40</x:f>
        <x:v>97553.82142857142</x:v>
      </x:c>
      <x:c r="I9" s="14">
        <x:f>'12M_Capex'!I40</x:f>
        <x:v>18832.107142857145</x:v>
      </x:c>
      <x:c r="J9" s="14">
        <x:f>'12M_Capex'!J40</x:f>
        <x:v>0</x:v>
      </x:c>
      <x:c r="K9" s="14">
        <x:f>'12M_Capex'!K40</x:f>
        <x:v>0</x:v>
      </x:c>
      <x:c r="L9" s="14">
        <x:f>'12M_Capex'!L40</x:f>
        <x:v>0</x:v>
      </x:c>
      <x:c r="M9" s="14">
        <x:f>'12M_Capex'!M40</x:f>
        <x:v>0</x:v>
      </x:c>
      <x:c r="N9" s="14">
        <x:f>'12M_Capex'!N40</x:f>
        <x:v>0</x:v>
      </x:c>
      <x:c r="O9" s="14">
        <x:f>'12M_Capex'!O40</x:f>
        <x:v>0</x:v>
      </x:c>
    </x:row>
    <x:row r="10">
      <x:c r="A10" s="2" t="inlineStr">
        <x:is>
          <x:t xml:space="preserve">Unlevered cash flow - base case</x:t>
        </x:is>
      </x:c>
      <x:c r="B10" s="5" t="inlineStr">
        <x:is>
          <x:t xml:space="preserve">ZAR'000</x:t>
        </x:is>
      </x:c>
      <x:c r="D10" s="14">
        <x:f>D5-D7-D9</x:f>
        <x:v>-30913.14285714286</x:v>
      </x:c>
      <x:c r="E10" s="14">
        <x:f>E5-E7-E9</x:f>
        <x:v>-85659.85714285714</x:v>
      </x:c>
      <x:c r="F10" s="14">
        <x:f>F5-F7-F9</x:f>
        <x:v>-113833.86320841398</x:v>
      </x:c>
      <x:c r="G10" s="14">
        <x:f>G5-G7-G9</x:f>
        <x:v>-131469.72355124803</x:v>
      </x:c>
      <x:c r="H10" s="14">
        <x:f>H5-H7-H9</x:f>
        <x:v>-91439.67868897409</x:v>
      </x:c>
      <x:c r="I10" s="14">
        <x:f>I5-I7-I9</x:f>
        <x:v>-10040.795421726683</x:v>
      </x:c>
      <x:c r="J10" s="14">
        <x:f>J5-J7-J9</x:f>
        <x:v>11618.51569337189</x:v>
      </x:c>
      <x:c r="K10" s="14">
        <x:f>K5-K7-K9</x:f>
        <x:v>11531.98075011345</x:v>
      </x:c>
      <x:c r="L10" s="14">
        <x:f>L5-L7-L9</x:f>
        <x:v>10995.624397626696</x:v>
      </x:c>
      <x:c r="M10" s="14">
        <x:f>M5-M7-M9</x:f>
        <x:v>11359.869559302893</x:v>
      </x:c>
      <x:c r="N10" s="14">
        <x:f>N5-N7-N9</x:f>
        <x:v>10829.681026928982</x:v>
      </x:c>
      <x:c r="O10" s="14">
        <x:f>O5-O7-O9</x:f>
        <x:v>11189.02876436853</x:v>
      </x:c>
    </x:row>
    <x:row r="11">
      <x:c r="A11" s="2" t="inlineStr">
        <x:is>
          <x:t xml:space="preserve">Unlevered cash flow - with upside</x:t>
        </x:is>
      </x:c>
      <x:c r="B11" s="5" t="inlineStr">
        <x:is>
          <x:t xml:space="preserve">ZAR'000</x:t>
        </x:is>
      </x:c>
      <x:c r="D11" s="14">
        <x:f>D6-D7-D9</x:f>
        <x:v>-30913.14285714286</x:v>
      </x:c>
      <x:c r="E11" s="14">
        <x:f>E6-E7-E9</x:f>
        <x:v>-85659.85714285714</x:v>
      </x:c>
      <x:c r="F11" s="14">
        <x:f>F6-F7-F9</x:f>
        <x:v>-113833.86320841398</x:v>
      </x:c>
      <x:c r="G11" s="14">
        <x:f>G6-G7-G9</x:f>
        <x:v>-131469.72355124803</x:v>
      </x:c>
      <x:c r="H11" s="14">
        <x:f>H6-H7-H9</x:f>
        <x:v>-91439.67868897409</x:v>
      </x:c>
      <x:c r="I11" s="14">
        <x:f>I6-I7-I9</x:f>
        <x:v>-10040.795421726683</x:v>
      </x:c>
      <x:c r="J11" s="14">
        <x:f>J6-J7-J9</x:f>
        <x:v>11734.76569337189</x:v>
      </x:c>
      <x:c r="K11" s="14">
        <x:f>K6-K7-K9</x:f>
        <x:v>11648.23075011345</x:v>
      </x:c>
      <x:c r="L11" s="14">
        <x:f>L6-L7-L9</x:f>
        <x:v>11108.124397626696</x:v>
      </x:c>
      <x:c r="M11" s="14">
        <x:f>M6-M7-M9</x:f>
        <x:v>11476.119559302893</x:v>
      </x:c>
      <x:c r="N11" s="14">
        <x:f>N6-N7-N9</x:f>
        <x:v>10942.181026928982</x:v>
      </x:c>
      <x:c r="O11" s="14">
        <x:f>O6-O7-O9</x:f>
        <x:v>11305.27876436853</x:v>
      </x:c>
    </x:row>
    <x:row r="12">
      <x:c r="A12" s="7" t="inlineStr">
        <x:is>
          <x:t xml:space="preserve">Funding input</x:t>
        </x:is>
      </x:c>
      <x:c r="B12" s="5" t="inlineStr">
        <x:is>
          <x:t xml:space="preserve">ZAR'000</x:t>
        </x:is>
      </x:c>
      <x:c r="D12" s="28" t="n">
        <x:v>0</x:v>
      </x:c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v>0</x:v>
      </x:c>
      <x:c r="J12" s="28" t="n">
        <x:v>0</x:v>
      </x:c>
      <x:c r="K12" s="28" t="n">
        <x:v>0</x:v>
      </x:c>
      <x:c r="L12" s="28" t="n">
        <x:v>0</x:v>
      </x:c>
      <x:c r="M12" s="28" t="n">
        <x:v>0</x:v>
      </x:c>
      <x:c r="N12" s="28" t="n">
        <x:v>0</x:v>
      </x:c>
      <x:c r="O12" s="28" t="n">
        <x:v>0</x:v>
      </x:c>
    </x:row>
    <x:row r="13">
      <x:c r="A13" s="7" t="inlineStr">
        <x:is>
          <x:t xml:space="preserve">Opening cash</x:t>
        </x:is>
      </x:c>
      <x:c r="B13" s="5" t="inlineStr">
        <x:is>
          <x:t xml:space="preserve">ZAR'000</x:t>
        </x:is>
      </x:c>
      <x:c r="D13" s="14">
        <x:f>Control!$C$5</x:f>
        <x:v>0</x:v>
      </x:c>
      <x:c r="E13" s="14">
        <x:f>D14</x:f>
        <x:v>-30913.14285714286</x:v>
      </x:c>
      <x:c r="F13" s="14">
        <x:f>E14</x:f>
        <x:v>-116573</x:v>
      </x:c>
      <x:c r="G13" s="14">
        <x:f>F14</x:f>
        <x:v>-230406.863208414</x:v>
      </x:c>
      <x:c r="H13" s="14">
        <x:f>G14</x:f>
        <x:v>-361876.586759662</x:v>
      </x:c>
      <x:c r="I13" s="14">
        <x:f>H14</x:f>
        <x:v>-453316.26544863614</x:v>
      </x:c>
      <x:c r="J13" s="14">
        <x:f>I14</x:f>
        <x:v>-463357.06087036285</x:v>
      </x:c>
      <x:c r="K13" s="14">
        <x:f>J14</x:f>
        <x:v>-451738.54517699097</x:v>
      </x:c>
      <x:c r="L13" s="14">
        <x:f>K14</x:f>
        <x:v>-440206.56442687754</x:v>
      </x:c>
      <x:c r="M13" s="14">
        <x:f>L14</x:f>
        <x:v>-429210.94002925087</x:v>
      </x:c>
      <x:c r="N13" s="14">
        <x:f>M14</x:f>
        <x:v>-417851.070469948</x:v>
      </x:c>
      <x:c r="O13" s="14">
        <x:f>N14</x:f>
        <x:v>-407021.389443019</x:v>
      </x:c>
    </x:row>
    <x:row r="14">
      <x:c r="A14" s="2" t="inlineStr">
        <x:is>
          <x:t xml:space="preserve">Ending cash</x:t>
        </x:is>
      </x:c>
      <x:c r="B14" s="5" t="inlineStr">
        <x:is>
          <x:t xml:space="preserve">ZAR'000</x:t>
        </x:is>
      </x:c>
      <x:c r="D14" s="14">
        <x:f>D13+D10+D12</x:f>
        <x:v>-30913.14285714286</x:v>
      </x:c>
      <x:c r="E14" s="14">
        <x:f>E13+E10+E12</x:f>
        <x:v>-116573</x:v>
      </x:c>
      <x:c r="F14" s="14">
        <x:f>F13+F10+F12</x:f>
        <x:v>-230406.863208414</x:v>
      </x:c>
      <x:c r="G14" s="14">
        <x:f>G13+G10+G12</x:f>
        <x:v>-361876.586759662</x:v>
      </x:c>
      <x:c r="H14" s="14">
        <x:f>H13+H10+H12</x:f>
        <x:v>-453316.26544863614</x:v>
      </x:c>
      <x:c r="I14" s="14">
        <x:f>I13+I10+I12</x:f>
        <x:v>-463357.06087036285</x:v>
      </x:c>
      <x:c r="J14" s="14">
        <x:f>J13+J10+J12</x:f>
        <x:v>-451738.54517699097</x:v>
      </x:c>
      <x:c r="K14" s="14">
        <x:f>K13+K10+K12</x:f>
        <x:v>-440206.56442687754</x:v>
      </x:c>
      <x:c r="L14" s="14">
        <x:f>L13+L10+L12</x:f>
        <x:v>-429210.94002925087</x:v>
      </x:c>
      <x:c r="M14" s="14">
        <x:f>M13+M10+M12</x:f>
        <x:v>-417851.070469948</x:v>
      </x:c>
      <x:c r="N14" s="14">
        <x:f>N13+N10+N12</x:f>
        <x:v>-407021.389443019</x:v>
      </x:c>
      <x:c r="O14" s="14">
        <x:f>O13+O10+O12</x:f>
        <x:v>-395832.36067865044</x:v>
      </x:c>
    </x:row>
    <x:row r="15">
      <x:c r="A15" s="2" t="inlineStr">
        <x:is>
          <x:t xml:space="preserve">Cumulative burn before funding</x:t>
        </x:is>
      </x:c>
      <x:c r="B15" s="5" t="inlineStr">
        <x:is>
          <x:t xml:space="preserve">ZAR'000</x:t>
        </x:is>
      </x:c>
      <x:c r="D15" s="14">
        <x:f>D10</x:f>
        <x:v>-30913.14285714286</x:v>
      </x:c>
      <x:c r="E15" s="14">
        <x:f>D15+E10</x:f>
        <x:v>-116573</x:v>
      </x:c>
      <x:c r="F15" s="14">
        <x:f>E15+F10</x:f>
        <x:v>-230406.863208414</x:v>
      </x:c>
      <x:c r="G15" s="14">
        <x:f>F15+G10</x:f>
        <x:v>-361876.586759662</x:v>
      </x:c>
      <x:c r="H15" s="14">
        <x:f>G15+H10</x:f>
        <x:v>-453316.26544863614</x:v>
      </x:c>
      <x:c r="I15" s="14">
        <x:f>H15+I10</x:f>
        <x:v>-463357.06087036285</x:v>
      </x:c>
      <x:c r="J15" s="14">
        <x:f>I15+J10</x:f>
        <x:v>-451738.54517699097</x:v>
      </x:c>
      <x:c r="K15" s="14">
        <x:f>J15+K10</x:f>
        <x:v>-440206.56442687754</x:v>
      </x:c>
      <x:c r="L15" s="14">
        <x:f>K15+L10</x:f>
        <x:v>-429210.94002925087</x:v>
      </x:c>
      <x:c r="M15" s="14">
        <x:f>L15+M10</x:f>
        <x:v>-417851.070469948</x:v>
      </x:c>
      <x:c r="N15" s="14">
        <x:f>M15+N10</x:f>
        <x:v>-407021.389443019</x:v>
      </x:c>
      <x:c r="O15" s="14">
        <x:f>N15+O10</x:f>
        <x:v>-395832.36067865044</x:v>
      </x:c>
    </x:row>
    <x:row r="16">
      <x:c r="A16" s="19" t="inlineStr">
        <x:is>
          <x:t xml:space="preserve">Peak funding required</x:t>
        </x:is>
      </x:c>
      <x:c r="B16" s="20" t="inlineStr">
        <x:is>
          <x:t xml:space="preserve">ZAR'000</x:t>
        </x:is>
      </x:c>
      <x:c r="C16" s="21" t="n"/>
      <x:c r="D16" s="22">
        <x:f>MAX(0,-D15)</x:f>
        <x:v>30913.14285714286</x:v>
      </x:c>
      <x:c r="E16" s="22">
        <x:f>MAX(D16,MAX(0,-E15))</x:f>
        <x:v>116573</x:v>
      </x:c>
      <x:c r="F16" s="22">
        <x:f>MAX(E16,MAX(0,-F15))</x:f>
        <x:v>230406.863208414</x:v>
      </x:c>
      <x:c r="G16" s="22">
        <x:f>MAX(F16,MAX(0,-G15))</x:f>
        <x:v>361876.586759662</x:v>
      </x:c>
      <x:c r="H16" s="22">
        <x:f>MAX(G16,MAX(0,-H15))</x:f>
        <x:v>453316.26544863614</x:v>
      </x:c>
      <x:c r="I16" s="22">
        <x:f>MAX(H16,MAX(0,-I15))</x:f>
        <x:v>463357.06087036285</x:v>
      </x:c>
      <x:c r="J16" s="22">
        <x:f>MAX(I16,MAX(0,-J15))</x:f>
        <x:v>463357.06087036285</x:v>
      </x:c>
      <x:c r="K16" s="22">
        <x:f>MAX(J16,MAX(0,-K15))</x:f>
        <x:v>463357.06087036285</x:v>
      </x:c>
      <x:c r="L16" s="22">
        <x:f>MAX(K16,MAX(0,-L15))</x:f>
        <x:v>463357.06087036285</x:v>
      </x:c>
      <x:c r="M16" s="22">
        <x:f>MAX(L16,MAX(0,-M15))</x:f>
        <x:v>463357.06087036285</x:v>
      </x:c>
      <x:c r="N16" s="22">
        <x:f>MAX(M16,MAX(0,-N15))</x:f>
        <x:v>463357.06087036285</x:v>
      </x:c>
      <x:c r="O16" s="22">
        <x:f>MAX(N16,MAX(0,-O15))</x:f>
        <x:v>463357.06087036285</x:v>
      </x:c>
    </x:row>
    <x:row r="19">
      <x:c r="A19" s="1" t="inlineStr">
        <x:is>
          <x:t xml:space="preserve">Phase 1 Year-1 Summary</x:t>
        </x:is>
      </x:c>
    </x:row>
    <x:row r="20">
      <x:c r="A20" s="19" t="inlineStr">
        <x:is>
          <x:t xml:space="preserve">Total BTC mined</x:t>
        </x:is>
      </x:c>
      <x:c r="B20" s="29" t="inlineStr">
        <x:is>
          <x:t xml:space="preserve">BTC</x:t>
        </x:is>
      </x:c>
      <x:c r="C20" s="22">
        <x:f>SUM('12M_Revenue'!D12:O12)</x:f>
        <x:v>135.6231560322306</x:v>
      </x:c>
      <x:c r="D20" s="21" t="n"/>
      <x:c r="E20" s="21" t="n"/>
      <x:c r="F20" s="21" t="n"/>
      <x:c r="G20" s="21" t="n"/>
      <x:c r="H20" s="21" t="n"/>
      <x:c r="I20" s="21" t="n"/>
      <x:c r="J20" s="21" t="n"/>
      <x:c r="K20" s="21" t="n"/>
      <x:c r="L20" s="21" t="n"/>
      <x:c r="M20" s="21" t="n"/>
      <x:c r="N20" s="21" t="n"/>
      <x:c r="O20" s="21" t="n"/>
    </x:row>
    <x:row r="21">
      <x:c r="A21" s="19" t="inlineStr">
        <x:is>
          <x:t xml:space="preserve">Total revenue - base</x:t>
        </x:is>
      </x:c>
      <x:c r="B21" s="29" t="inlineStr">
        <x:is>
          <x:t xml:space="preserve">ZAR'000</x:t>
        </x:is>
      </x:c>
      <x:c r="C21" s="22">
        <x:f>SUM('12M_Cashflow'!D5:O5)</x:f>
        <x:v>183346.3964642068</x:v>
      </x:c>
      <x:c r="D21" s="21" t="n"/>
      <x:c r="E21" s="21" t="n"/>
      <x:c r="F21" s="21" t="n"/>
      <x:c r="G21" s="21" t="n"/>
      <x:c r="H21" s="21" t="n"/>
      <x:c r="I21" s="21" t="n"/>
      <x:c r="J21" s="21" t="n"/>
      <x:c r="K21" s="21" t="n"/>
      <x:c r="L21" s="21" t="n"/>
      <x:c r="M21" s="21" t="n"/>
      <x:c r="N21" s="21" t="n"/>
      <x:c r="O21" s="21" t="n"/>
    </x:row>
    <x:row r="22">
      <x:c r="A22" s="19" t="inlineStr">
        <x:is>
          <x:t xml:space="preserve">Total cash opex</x:t>
        </x:is>
      </x:c>
      <x:c r="B22" s="29" t="inlineStr">
        <x:is>
          <x:t xml:space="preserve">ZAR'000</x:t>
        </x:is>
      </x:c>
      <x:c r="C22" s="22">
        <x:f>SUM('12M_Cashflow'!D7:O7)</x:f>
        <x:v>99400.90000000001</x:v>
      </x:c>
      <x:c r="D22" s="21" t="n"/>
      <x:c r="E22" s="21" t="n"/>
      <x:c r="F22" s="21" t="n"/>
      <x:c r="G22" s="21" t="n"/>
      <x:c r="H22" s="21" t="n"/>
      <x:c r="I22" s="21" t="n"/>
      <x:c r="J22" s="21" t="n"/>
      <x:c r="K22" s="21" t="n"/>
      <x:c r="L22" s="21" t="n"/>
      <x:c r="M22" s="21" t="n"/>
      <x:c r="N22" s="21" t="n"/>
      <x:c r="O22" s="21" t="n"/>
    </x:row>
    <x:row r="23">
      <x:c r="A23" s="19" t="inlineStr">
        <x:is>
          <x:t xml:space="preserve">Total capex cash spend</x:t>
        </x:is>
      </x:c>
      <x:c r="B23" s="29" t="inlineStr">
        <x:is>
          <x:t xml:space="preserve">ZAR'000</x:t>
        </x:is>
      </x:c>
      <x:c r="C23" s="22">
        <x:f>SUM('12M_Cashflow'!D9:O9)</x:f>
        <x:v>479777.8571428571</x:v>
      </x:c>
      <x:c r="D23" s="21" t="n"/>
      <x:c r="E23" s="21" t="n"/>
      <x:c r="F23" s="21" t="n"/>
      <x:c r="G23" s="21" t="n"/>
      <x:c r="H23" s="21" t="n"/>
      <x:c r="I23" s="21" t="n"/>
      <x:c r="J23" s="21" t="n"/>
      <x:c r="K23" s="21" t="n"/>
      <x:c r="L23" s="21" t="n"/>
      <x:c r="M23" s="21" t="n"/>
      <x:c r="N23" s="21" t="n"/>
      <x:c r="O23" s="21" t="n"/>
    </x:row>
    <x:row r="24">
      <x:c r="A24" s="19" t="inlineStr">
        <x:is>
          <x:t xml:space="preserve">Year-1 unlevered cash burn</x:t>
        </x:is>
      </x:c>
      <x:c r="B24" s="29" t="inlineStr">
        <x:is>
          <x:t xml:space="preserve">ZAR'000</x:t>
        </x:is>
      </x:c>
      <x:c r="C24" s="22">
        <x:f>SUM('12M_Cashflow'!D10:O10)</x:f>
        <x:v>-395832.36067865044</x:v>
      </x:c>
      <x:c r="D24" s="21" t="n"/>
      <x:c r="E24" s="21" t="n"/>
      <x:c r="F24" s="21" t="n"/>
      <x:c r="G24" s="21" t="n"/>
      <x:c r="H24" s="21" t="n"/>
      <x:c r="I24" s="21" t="n"/>
      <x:c r="J24" s="21" t="n"/>
      <x:c r="K24" s="21" t="n"/>
      <x:c r="L24" s="21" t="n"/>
      <x:c r="M24" s="21" t="n"/>
      <x:c r="N24" s="21" t="n"/>
      <x:c r="O24" s="21" t="n"/>
    </x:row>
    <x:row r="25">
      <x:c r="A25" s="19" t="inlineStr">
        <x:is>
          <x:t xml:space="preserve">Peak funding required</x:t>
        </x:is>
      </x:c>
      <x:c r="B25" s="29" t="inlineStr">
        <x:is>
          <x:t xml:space="preserve">ZAR'000</x:t>
        </x:is>
      </x:c>
      <x:c r="C25" s="22">
        <x:f>MAX('12M_Cashflow'!D16:O16)</x:f>
        <x:v>463357.06087036285</x:v>
      </x:c>
      <x:c r="D25" s="21" t="n"/>
      <x:c r="E25" s="21" t="n"/>
      <x:c r="F25" s="21" t="n"/>
      <x:c r="G25" s="21" t="n"/>
      <x:c r="H25" s="21" t="n"/>
      <x:c r="I25" s="21" t="n"/>
      <x:c r="J25" s="21" t="n"/>
      <x:c r="K25" s="21" t="n"/>
      <x:c r="L25" s="21" t="n"/>
      <x:c r="M25" s="21" t="n"/>
      <x:c r="N25" s="21" t="n"/>
      <x:c r="O25" s="21" t="n"/>
    </x:row>
  </x:sheetData>
  <x:mergeCells>
    <x:mergeCell ref="A1:O1"/>
    <x:mergeCell ref="A19:C19"/>
  </x:mergeCells>
  <x:pageMargins left="0.7" right="0.7" top="0.75" bottom="0.75" header="0.3" footer="0.3"/>
  <x:legacyDrawing xmlns:r="http://schemas.openxmlformats.org/officeDocument/2006/relationships" r:id="Ra6bd344a6bda4de7"/>
  <x:drawing xmlns:r="http://schemas.openxmlformats.org/officeDocument/2006/relationships" r:id="R58fd4be2784c4c8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</x:cols>
  <x:sheetData>
    <x:row r="1">
      <x:c r="A1" s="1" t="inlineStr">
        <x:is>
          <x:t xml:space="preserve">10-Year Site &amp; Solar Ramp</x:t>
        </x:is>
      </x:c>
    </x:row>
    <x:row r="2">
      <x:c r="A2" s="5" t="inlineStr">
        <x:is>
          <x:t xml:space="preserve">Blue rows are the long-dated platform build assumptions. Base case reaches 2GW by 2034/2035.</x:t>
        </x:is>
      </x:c>
    </x:row>
    <x:row r="3">
      <x:c r="D3" s="16" t="n">
        <x:v>2026</x:v>
      </x:c>
      <x:c r="E3" s="16" t="n">
        <x:v>2027</x:v>
      </x:c>
      <x:c r="F3" s="16" t="n">
        <x:v>2028</x:v>
      </x:c>
      <x:c r="G3" s="16" t="n">
        <x:v>2029</x:v>
      </x:c>
      <x:c r="H3" s="16" t="n">
        <x:v>2030</x:v>
      </x:c>
      <x:c r="I3" s="16" t="n">
        <x:v>2031</x:v>
      </x:c>
      <x:c r="J3" s="16" t="n">
        <x:v>2032</x:v>
      </x:c>
      <x:c r="K3" s="16" t="n">
        <x:v>2033</x:v>
      </x:c>
      <x:c r="L3" s="16" t="n">
        <x:v>2034</x:v>
      </x:c>
      <x:c r="M3" s="16" t="n">
        <x:v>2035</x:v>
      </x:c>
    </x:row>
    <x:row r="4">
      <x:c r="D4" s="17" t="n">
        <x:v>2026</x:v>
      </x:c>
      <x:c r="E4" s="17" t="n">
        <x:v>2027</x:v>
      </x:c>
      <x:c r="F4" s="17" t="n">
        <x:v>2028</x:v>
      </x:c>
      <x:c r="G4" s="17" t="n">
        <x:v>2029</x:v>
      </x:c>
      <x:c r="H4" s="17" t="n">
        <x:v>2030</x:v>
      </x:c>
      <x:c r="I4" s="17" t="n">
        <x:v>2031</x:v>
      </x:c>
      <x:c r="J4" s="17" t="n">
        <x:v>2032</x:v>
      </x:c>
      <x:c r="K4" s="17" t="n">
        <x:v>2033</x:v>
      </x:c>
      <x:c r="L4" s="17" t="n">
        <x:v>2034</x:v>
      </x:c>
      <x:c r="M4" s="17" t="n">
        <x:v>2035</x:v>
      </x:c>
    </x:row>
    <x:row r="7">
      <x:c r="A7" s="7" t="inlineStr">
        <x:is>
          <x:t xml:space="preserve">Grootvlei compute MW</x:t>
        </x:is>
      </x:c>
      <x:c r="B7" s="5" t="inlineStr">
        <x:is>
          <x:t xml:space="preserve">MW</x:t>
        </x:is>
      </x:c>
      <x:c r="D7" s="10" t="n">
        <x:v>15</x:v>
      </x:c>
      <x:c r="E7" s="10" t="n">
        <x:v>40</x:v>
      </x:c>
      <x:c r="F7" s="10" t="n">
        <x:v>60</x:v>
      </x:c>
      <x:c r="G7" s="10" t="n">
        <x:v>80</x:v>
      </x:c>
      <x:c r="H7" s="10" t="n">
        <x:v>100</x:v>
      </x:c>
      <x:c r="I7" s="10" t="n">
        <x:v>120</x:v>
      </x:c>
      <x:c r="J7" s="10" t="n">
        <x:v>140</x:v>
      </x:c>
      <x:c r="K7" s="10" t="n">
        <x:v>160</x:v>
      </x:c>
      <x:c r="L7" s="10" t="n">
        <x:v>180</x:v>
      </x:c>
      <x:c r="M7" s="10" t="n">
        <x:v>200</x:v>
      </x:c>
    </x:row>
    <x:row r="8">
      <x:c r="A8" s="7" t="inlineStr">
        <x:is>
          <x:t xml:space="preserve">AMSA VB compute MW</x:t>
        </x:is>
      </x:c>
      <x:c r="B8" s="5" t="inlineStr">
        <x:is>
          <x:t xml:space="preserve">MW</x:t>
        </x:is>
      </x:c>
      <x:c r="D8" s="10" t="n">
        <x:v>5</x:v>
      </x:c>
      <x:c r="E8" s="10" t="n">
        <x:v>40</x:v>
      </x:c>
      <x:c r="F8" s="10" t="n">
        <x:v>120</x:v>
      </x:c>
      <x:c r="G8" s="10" t="n">
        <x:v>200</x:v>
      </x:c>
      <x:c r="H8" s="10" t="n">
        <x:v>220</x:v>
      </x:c>
      <x:c r="I8" s="10" t="n">
        <x:v>230</x:v>
      </x:c>
      <x:c r="J8" s="10" t="n">
        <x:v>240</x:v>
      </x:c>
      <x:c r="K8" s="10" t="n">
        <x:v>250</x:v>
      </x:c>
      <x:c r="L8" s="10" t="n">
        <x:v>250</x:v>
      </x:c>
      <x:c r="M8" s="10" t="n">
        <x:v>250</x:v>
      </x:c>
    </x:row>
    <x:row r="9">
      <x:c r="A9" s="7" t="inlineStr">
        <x:is>
          <x:t xml:space="preserve">AMSA Newcastle compute MW</x:t>
        </x:is>
      </x:c>
      <x:c r="B9" s="5" t="inlineStr">
        <x:is>
          <x:t xml:space="preserve">MW</x:t>
        </x:is>
      </x:c>
      <x:c r="D9" s="10" t="n">
        <x:v>0</x:v>
      </x:c>
      <x:c r="E9" s="10" t="n">
        <x:v>20</x:v>
      </x:c>
      <x:c r="F9" s="10" t="n">
        <x:v>80</x:v>
      </x:c>
      <x:c r="G9" s="10" t="n">
        <x:v>150</x:v>
      </x:c>
      <x:c r="H9" s="10" t="n">
        <x:v>220</x:v>
      </x:c>
      <x:c r="I9" s="10" t="n">
        <x:v>300</x:v>
      </x:c>
      <x:c r="J9" s="10" t="n">
        <x:v>360</x:v>
      </x:c>
      <x:c r="K9" s="10" t="n">
        <x:v>430</x:v>
      </x:c>
      <x:c r="L9" s="10" t="n">
        <x:v>500</x:v>
      </x:c>
      <x:c r="M9" s="10" t="n">
        <x:v>500</x:v>
      </x:c>
    </x:row>
    <x:row r="10">
      <x:c r="A10" s="7" t="inlineStr">
        <x:is>
          <x:t xml:space="preserve">Saldanha compute MW</x:t>
        </x:is>
      </x:c>
      <x:c r="B10" s="5" t="inlineStr">
        <x:is>
          <x:t xml:space="preserve">MW</x:t>
        </x:is>
      </x:c>
      <x:c r="D10" s="10" t="n">
        <x:v>0</x:v>
      </x:c>
      <x:c r="E10" s="10" t="n">
        <x:v>20</x:v>
      </x:c>
      <x:c r="F10" s="10" t="n">
        <x:v>80</x:v>
      </x:c>
      <x:c r="G10" s="10" t="n">
        <x:v>120</x:v>
      </x:c>
      <x:c r="H10" s="10" t="n">
        <x:v>220</x:v>
      </x:c>
      <x:c r="I10" s="10" t="n">
        <x:v>300</x:v>
      </x:c>
      <x:c r="J10" s="10" t="n">
        <x:v>360</x:v>
      </x:c>
      <x:c r="K10" s="10" t="n">
        <x:v>430</x:v>
      </x:c>
      <x:c r="L10" s="10" t="n">
        <x:v>500</x:v>
      </x:c>
      <x:c r="M10" s="10" t="n">
        <x:v>500</x:v>
      </x:c>
    </x:row>
    <x:row r="11">
      <x:c r="A11" s="7" t="inlineStr">
        <x:is>
          <x:t xml:space="preserve">Komati compute MW</x:t>
        </x:is>
      </x:c>
      <x:c r="B11" s="5" t="inlineStr">
        <x:is>
          <x:t xml:space="preserve">MW</x:t>
        </x:is>
      </x:c>
      <x:c r="D11" s="10" t="n">
        <x:v>0</x:v>
      </x:c>
      <x:c r="E11" s="10" t="n">
        <x:v>60</x:v>
      </x:c>
      <x:c r="F11" s="10" t="n">
        <x:v>130</x:v>
      </x:c>
      <x:c r="G11" s="10" t="n">
        <x:v>150</x:v>
      </x:c>
      <x:c r="H11" s="10" t="n">
        <x:v>440</x:v>
      </x:c>
      <x:c r="I11" s="10" t="n">
        <x:v>450</x:v>
      </x:c>
      <x:c r="J11" s="10" t="n">
        <x:v>500</x:v>
      </x:c>
      <x:c r="K11" s="10" t="n">
        <x:v>530</x:v>
      </x:c>
      <x:c r="L11" s="10" t="n">
        <x:v>570</x:v>
      </x:c>
      <x:c r="M11" s="10" t="n">
        <x:v>550</x:v>
      </x:c>
    </x:row>
    <x:row r="12">
      <x:c r="A12" s="19" t="inlineStr">
        <x:is>
          <x:t xml:space="preserve">Total compute MW</x:t>
        </x:is>
      </x:c>
      <x:c r="B12" s="20" t="inlineStr">
        <x:is>
          <x:t xml:space="preserve">MW</x:t>
        </x:is>
      </x:c>
      <x:c r="C12" s="21" t="n"/>
      <x:c r="D12" s="22">
        <x:f>SUM(D7:D11)</x:f>
        <x:v>20</x:v>
      </x:c>
      <x:c r="E12" s="22">
        <x:f>SUM(E7:E11)</x:f>
        <x:v>180</x:v>
      </x:c>
      <x:c r="F12" s="22">
        <x:f>SUM(F7:F11)</x:f>
        <x:v>470</x:v>
      </x:c>
      <x:c r="G12" s="22">
        <x:f>SUM(G7:G11)</x:f>
        <x:v>700</x:v>
      </x:c>
      <x:c r="H12" s="22">
        <x:f>SUM(H7:H11)</x:f>
        <x:v>1200</x:v>
      </x:c>
      <x:c r="I12" s="22">
        <x:f>SUM(I7:I11)</x:f>
        <x:v>1400</x:v>
      </x:c>
      <x:c r="J12" s="22">
        <x:f>SUM(J7:J11)</x:f>
        <x:v>1600</x:v>
      </x:c>
      <x:c r="K12" s="22">
        <x:f>SUM(K7:K11)</x:f>
        <x:v>1800</x:v>
      </x:c>
      <x:c r="L12" s="22">
        <x:f>SUM(L7:L11)</x:f>
        <x:v>2000</x:v>
      </x:c>
      <x:c r="M12" s="22">
        <x:f>SUM(M7:M11)</x:f>
        <x:v>2000</x:v>
      </x:c>
    </x:row>
    <x:row r="15">
      <x:c r="A15" s="7" t="inlineStr">
        <x:is>
          <x:t xml:space="preserve">AMSA VB solar MW</x:t>
        </x:is>
      </x:c>
      <x:c r="B15" s="5" t="inlineStr">
        <x:is>
          <x:t xml:space="preserve">MW</x:t>
        </x:is>
      </x:c>
      <x:c r="D15" s="10" t="n">
        <x:v>10</x:v>
      </x:c>
      <x:c r="E15" s="10" t="n">
        <x:v>180</x:v>
      </x:c>
      <x:c r="F15" s="10" t="n">
        <x:v>250</x:v>
      </x:c>
      <x:c r="G15" s="10" t="n">
        <x:v>250</x:v>
      </x:c>
      <x:c r="H15" s="10" t="n">
        <x:v>250</x:v>
      </x:c>
      <x:c r="I15" s="10" t="n">
        <x:v>250</x:v>
      </x:c>
      <x:c r="J15" s="10" t="n">
        <x:v>250</x:v>
      </x:c>
      <x:c r="K15" s="10" t="n">
        <x:v>250</x:v>
      </x:c>
      <x:c r="L15" s="10" t="n">
        <x:v>250</x:v>
      </x:c>
      <x:c r="M15" s="10" t="n">
        <x:v>250</x:v>
      </x:c>
    </x:row>
    <x:row r="16">
      <x:c r="A16" s="7" t="inlineStr">
        <x:is>
          <x:t xml:space="preserve">AMSA Newcastle solar MW</x:t>
        </x:is>
      </x:c>
      <x:c r="B16" s="5" t="inlineStr">
        <x:is>
          <x:t xml:space="preserve">MW</x:t>
        </x:is>
      </x:c>
      <x:c r="D16" s="10" t="n">
        <x:v>0</x:v>
      </x:c>
      <x:c r="E16" s="10" t="n">
        <x:v>0</x:v>
      </x:c>
      <x:c r="F16" s="10" t="n">
        <x:v>50</x:v>
      </x:c>
      <x:c r="G16" s="10" t="n">
        <x:v>100</x:v>
      </x:c>
      <x:c r="H16" s="10" t="n">
        <x:v>150</x:v>
      </x:c>
      <x:c r="I16" s="10" t="n">
        <x:v>200</x:v>
      </x:c>
      <x:c r="J16" s="10" t="n">
        <x:v>250</x:v>
      </x:c>
      <x:c r="K16" s="10" t="n">
        <x:v>250</x:v>
      </x:c>
      <x:c r="L16" s="10" t="n">
        <x:v>250</x:v>
      </x:c>
      <x:c r="M16" s="10" t="n">
        <x:v>250</x:v>
      </x:c>
    </x:row>
    <x:row r="17">
      <x:c r="A17" s="7" t="inlineStr">
        <x:is>
          <x:t xml:space="preserve">Saldanha solar MW</x:t>
        </x:is>
      </x:c>
      <x:c r="B17" s="5" t="inlineStr">
        <x:is>
          <x:t xml:space="preserve">MW</x:t>
        </x:is>
      </x:c>
      <x:c r="D17" s="10" t="n">
        <x:v>0</x:v>
      </x:c>
      <x:c r="E17" s="10" t="n">
        <x:v>0</x:v>
      </x:c>
      <x:c r="F17" s="10" t="n">
        <x:v>0</x:v>
      </x:c>
      <x:c r="G17" s="10" t="n">
        <x:v>50</x:v>
      </x:c>
      <x:c r="H17" s="10" t="n">
        <x:v>100</x:v>
      </x:c>
      <x:c r="I17" s="10" t="n">
        <x:v>150</x:v>
      </x:c>
      <x:c r="J17" s="10" t="n">
        <x:v>200</x:v>
      </x:c>
      <x:c r="K17" s="10" t="n">
        <x:v>250</x:v>
      </x:c>
      <x:c r="L17" s="10" t="n">
        <x:v>250</x:v>
      </x:c>
      <x:c r="M17" s="10" t="n">
        <x:v>250</x:v>
      </x:c>
    </x:row>
    <x:row r="18">
      <x:c r="A18" s="7" t="inlineStr">
        <x:is>
          <x:t xml:space="preserve">Komati solar MW</x:t>
        </x:is>
      </x:c>
      <x:c r="B18" s="5" t="inlineStr">
        <x:is>
          <x:t xml:space="preserve">MW</x:t>
        </x:is>
      </x:c>
      <x:c r="D18" s="10" t="n">
        <x:v>0</x:v>
      </x:c>
      <x:c r="E18" s="10" t="n">
        <x:v>0</x:v>
      </x:c>
      <x:c r="F18" s="10" t="n">
        <x:v>0</x:v>
      </x:c>
      <x:c r="G18" s="10" t="n">
        <x:v>20</x:v>
      </x:c>
      <x:c r="H18" s="10" t="n">
        <x:v>40</x:v>
      </x:c>
      <x:c r="I18" s="10" t="n">
        <x:v>60</x:v>
      </x:c>
      <x:c r="J18" s="10" t="n">
        <x:v>80</x:v>
      </x:c>
      <x:c r="K18" s="10" t="n">
        <x:v>100</x:v>
      </x:c>
      <x:c r="L18" s="10" t="n">
        <x:v>120</x:v>
      </x:c>
      <x:c r="M18" s="10" t="n">
        <x:v>150</x:v>
      </x:c>
    </x:row>
    <x:row r="19">
      <x:c r="A19" s="19" t="inlineStr">
        <x:is>
          <x:t xml:space="preserve">Total solar MW</x:t>
        </x:is>
      </x:c>
      <x:c r="B19" s="20" t="inlineStr">
        <x:is>
          <x:t xml:space="preserve">MW</x:t>
        </x:is>
      </x:c>
      <x:c r="C19" s="21" t="n"/>
      <x:c r="D19" s="22">
        <x:f>SUM(D15:D18)</x:f>
        <x:v>10</x:v>
      </x:c>
      <x:c r="E19" s="22">
        <x:f>SUM(E15:E18)</x:f>
        <x:v>180</x:v>
      </x:c>
      <x:c r="F19" s="22">
        <x:f>SUM(F15:F18)</x:f>
        <x:v>300</x:v>
      </x:c>
      <x:c r="G19" s="22">
        <x:f>SUM(G15:G18)</x:f>
        <x:v>420</x:v>
      </x:c>
      <x:c r="H19" s="22">
        <x:f>SUM(H15:H18)</x:f>
        <x:v>540</x:v>
      </x:c>
      <x:c r="I19" s="22">
        <x:f>SUM(I15:I18)</x:f>
        <x:v>660</x:v>
      </x:c>
      <x:c r="J19" s="22">
        <x:f>SUM(J15:J18)</x:f>
        <x:v>780</x:v>
      </x:c>
      <x:c r="K19" s="22">
        <x:f>SUM(K15:K18)</x:f>
        <x:v>850</x:v>
      </x:c>
      <x:c r="L19" s="22">
        <x:f>SUM(L15:L18)</x:f>
        <x:v>870</x:v>
      </x:c>
      <x:c r="M19" s="22">
        <x:f>SUM(M15:M18)</x:f>
        <x:v>900</x:v>
      </x:c>
    </x:row>
  </x:sheetData>
  <x:mergeCells>
    <x:mergeCell ref="A1:M1"/>
  </x:mergeCells>
  <x:pageMargins left="0.7" right="0.7" top="0.75" bottom="0.75" header="0.3" footer="0.3"/>
  <x:legacyDrawing xmlns:r="http://schemas.openxmlformats.org/officeDocument/2006/relationships" r:id="R0510fcc5545c4b7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16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</x:cols>
  <x:sheetData>
    <x:row r="1">
      <x:c r="A1" s="1" t="inlineStr">
        <x:is>
          <x:t xml:space="preserve">10-Year Platform Model</x:t>
        </x:is>
      </x:c>
    </x:row>
    <x:row r="2">
      <x:c r="A2" s="5" t="inlineStr">
        <x:is>
          <x:t xml:space="preserve">Simplified annual portfolio model. Phase 1 monthly sheet is the authoritative view for year one; this annual view supports strategic sizing and stress tests.</x:t>
        </x:is>
      </x:c>
    </x:row>
    <x:row r="3">
      <x:c r="D3" s="16" t="n">
        <x:v>2026</x:v>
      </x:c>
      <x:c r="E3" s="16" t="n">
        <x:v>2027</x:v>
      </x:c>
      <x:c r="F3" s="16" t="n">
        <x:v>2028</x:v>
      </x:c>
      <x:c r="G3" s="16" t="n">
        <x:v>2029</x:v>
      </x:c>
      <x:c r="H3" s="16" t="n">
        <x:v>2030</x:v>
      </x:c>
      <x:c r="I3" s="16" t="n">
        <x:v>2031</x:v>
      </x:c>
      <x:c r="J3" s="16" t="n">
        <x:v>2032</x:v>
      </x:c>
      <x:c r="K3" s="16" t="n">
        <x:v>2033</x:v>
      </x:c>
      <x:c r="L3" s="16" t="n">
        <x:v>2034</x:v>
      </x:c>
      <x:c r="M3" s="16" t="n">
        <x:v>2035</x:v>
      </x:c>
    </x:row>
    <x:row r="4">
      <x:c r="D4" s="17" t="n">
        <x:v>2026</x:v>
      </x:c>
      <x:c r="E4" s="17" t="n">
        <x:v>2027</x:v>
      </x:c>
      <x:c r="F4" s="17" t="n">
        <x:v>2028</x:v>
      </x:c>
      <x:c r="G4" s="17" t="n">
        <x:v>2029</x:v>
      </x:c>
      <x:c r="H4" s="17" t="n">
        <x:v>2030</x:v>
      </x:c>
      <x:c r="I4" s="17" t="n">
        <x:v>2031</x:v>
      </x:c>
      <x:c r="J4" s="17" t="n">
        <x:v>2032</x:v>
      </x:c>
      <x:c r="K4" s="17" t="n">
        <x:v>2033</x:v>
      </x:c>
      <x:c r="L4" s="17" t="n">
        <x:v>2034</x:v>
      </x:c>
      <x:c r="M4" s="17" t="n">
        <x:v>2035</x:v>
      </x:c>
    </x:row>
    <x:row r="5">
      <x:c r="A5" s="25" t="inlineStr">
        <x:is>
          <x:t xml:space="preserve">Total compute MW</x:t>
        </x:is>
      </x:c>
      <x:c r="B5" s="20" t="inlineStr">
        <x:is>
          <x:t xml:space="preserve">MW</x:t>
        </x:is>
      </x:c>
      <x:c r="C5" s="21" t="n"/>
      <x:c r="D5" s="22">
        <x:f>'10Y_Ramp'!D12</x:f>
        <x:v>20</x:v>
      </x:c>
      <x:c r="E5" s="22">
        <x:f>'10Y_Ramp'!E12</x:f>
        <x:v>180</x:v>
      </x:c>
      <x:c r="F5" s="22">
        <x:f>'10Y_Ramp'!F12</x:f>
        <x:v>470</x:v>
      </x:c>
      <x:c r="G5" s="22">
        <x:f>'10Y_Ramp'!G12</x:f>
        <x:v>700</x:v>
      </x:c>
      <x:c r="H5" s="22">
        <x:f>'10Y_Ramp'!H12</x:f>
        <x:v>1200</x:v>
      </x:c>
      <x:c r="I5" s="22">
        <x:f>'10Y_Ramp'!I12</x:f>
        <x:v>1400</x:v>
      </x:c>
      <x:c r="J5" s="22">
        <x:f>'10Y_Ramp'!J12</x:f>
        <x:v>1600</x:v>
      </x:c>
      <x:c r="K5" s="22">
        <x:f>'10Y_Ramp'!K12</x:f>
        <x:v>1800</x:v>
      </x:c>
      <x:c r="L5" s="22">
        <x:f>'10Y_Ramp'!L12</x:f>
        <x:v>2000</x:v>
      </x:c>
      <x:c r="M5" s="22">
        <x:f>'10Y_Ramp'!M12</x:f>
        <x:v>2000</x:v>
      </x:c>
      <x:c r="N5" s="22" t="n"/>
      <x:c r="O5" s="22" t="n"/>
    </x:row>
    <x:row r="6">
      <x:c r="A6" s="25" t="inlineStr">
        <x:is>
          <x:t xml:space="preserve">Total solar MW</x:t>
        </x:is>
      </x:c>
      <x:c r="B6" s="20" t="inlineStr">
        <x:is>
          <x:t xml:space="preserve">MW</x:t>
        </x:is>
      </x:c>
      <x:c r="C6" s="21" t="n"/>
      <x:c r="D6" s="22">
        <x:f>'10Y_Ramp'!D19</x:f>
        <x:v>10</x:v>
      </x:c>
      <x:c r="E6" s="22">
        <x:f>'10Y_Ramp'!E19</x:f>
        <x:v>180</x:v>
      </x:c>
      <x:c r="F6" s="22">
        <x:f>'10Y_Ramp'!F19</x:f>
        <x:v>300</x:v>
      </x:c>
      <x:c r="G6" s="22">
        <x:f>'10Y_Ramp'!G19</x:f>
        <x:v>420</x:v>
      </x:c>
      <x:c r="H6" s="22">
        <x:f>'10Y_Ramp'!H19</x:f>
        <x:v>540</x:v>
      </x:c>
      <x:c r="I6" s="22">
        <x:f>'10Y_Ramp'!I19</x:f>
        <x:v>660</x:v>
      </x:c>
      <x:c r="J6" s="22">
        <x:f>'10Y_Ramp'!J19</x:f>
        <x:v>780</x:v>
      </x:c>
      <x:c r="K6" s="22">
        <x:f>'10Y_Ramp'!K19</x:f>
        <x:v>850</x:v>
      </x:c>
      <x:c r="L6" s="22">
        <x:f>'10Y_Ramp'!L19</x:f>
        <x:v>870</x:v>
      </x:c>
      <x:c r="M6" s="22">
        <x:f>'10Y_Ramp'!M19</x:f>
        <x:v>900</x:v>
      </x:c>
      <x:c r="N6" s="22" t="n"/>
      <x:c r="O6" s="22" t="n"/>
    </x:row>
    <x:row r="7">
      <x:c r="A7" s="7" t="inlineStr">
        <x:is>
          <x:t xml:space="preserve">Installed miners</x:t>
        </x:is>
      </x:c>
      <x:c r="B7" s="5" t="inlineStr">
        <x:is>
          <x:t xml:space="preserve">miners</x:t>
        </x:is>
      </x:c>
      <x:c r="D7" s="14">
        <x:f>(D5/(1+Control!$C$34))*1000000/Control!$C$32</x:f>
        <x:v>2176.87074829932</x:v>
      </x:c>
      <x:c r="E7" s="14">
        <x:f>(E5/(1+Control!$C$34))*1000000/Control!$C$32</x:f>
        <x:v>19591.836734693876</x:v>
      </x:c>
      <x:c r="F7" s="14">
        <x:f>(F5/(1+Control!$C$34))*1000000/Control!$C$32</x:f>
        <x:v>51156.46258503401</x:v>
      </x:c>
      <x:c r="G7" s="14">
        <x:f>(G5/(1+Control!$C$34))*1000000/Control!$C$32</x:f>
        <x:v>76190.47619047618</x:v>
      </x:c>
      <x:c r="H7" s="14">
        <x:f>(H5/(1+Control!$C$34))*1000000/Control!$C$32</x:f>
        <x:v>130612.24489795919</x:v>
      </x:c>
      <x:c r="I7" s="14">
        <x:f>(I5/(1+Control!$C$34))*1000000/Control!$C$32</x:f>
        <x:v>152380.95238095237</x:v>
      </x:c>
      <x:c r="J7" s="14">
        <x:f>(J5/(1+Control!$C$34))*1000000/Control!$C$32</x:f>
        <x:v>174149.6598639456</x:v>
      </x:c>
      <x:c r="K7" s="14">
        <x:f>(K5/(1+Control!$C$34))*1000000/Control!$C$32</x:f>
        <x:v>195918.36734693876</x:v>
      </x:c>
      <x:c r="L7" s="14">
        <x:f>(L5/(1+Control!$C$34))*1000000/Control!$C$32</x:f>
        <x:v>217687.07482993195</x:v>
      </x:c>
      <x:c r="M7" s="14">
        <x:f>(M5/(1+Control!$C$34))*1000000/Control!$C$32</x:f>
        <x:v>217687.07482993195</x:v>
      </x:c>
      <x:c r="N7" s="14" t="n"/>
      <x:c r="O7" s="14" t="n"/>
    </x:row>
    <x:row r="8">
      <x:c r="A8" s="7" t="inlineStr">
        <x:is>
          <x:t xml:space="preserve">Effective hashrate</x:t>
        </x:is>
      </x:c>
      <x:c r="B8" s="5" t="inlineStr">
        <x:is>
          <x:t xml:space="preserve">TH/s</x:t>
        </x:is>
      </x:c>
      <x:c r="D8" s="27">
        <x:f>(('10Y_Ramp'!D7/(1+Control!$C$34))*1000000/Control!$C$32)*Control!$C$30*(Control!$C$21/24)*Control!$C$14+(('10Y_Ramp'!D8/(1+Control!$C$34))*1000000/Control!$C$32)*Control!$C$30*((Control!$C$22+Control!$C$23)/24)*Control!$C$14+(('10Y_Ramp'!D9/(1+Control!$C$34))*1000000/Control!$C$32)*Control!$C$30*((Control!$C$22+Control!$C$23)/24)*Control!$C$14+(('10Y_Ramp'!D10/(1+Control!$C$34))*1000000/Control!$C$32)*Control!$C$30*((Control!$C$22+Control!$C$23)/24)*Control!$C$14+(('10Y_Ramp'!D11/(1+Control!$C$34))*1000000/Control!$C$32)*Control!$C$30*((Control!$C$22+Control!$C$23)/24)*Control!$C$14</x:f>
        <x:v>1100793.650793651</x:v>
      </x:c>
      <x:c r="E8" s="27">
        <x:f>(('10Y_Ramp'!E7/(1+Control!$C$34))*1000000/Control!$C$32)*Control!$C$30*(Control!$C$21/24)*Control!$C$14+(('10Y_Ramp'!E8/(1+Control!$C$34))*1000000/Control!$C$32)*Control!$C$30*((Control!$C$22+Control!$C$23)/24)*Control!$C$14+(('10Y_Ramp'!E9/(1+Control!$C$34))*1000000/Control!$C$32)*Control!$C$30*((Control!$C$22+Control!$C$23)/24)*Control!$C$14+(('10Y_Ramp'!E10/(1+Control!$C$34))*1000000/Control!$C$32)*Control!$C$30*((Control!$C$22+Control!$C$23)/24)*Control!$C$14+(('10Y_Ramp'!E11/(1+Control!$C$34))*1000000/Control!$C$32)*Control!$C$30*((Control!$C$22+Control!$C$23)/24)*Control!$C$14</x:f>
        <x:v>10193650.793650795</x:v>
      </x:c>
      <x:c r="F8" s="27">
        <x:f>(('10Y_Ramp'!F7/(1+Control!$C$34))*1000000/Control!$C$32)*Control!$C$30*(Control!$C$21/24)*Control!$C$14+(('10Y_Ramp'!F8/(1+Control!$C$34))*1000000/Control!$C$32)*Control!$C$30*((Control!$C$22+Control!$C$23)/24)*Control!$C$14+(('10Y_Ramp'!F9/(1+Control!$C$34))*1000000/Control!$C$32)*Control!$C$30*((Control!$C$22+Control!$C$23)/24)*Control!$C$14+(('10Y_Ramp'!F10/(1+Control!$C$34))*1000000/Control!$C$32)*Control!$C$30*((Control!$C$22+Control!$C$23)/24)*Control!$C$14+(('10Y_Ramp'!F11/(1+Control!$C$34))*1000000/Control!$C$32)*Control!$C$30*((Control!$C$22+Control!$C$23)/24)*Control!$C$14</x:f>
        <x:v>26750793.65079365</x:v>
      </x:c>
      <x:c r="G8" s="27">
        <x:f>(('10Y_Ramp'!G7/(1+Control!$C$34))*1000000/Control!$C$32)*Control!$C$30*(Control!$C$21/24)*Control!$C$14+(('10Y_Ramp'!G8/(1+Control!$C$34))*1000000/Control!$C$32)*Control!$C$30*((Control!$C$22+Control!$C$23)/24)*Control!$C$14+(('10Y_Ramp'!G9/(1+Control!$C$34))*1000000/Control!$C$32)*Control!$C$30*((Control!$C$22+Control!$C$23)/24)*Control!$C$14+(('10Y_Ramp'!G10/(1+Control!$C$34))*1000000/Control!$C$32)*Control!$C$30*((Control!$C$22+Control!$C$23)/24)*Control!$C$14+(('10Y_Ramp'!G11/(1+Control!$C$34))*1000000/Control!$C$32)*Control!$C$30*((Control!$C$22+Control!$C$23)/24)*Control!$C$14</x:f>
        <x:v>39869841.26984127</x:v>
      </x:c>
      <x:c r="H8" s="27">
        <x:f>(('10Y_Ramp'!H7/(1+Control!$C$34))*1000000/Control!$C$32)*Control!$C$30*(Control!$C$21/24)*Control!$C$14+(('10Y_Ramp'!H8/(1+Control!$C$34))*1000000/Control!$C$32)*Control!$C$30*((Control!$C$22+Control!$C$23)/24)*Control!$C$14+(('10Y_Ramp'!H9/(1+Control!$C$34))*1000000/Control!$C$32)*Control!$C$30*((Control!$C$22+Control!$C$23)/24)*Control!$C$14+(('10Y_Ramp'!H10/(1+Control!$C$34))*1000000/Control!$C$32)*Control!$C$30*((Control!$C$22+Control!$C$23)/24)*Control!$C$14+(('10Y_Ramp'!H11/(1+Control!$C$34))*1000000/Control!$C$32)*Control!$C$30*((Control!$C$22+Control!$C$23)/24)*Control!$C$14</x:f>
        <x:v>68460317.46031746</x:v>
      </x:c>
      <x:c r="I8" s="27">
        <x:f>(('10Y_Ramp'!I7/(1+Control!$C$34))*1000000/Control!$C$32)*Control!$C$30*(Control!$C$21/24)*Control!$C$14+(('10Y_Ramp'!I8/(1+Control!$C$34))*1000000/Control!$C$32)*Control!$C$30*((Control!$C$22+Control!$C$23)/24)*Control!$C$14+(('10Y_Ramp'!I9/(1+Control!$C$34))*1000000/Control!$C$32)*Control!$C$30*((Control!$C$22+Control!$C$23)/24)*Control!$C$14+(('10Y_Ramp'!I10/(1+Control!$C$34))*1000000/Control!$C$32)*Control!$C$30*((Control!$C$22+Control!$C$23)/24)*Control!$C$14+(('10Y_Ramp'!I11/(1+Control!$C$34))*1000000/Control!$C$32)*Control!$C$30*((Control!$C$22+Control!$C$23)/24)*Control!$C$14</x:f>
        <x:v>79860317.46031746</x:v>
      </x:c>
      <x:c r="J8" s="27">
        <x:f>(('10Y_Ramp'!J7/(1+Control!$C$34))*1000000/Control!$C$32)*Control!$C$30*(Control!$C$21/24)*Control!$C$14+(('10Y_Ramp'!J8/(1+Control!$C$34))*1000000/Control!$C$32)*Control!$C$30*((Control!$C$22+Control!$C$23)/24)*Control!$C$14+(('10Y_Ramp'!J9/(1+Control!$C$34))*1000000/Control!$C$32)*Control!$C$30*((Control!$C$22+Control!$C$23)/24)*Control!$C$14+(('10Y_Ramp'!J10/(1+Control!$C$34))*1000000/Control!$C$32)*Control!$C$30*((Control!$C$22+Control!$C$23)/24)*Control!$C$14+(('10Y_Ramp'!J11/(1+Control!$C$34))*1000000/Control!$C$32)*Control!$C$30*((Control!$C$22+Control!$C$23)/24)*Control!$C$14</x:f>
        <x:v>91260317.46031743</x:v>
      </x:c>
      <x:c r="K8" s="27">
        <x:f>(('10Y_Ramp'!K7/(1+Control!$C$34))*1000000/Control!$C$32)*Control!$C$30*(Control!$C$21/24)*Control!$C$14+(('10Y_Ramp'!K8/(1+Control!$C$34))*1000000/Control!$C$32)*Control!$C$30*((Control!$C$22+Control!$C$23)/24)*Control!$C$14+(('10Y_Ramp'!K9/(1+Control!$C$34))*1000000/Control!$C$32)*Control!$C$30*((Control!$C$22+Control!$C$23)/24)*Control!$C$14+(('10Y_Ramp'!K10/(1+Control!$C$34))*1000000/Control!$C$32)*Control!$C$30*((Control!$C$22+Control!$C$23)/24)*Control!$C$14+(('10Y_Ramp'!K11/(1+Control!$C$34))*1000000/Control!$C$32)*Control!$C$30*((Control!$C$22+Control!$C$23)/24)*Control!$C$14</x:f>
        <x:v>102660317.46031745</x:v>
      </x:c>
      <x:c r="L8" s="27">
        <x:f>(('10Y_Ramp'!L7/(1+Control!$C$34))*1000000/Control!$C$32)*Control!$C$30*(Control!$C$21/24)*Control!$C$14+(('10Y_Ramp'!L8/(1+Control!$C$34))*1000000/Control!$C$32)*Control!$C$30*((Control!$C$22+Control!$C$23)/24)*Control!$C$14+(('10Y_Ramp'!L9/(1+Control!$C$34))*1000000/Control!$C$32)*Control!$C$30*((Control!$C$22+Control!$C$23)/24)*Control!$C$14+(('10Y_Ramp'!L10/(1+Control!$C$34))*1000000/Control!$C$32)*Control!$C$30*((Control!$C$22+Control!$C$23)/24)*Control!$C$14+(('10Y_Ramp'!L11/(1+Control!$C$34))*1000000/Control!$C$32)*Control!$C$30*((Control!$C$22+Control!$C$23)/24)*Control!$C$14</x:f>
        <x:v>114060317.46031745</x:v>
      </x:c>
      <x:c r="M8" s="27">
        <x:f>(('10Y_Ramp'!M7/(1+Control!$C$34))*1000000/Control!$C$32)*Control!$C$30*(Control!$C$21/24)*Control!$C$14+(('10Y_Ramp'!M8/(1+Control!$C$34))*1000000/Control!$C$32)*Control!$C$30*((Control!$C$22+Control!$C$23)/24)*Control!$C$14+(('10Y_Ramp'!M9/(1+Control!$C$34))*1000000/Control!$C$32)*Control!$C$30*((Control!$C$22+Control!$C$23)/24)*Control!$C$14+(('10Y_Ramp'!M10/(1+Control!$C$34))*1000000/Control!$C$32)*Control!$C$30*((Control!$C$22+Control!$C$23)/24)*Control!$C$14+(('10Y_Ramp'!M11/(1+Control!$C$34))*1000000/Control!$C$32)*Control!$C$30*((Control!$C$22+Control!$C$23)/24)*Control!$C$14</x:f>
        <x:v>113999999.99999999</x:v>
      </x:c>
      <x:c r="N8" s="14" t="n"/>
      <x:c r="O8" s="14" t="n"/>
    </x:row>
    <x:row r="9">
      <x:c r="A9" s="7" t="inlineStr">
        <x:is>
          <x:t xml:space="preserve">BTC mined</x:t>
        </x:is>
      </x:c>
      <x:c r="B9" s="5" t="inlineStr">
        <x:is>
          <x:t xml:space="preserve">BTC/yr</x:t>
        </x:is>
      </x:c>
      <x:c r="D9" s="14">
        <x:f>D8/Control!$C$8*(Control!$C$12*365*Control!$C$10*(1+Control!$C$11))</x:f>
        <x:v>220.98432539682545</x:v>
      </x:c>
      <x:c r="E9" s="14">
        <x:f>E8/E41*(Control!$C$12*365*Control!$C$10*(1+Control!$C$11))</x:f>
        <x:v>1779.4568668046934</x:v>
      </x:c>
      <x:c r="F9" s="14">
        <x:f>F8/F41*(Control!$C$12*365*Control!$C$10*(1+Control!$C$11))</x:f>
        <x:v>4060.6592252527994</x:v>
      </x:c>
      <x:c r="G9" s="14">
        <x:f>G8/G41*(Control!$C$12*365*Control!$C$10*(1+Control!$C$11))</x:f>
        <x:v>5262.674864746044</x:v>
      </x:c>
      <x:c r="H9" s="14">
        <x:f>H8/H41*(Control!$C$12*365*Control!$C$10*(1+Control!$C$11))</x:f>
        <x:v>7857.838546979886</x:v>
      </x:c>
      <x:c r="I9" s="14">
        <x:f>I8/I41*(Control!$C$12*365*Control!$C$10*(1+Control!$C$11))</x:f>
        <x:v>7970.716901897238</x:v>
      </x:c>
      <x:c r="J9" s="14">
        <x:f>J8/J41*(Control!$C$12*365*Control!$C$10*(1+Control!$C$11))</x:f>
        <x:v>7920.461495186206</x:v>
      </x:c>
      <x:c r="K9" s="14">
        <x:f>K8/K41*(Control!$C$12*365*Control!$C$10*(1+Control!$C$11))</x:f>
        <x:v>7747.708534617044</x:v>
      </x:c>
      <x:c r="L9" s="14">
        <x:f>L8/L41*(Control!$C$12*365*Control!$C$10*(1+Control!$C$11))</x:f>
        <x:v>7485.268910724381</x:v>
      </x:c>
      <x:c r="M9" s="14">
        <x:f>M8/M41*(Control!$C$12*365*Control!$C$10*(1+Control!$C$11))</x:f>
        <x:v>6505.487430744755</x:v>
      </x:c>
      <x:c r="N9" s="14" t="n"/>
      <x:c r="O9" s="14" t="n"/>
    </x:row>
    <x:row r="10">
      <x:c r="A10" s="7" t="inlineStr">
        <x:is>
          <x:t xml:space="preserve">BTC revenue</x:t>
        </x:is>
      </x:c>
      <x:c r="B10" s="5" t="inlineStr">
        <x:is>
          <x:t xml:space="preserve">ZAR'000</x:t>
        </x:is>
      </x:c>
      <x:c r="D10" s="14">
        <x:f>D9*Control!$C$6*Control!$C$4/1000</x:f>
        <x:v>281755.0148809524</x:v>
      </x:c>
      <x:c r="E10" s="14">
        <x:f>E9*E40*Control!$C$4/1000</x:f>
        <x:v>2495688.2556935824</x:v>
      </x:c>
      <x:c r="F10" s="14">
        <x:f>F9*F40*Control!$C$4/1000</x:f>
        <x:v>6264582.019758756</x:v>
      </x:c>
      <x:c r="G10" s="14">
        <x:f>G9*G40*Control!$C$4/1000</x:f>
        <x:v>8930890.812345657</x:v>
      </x:c>
      <x:c r="H10" s="14">
        <x:f>H9*H40*Control!$C$4/1000</x:f>
        <x:v>14668443.306207402</x:v>
      </x:c>
      <x:c r="I10" s="14">
        <x:f>I9*I40*Control!$C$4/1000</x:f>
        <x:v>16367072.079035023</x:v>
      </x:c>
      <x:c r="J10" s="14">
        <x:f>J9*J40*Control!$C$4/1000</x:f>
        <x:v>17890265.37576381</x:v>
      </x:c>
      <x:c r="K10" s="14">
        <x:f>K9*K40*Control!$C$4/1000</x:f>
        <x:v>19250067.436710835</x:v>
      </x:c>
      <x:c r="L10" s="14">
        <x:f>L9*L40*Control!$C$4/1000</x:f>
        <x:v>20457806.81300884</x:v>
      </x:c>
      <x:c r="M10" s="14">
        <x:f>M9*M40*Control!$C$4/1000</x:f>
        <x:v>19557988.809346512</x:v>
      </x:c>
      <x:c r="N10" s="14" t="n"/>
      <x:c r="O10" s="14" t="n"/>
    </x:row>
    <x:row r="11">
      <x:c r="A11" s="7" t="inlineStr">
        <x:is>
          <x:t xml:space="preserve">DR revenue - base case</x:t>
        </x:is>
      </x:c>
      <x:c r="B11" s="5" t="inlineStr">
        <x:is>
          <x:t xml:space="preserve">ZAR'000</x:t>
        </x:is>
      </x:c>
      <x:c r="D11" s="14">
        <x:f>IF(Control!$C$85=1,D5*Control!$C$87*365*Control!$C$86,0)</x:f>
        <x:v>0</x:v>
      </x:c>
      <x:c r="E11" s="14">
        <x:f>IF(Control!$C$85=1,E5*Control!$C$87*365*Control!$C$86,0)</x:f>
        <x:v>0</x:v>
      </x:c>
      <x:c r="F11" s="14">
        <x:f>IF(Control!$C$85=1,F5*Control!$C$87*365*Control!$C$86,0)</x:f>
        <x:v>0</x:v>
      </x:c>
      <x:c r="G11" s="14">
        <x:f>IF(Control!$C$85=1,G5*Control!$C$87*365*Control!$C$86,0)</x:f>
        <x:v>0</x:v>
      </x:c>
      <x:c r="H11" s="14">
        <x:f>IF(Control!$C$85=1,H5*Control!$C$87*365*Control!$C$86,0)</x:f>
        <x:v>0</x:v>
      </x:c>
      <x:c r="I11" s="14">
        <x:f>IF(Control!$C$85=1,I5*Control!$C$87*365*Control!$C$86,0)</x:f>
        <x:v>0</x:v>
      </x:c>
      <x:c r="J11" s="14">
        <x:f>IF(Control!$C$85=1,J5*Control!$C$87*365*Control!$C$86,0)</x:f>
        <x:v>0</x:v>
      </x:c>
      <x:c r="K11" s="14">
        <x:f>IF(Control!$C$85=1,K5*Control!$C$87*365*Control!$C$86,0)</x:f>
        <x:v>0</x:v>
      </x:c>
      <x:c r="L11" s="14">
        <x:f>IF(Control!$C$85=1,L5*Control!$C$87*365*Control!$C$86,0)</x:f>
        <x:v>0</x:v>
      </x:c>
      <x:c r="M11" s="14">
        <x:f>IF(Control!$C$85=1,M5*Control!$C$87*365*Control!$C$86,0)</x:f>
        <x:v>0</x:v>
      </x:c>
      <x:c r="N11" s="14" t="n"/>
      <x:c r="O11" s="14" t="n"/>
    </x:row>
    <x:row r="12">
      <x:c r="A12" s="7" t="inlineStr">
        <x:is>
          <x:t xml:space="preserve">AI/Hyperscaler revenue - base case</x:t>
        </x:is>
      </x:c>
      <x:c r="B12" s="5" t="inlineStr">
        <x:is>
          <x:t xml:space="preserve">ZAR'000</x:t>
        </x:is>
      </x:c>
      <x:c r="D12" s="14">
        <x:f>IF(AND(Control!$C$81=1,D$4&gt;=Control!$C$82),D5*Control!$C$83*24*365*Control!$C$84*Control!$C$4/1000,0)</x:f>
        <x:v>0</x:v>
      </x:c>
      <x:c r="E12" s="14">
        <x:f>IF(AND(Control!$C$81=1,E$4&gt;=Control!$C$82),E5*Control!$C$83*24*365*Control!$C$84*Control!$C$4/1000,0)</x:f>
        <x:v>0</x:v>
      </x:c>
      <x:c r="F12" s="14">
        <x:f>IF(AND(Control!$C$81=1,F$4&gt;=Control!$C$82),F5*Control!$C$83*24*365*Control!$C$84*Control!$C$4/1000,0)</x:f>
        <x:v>0</x:v>
      </x:c>
      <x:c r="G12" s="14">
        <x:f>IF(AND(Control!$C$81=1,G$4&gt;=Control!$C$82),G5*Control!$C$83*24*365*Control!$C$84*Control!$C$4/1000,0)</x:f>
        <x:v>0</x:v>
      </x:c>
      <x:c r="H12" s="14">
        <x:f>IF(AND(Control!$C$81=1,H$4&gt;=Control!$C$82),H5*Control!$C$83*24*365*Control!$C$84*Control!$C$4/1000,0)</x:f>
        <x:v>0</x:v>
      </x:c>
      <x:c r="I12" s="14">
        <x:f>IF(AND(Control!$C$81=1,I$4&gt;=Control!$C$82),I5*Control!$C$83*24*365*Control!$C$84*Control!$C$4/1000,0)</x:f>
        <x:v>0</x:v>
      </x:c>
      <x:c r="J12" s="14">
        <x:f>IF(AND(Control!$C$81=1,J$4&gt;=Control!$C$82),J5*Control!$C$83*24*365*Control!$C$84*Control!$C$4/1000,0)</x:f>
        <x:v>0</x:v>
      </x:c>
      <x:c r="K12" s="14">
        <x:f>IF(AND(Control!$C$81=1,K$4&gt;=Control!$C$82),K5*Control!$C$83*24*365*Control!$C$84*Control!$C$4/1000,0)</x:f>
        <x:v>0</x:v>
      </x:c>
      <x:c r="L12" s="14">
        <x:f>IF(AND(Control!$C$81=1,L$4&gt;=Control!$C$82),L5*Control!$C$83*24*365*Control!$C$84*Control!$C$4/1000,0)</x:f>
        <x:v>0</x:v>
      </x:c>
      <x:c r="M12" s="14">
        <x:f>IF(AND(Control!$C$81=1,M$4&gt;=Control!$C$82),M5*Control!$C$83*24*365*Control!$C$84*Control!$C$4/1000,0)</x:f>
        <x:v>0</x:v>
      </x:c>
      <x:c r="N12" s="14" t="n"/>
      <x:c r="O12" s="14" t="n"/>
    </x:row>
    <x:row r="13">
      <x:c r="A13" s="19" t="inlineStr">
        <x:is>
          <x:t xml:space="preserve">Total revenue - base case</x:t>
        </x:is>
      </x:c>
      <x:c r="B13" s="20" t="inlineStr">
        <x:is>
          <x:t xml:space="preserve">ZAR'000</x:t>
        </x:is>
      </x:c>
      <x:c r="C13" s="21" t="n"/>
      <x:c r="D13" s="22">
        <x:f>SUM(D10:D12)</x:f>
        <x:v>281755.0148809524</x:v>
      </x:c>
      <x:c r="E13" s="22">
        <x:f>SUM(E10:E12)</x:f>
        <x:v>2495688.2556935824</x:v>
      </x:c>
      <x:c r="F13" s="22">
        <x:f>SUM(F10:F12)</x:f>
        <x:v>6264582.019758756</x:v>
      </x:c>
      <x:c r="G13" s="22">
        <x:f>SUM(G10:G12)</x:f>
        <x:v>8930890.812345657</x:v>
      </x:c>
      <x:c r="H13" s="22">
        <x:f>SUM(H10:H12)</x:f>
        <x:v>14668443.306207402</x:v>
      </x:c>
      <x:c r="I13" s="22">
        <x:f>SUM(I10:I12)</x:f>
        <x:v>16367072.079035023</x:v>
      </x:c>
      <x:c r="J13" s="22">
        <x:f>SUM(J10:J12)</x:f>
        <x:v>17890265.37576381</x:v>
      </x:c>
      <x:c r="K13" s="22">
        <x:f>SUM(K10:K12)</x:f>
        <x:v>19250067.436710835</x:v>
      </x:c>
      <x:c r="L13" s="22">
        <x:f>SUM(L10:L12)</x:f>
        <x:v>20457806.81300884</x:v>
      </x:c>
      <x:c r="M13" s="22">
        <x:f>SUM(M10:M12)</x:f>
        <x:v>19557988.809346512</x:v>
      </x:c>
      <x:c r="N13" s="22" t="n"/>
      <x:c r="O13" s="22" t="n"/>
    </x:row>
    <x:row r="15">
      <x:c r="A15" s="7" t="inlineStr">
        <x:is>
          <x:t xml:space="preserve">GVL energy cost</x:t>
        </x:is>
      </x:c>
      <x:c r="B15" s="5" t="inlineStr">
        <x:is>
          <x:t xml:space="preserve">ZAR'000</x:t>
        </x:is>
      </x:c>
      <x:c r="D15" s="14">
        <x:f>'10Y_Ramp'!D7*Control!$C$21*365*Control!$C$14*Control!$C$25</x:f>
        <x:v>93622.5</x:v>
      </x:c>
      <x:c r="E15" s="14">
        <x:f>'10Y_Ramp'!E7*Control!$C$21*365*Control!$C$14*Control!$C$25</x:f>
        <x:v>249660</x:v>
      </x:c>
      <x:c r="F15" s="14">
        <x:f>'10Y_Ramp'!F7*Control!$C$21*365*Control!$C$14*Control!$C$25</x:f>
        <x:v>374490</x:v>
      </x:c>
      <x:c r="G15" s="14">
        <x:f>'10Y_Ramp'!G7*Control!$C$21*365*Control!$C$14*Control!$C$25</x:f>
        <x:v>499320</x:v>
      </x:c>
      <x:c r="H15" s="14">
        <x:f>'10Y_Ramp'!H7*Control!$C$21*365*Control!$C$14*Control!$C$25</x:f>
        <x:v>624150</x:v>
      </x:c>
      <x:c r="I15" s="14">
        <x:f>'10Y_Ramp'!I7*Control!$C$21*365*Control!$C$14*Control!$C$25</x:f>
        <x:v>748980</x:v>
      </x:c>
      <x:c r="J15" s="14">
        <x:f>'10Y_Ramp'!J7*Control!$C$21*365*Control!$C$14*Control!$C$25</x:f>
        <x:v>873810</x:v>
      </x:c>
      <x:c r="K15" s="14">
        <x:f>'10Y_Ramp'!K7*Control!$C$21*365*Control!$C$14*Control!$C$25</x:f>
        <x:v>998640</x:v>
      </x:c>
      <x:c r="L15" s="14">
        <x:f>'10Y_Ramp'!L7*Control!$C$21*365*Control!$C$14*Control!$C$25</x:f>
        <x:v>1123470</x:v>
      </x:c>
      <x:c r="M15" s="14">
        <x:f>'10Y_Ramp'!M7*Control!$C$21*365*Control!$C$14*Control!$C$25</x:f>
        <x:v>1248300</x:v>
      </x:c>
      <x:c r="N15" s="14" t="n"/>
      <x:c r="O15" s="14" t="n"/>
    </x:row>
    <x:row r="16">
      <x:c r="A16" s="7" t="inlineStr">
        <x:is>
          <x:t xml:space="preserve">AMSA VB energy cost</x:t>
        </x:is>
      </x:c>
      <x:c r="B16" s="5" t="inlineStr">
        <x:is>
          <x:t xml:space="preserve">ZAR'000</x:t>
        </x:is>
      </x:c>
      <x:c r="D16" s="14">
        <x:f>(('10Y_Ramp'!D8*(Control!$C$22+Control!$C$23)*365*Control!$C$14)-(MIN('10Y_Ramp'!D8,'10Y_Ramp'!D15)*Control!$C$23*365*Control!$C$14))*Control!$C$26</x:f>
        <x:v>15603.75</x:v>
      </x:c>
      <x:c r="E16" s="14">
        <x:f>(('10Y_Ramp'!E8*(Control!$C$22+Control!$C$23)*365*Control!$C$14)-(MIN('10Y_Ramp'!E8,'10Y_Ramp'!E15)*Control!$C$23*365*Control!$C$14))*Control!$C$26</x:f>
        <x:v>124830</x:v>
      </x:c>
      <x:c r="F16" s="14">
        <x:f>(('10Y_Ramp'!F8*(Control!$C$22+Control!$C$23)*365*Control!$C$14)-(MIN('10Y_Ramp'!F8,'10Y_Ramp'!F15)*Control!$C$23*365*Control!$C$14))*Control!$C$26</x:f>
        <x:v>374490</x:v>
      </x:c>
      <x:c r="G16" s="14">
        <x:f>(('10Y_Ramp'!G8*(Control!$C$22+Control!$C$23)*365*Control!$C$14)-(MIN('10Y_Ramp'!G8,'10Y_Ramp'!G15)*Control!$C$23*365*Control!$C$14))*Control!$C$26</x:f>
        <x:v>624150</x:v>
      </x:c>
      <x:c r="H16" s="14">
        <x:f>(('10Y_Ramp'!H8*(Control!$C$22+Control!$C$23)*365*Control!$C$14)-(MIN('10Y_Ramp'!H8,'10Y_Ramp'!H15)*Control!$C$23*365*Control!$C$14))*Control!$C$26</x:f>
        <x:v>686565</x:v>
      </x:c>
      <x:c r="I16" s="14">
        <x:f>(('10Y_Ramp'!I8*(Control!$C$22+Control!$C$23)*365*Control!$C$14)-(MIN('10Y_Ramp'!I8,'10Y_Ramp'!I15)*Control!$C$23*365*Control!$C$14))*Control!$C$26</x:f>
        <x:v>717772.5</x:v>
      </x:c>
      <x:c r="J16" s="14">
        <x:f>(('10Y_Ramp'!J8*(Control!$C$22+Control!$C$23)*365*Control!$C$14)-(MIN('10Y_Ramp'!J8,'10Y_Ramp'!J15)*Control!$C$23*365*Control!$C$14))*Control!$C$26</x:f>
        <x:v>748980</x:v>
      </x:c>
      <x:c r="K16" s="14">
        <x:f>(('10Y_Ramp'!K8*(Control!$C$22+Control!$C$23)*365*Control!$C$14)-(MIN('10Y_Ramp'!K8,'10Y_Ramp'!K15)*Control!$C$23*365*Control!$C$14))*Control!$C$26</x:f>
        <x:v>780187.5</x:v>
      </x:c>
      <x:c r="L16" s="14">
        <x:f>(('10Y_Ramp'!L8*(Control!$C$22+Control!$C$23)*365*Control!$C$14)-(MIN('10Y_Ramp'!L8,'10Y_Ramp'!L15)*Control!$C$23*365*Control!$C$14))*Control!$C$26</x:f>
        <x:v>780187.5</x:v>
      </x:c>
      <x:c r="M16" s="14">
        <x:f>(('10Y_Ramp'!M8*(Control!$C$22+Control!$C$23)*365*Control!$C$14)-(MIN('10Y_Ramp'!M8,'10Y_Ramp'!M15)*Control!$C$23*365*Control!$C$14))*Control!$C$26</x:f>
        <x:v>780187.5</x:v>
      </x:c>
      <x:c r="N16" s="14" t="n"/>
      <x:c r="O16" s="14" t="n"/>
    </x:row>
    <x:row r="17">
      <x:c r="A17" s="7" t="inlineStr">
        <x:is>
          <x:t xml:space="preserve">Newcastle energy cost</x:t>
        </x:is>
      </x:c>
      <x:c r="B17" s="5" t="inlineStr">
        <x:is>
          <x:t xml:space="preserve">ZAR'000</x:t>
        </x:is>
      </x:c>
      <x:c r="D17" s="14">
        <x:f>(('10Y_Ramp'!D9*(Control!$C$22+Control!$C$23)*365*Control!$C$14)-(MIN('10Y_Ramp'!D9,'10Y_Ramp'!D16)*Control!$C$23*365*Control!$C$14))*Control!$C$25</x:f>
        <x:v>0</x:v>
      </x:c>
      <x:c r="E17" s="14">
        <x:f>(('10Y_Ramp'!E9*(Control!$C$22+Control!$C$23)*365*Control!$C$14)-(MIN('10Y_Ramp'!E9,'10Y_Ramp'!E16)*Control!$C$23*365*Control!$C$14))*Control!$C$25</x:f>
        <x:v>131765</x:v>
      </x:c>
      <x:c r="F17" s="14">
        <x:f>(('10Y_Ramp'!F9*(Control!$C$22+Control!$C$23)*365*Control!$C$14)-(MIN('10Y_Ramp'!F9,'10Y_Ramp'!F16)*Control!$C$23*365*Control!$C$14))*Control!$C$25</x:f>
        <x:v>371022.5</x:v>
      </x:c>
      <x:c r="G17" s="14">
        <x:f>(('10Y_Ramp'!G9*(Control!$C$22+Control!$C$23)*365*Control!$C$14)-(MIN('10Y_Ramp'!G9,'10Y_Ramp'!G16)*Control!$C$23*365*Control!$C$14))*Control!$C$25</x:f>
        <x:v>676162.5</x:v>
      </x:c>
      <x:c r="H17" s="14">
        <x:f>(('10Y_Ramp'!H9*(Control!$C$22+Control!$C$23)*365*Control!$C$14)-(MIN('10Y_Ramp'!H9,'10Y_Ramp'!H16)*Control!$C$23*365*Control!$C$14))*Control!$C$25</x:f>
        <x:v>981302.5</x:v>
      </x:c>
      <x:c r="I17" s="14">
        <x:f>(('10Y_Ramp'!I9*(Control!$C$22+Control!$C$23)*365*Control!$C$14)-(MIN('10Y_Ramp'!I9,'10Y_Ramp'!I16)*Control!$C$23*365*Control!$C$14))*Control!$C$25</x:f>
        <x:v>1352325</x:v>
      </x:c>
      <x:c r="J17" s="14">
        <x:f>(('10Y_Ramp'!J9*(Control!$C$22+Control!$C$23)*365*Control!$C$14)-(MIN('10Y_Ramp'!J9,'10Y_Ramp'!J16)*Control!$C$23*365*Control!$C$14))*Control!$C$25</x:f>
        <x:v>1591582.5</x:v>
      </x:c>
      <x:c r="K17" s="14">
        <x:f>(('10Y_Ramp'!K9*(Control!$C$22+Control!$C$23)*365*Control!$C$14)-(MIN('10Y_Ramp'!K9,'10Y_Ramp'!K16)*Control!$C$23*365*Control!$C$14))*Control!$C$25</x:f>
        <x:v>2052760</x:v>
      </x:c>
      <x:c r="L17" s="14">
        <x:f>(('10Y_Ramp'!L9*(Control!$C$22+Control!$C$23)*365*Control!$C$14)-(MIN('10Y_Ramp'!L9,'10Y_Ramp'!L16)*Control!$C$23*365*Control!$C$14))*Control!$C$25</x:f>
        <x:v>2513937.5</x:v>
      </x:c>
      <x:c r="M17" s="14">
        <x:f>(('10Y_Ramp'!M9*(Control!$C$22+Control!$C$23)*365*Control!$C$14)-(MIN('10Y_Ramp'!M9,'10Y_Ramp'!M16)*Control!$C$23*365*Control!$C$14))*Control!$C$25</x:f>
        <x:v>2513937.5</x:v>
      </x:c>
      <x:c r="N17" s="14" t="n"/>
      <x:c r="O17" s="14" t="n"/>
    </x:row>
    <x:row r="18">
      <x:c r="A18" s="7" t="inlineStr">
        <x:is>
          <x:t xml:space="preserve">Saldanha energy cost</x:t>
        </x:is>
      </x:c>
      <x:c r="B18" s="5" t="inlineStr">
        <x:is>
          <x:t xml:space="preserve">ZAR'000</x:t>
        </x:is>
      </x:c>
      <x:c r="D18" s="14">
        <x:f>(('10Y_Ramp'!D10*(Control!$C$22+Control!$C$23)*365*Control!$C$14)-(MIN('10Y_Ramp'!D10,'10Y_Ramp'!D17)*Control!$C$23*365*Control!$C$14))*Control!$C$25</x:f>
        <x:v>0</x:v>
      </x:c>
      <x:c r="E18" s="14">
        <x:f>(('10Y_Ramp'!E10*(Control!$C$22+Control!$C$23)*365*Control!$C$14)-(MIN('10Y_Ramp'!E10,'10Y_Ramp'!E17)*Control!$C$23*365*Control!$C$14))*Control!$C$25</x:f>
        <x:v>131765</x:v>
      </x:c>
      <x:c r="F18" s="14">
        <x:f>(('10Y_Ramp'!F10*(Control!$C$22+Control!$C$23)*365*Control!$C$14)-(MIN('10Y_Ramp'!F10,'10Y_Ramp'!F17)*Control!$C$23*365*Control!$C$14))*Control!$C$25</x:f>
        <x:v>527060</x:v>
      </x:c>
      <x:c r="G18" s="14">
        <x:f>(('10Y_Ramp'!G10*(Control!$C$22+Control!$C$23)*365*Control!$C$14)-(MIN('10Y_Ramp'!G10,'10Y_Ramp'!G17)*Control!$C$23*365*Control!$C$14))*Control!$C$25</x:f>
        <x:v>634552.5</x:v>
      </x:c>
      <x:c r="H18" s="14">
        <x:f>(('10Y_Ramp'!H10*(Control!$C$22+Control!$C$23)*365*Control!$C$14)-(MIN('10Y_Ramp'!H10,'10Y_Ramp'!H17)*Control!$C$23*365*Control!$C$14))*Control!$C$25</x:f>
        <x:v>1137340</x:v>
      </x:c>
      <x:c r="I18" s="14">
        <x:f>(('10Y_Ramp'!I10*(Control!$C$22+Control!$C$23)*365*Control!$C$14)-(MIN('10Y_Ramp'!I10,'10Y_Ramp'!I17)*Control!$C$23*365*Control!$C$14))*Control!$C$25</x:f>
        <x:v>1508362.5</x:v>
      </x:c>
      <x:c r="J18" s="14">
        <x:f>(('10Y_Ramp'!J10*(Control!$C$22+Control!$C$23)*365*Control!$C$14)-(MIN('10Y_Ramp'!J10,'10Y_Ramp'!J17)*Control!$C$23*365*Control!$C$14))*Control!$C$25</x:f>
        <x:v>1747620</x:v>
      </x:c>
      <x:c r="K18" s="14">
        <x:f>(('10Y_Ramp'!K10*(Control!$C$22+Control!$C$23)*365*Control!$C$14)-(MIN('10Y_Ramp'!K10,'10Y_Ramp'!K17)*Control!$C$23*365*Control!$C$14))*Control!$C$25</x:f>
        <x:v>2052760</x:v>
      </x:c>
      <x:c r="L18" s="14">
        <x:f>(('10Y_Ramp'!L10*(Control!$C$22+Control!$C$23)*365*Control!$C$14)-(MIN('10Y_Ramp'!L10,'10Y_Ramp'!L17)*Control!$C$23*365*Control!$C$14))*Control!$C$25</x:f>
        <x:v>2513937.5</x:v>
      </x:c>
      <x:c r="M18" s="14">
        <x:f>(('10Y_Ramp'!M10*(Control!$C$22+Control!$C$23)*365*Control!$C$14)-(MIN('10Y_Ramp'!M10,'10Y_Ramp'!M17)*Control!$C$23*365*Control!$C$14))*Control!$C$25</x:f>
        <x:v>2513937.5</x:v>
      </x:c>
      <x:c r="N18" s="14" t="n"/>
      <x:c r="O18" s="14" t="n"/>
    </x:row>
    <x:row r="19">
      <x:c r="A19" s="7" t="inlineStr">
        <x:is>
          <x:t xml:space="preserve">Komati energy cost</x:t>
        </x:is>
      </x:c>
      <x:c r="B19" s="5" t="inlineStr">
        <x:is>
          <x:t xml:space="preserve">ZAR'000</x:t>
        </x:is>
      </x:c>
      <x:c r="D19" s="14">
        <x:f>(('10Y_Ramp'!D11*(Control!$C$22+Control!$C$23)*365*Control!$C$14)-(MIN('10Y_Ramp'!D11,'10Y_Ramp'!D18)*Control!$C$23*365*Control!$C$14))*Control!$C$25</x:f>
        <x:v>0</x:v>
      </x:c>
      <x:c r="E19" s="14">
        <x:f>(('10Y_Ramp'!E11*(Control!$C$22+Control!$C$23)*365*Control!$C$14)-(MIN('10Y_Ramp'!E11,'10Y_Ramp'!E18)*Control!$C$23*365*Control!$C$14))*Control!$C$25</x:f>
        <x:v>395295</x:v>
      </x:c>
      <x:c r="F19" s="14">
        <x:f>(('10Y_Ramp'!F11*(Control!$C$22+Control!$C$23)*365*Control!$C$14)-(MIN('10Y_Ramp'!F11,'10Y_Ramp'!F18)*Control!$C$23*365*Control!$C$14))*Control!$C$25</x:f>
        <x:v>856472.5</x:v>
      </x:c>
      <x:c r="G19" s="14">
        <x:f>(('10Y_Ramp'!G11*(Control!$C$22+Control!$C$23)*365*Control!$C$14)-(MIN('10Y_Ramp'!G11,'10Y_Ramp'!G18)*Control!$C$23*365*Control!$C$14))*Control!$C$25</x:f>
        <x:v>925822.5</x:v>
      </x:c>
      <x:c r="H19" s="14">
        <x:f>(('10Y_Ramp'!H11*(Control!$C$22+Control!$C$23)*365*Control!$C$14)-(MIN('10Y_Ramp'!H11,'10Y_Ramp'!H18)*Control!$C$23*365*Control!$C$14))*Control!$C$25</x:f>
        <x:v>2774000</x:v>
      </x:c>
      <x:c r="I19" s="14">
        <x:f>(('10Y_Ramp'!I11*(Control!$C$22+Control!$C$23)*365*Control!$C$14)-(MIN('10Y_Ramp'!I11,'10Y_Ramp'!I18)*Control!$C$23*365*Control!$C$14))*Control!$C$25</x:f>
        <x:v>2777467.5</x:v>
      </x:c>
      <x:c r="J19" s="14">
        <x:f>(('10Y_Ramp'!J11*(Control!$C$22+Control!$C$23)*365*Control!$C$14)-(MIN('10Y_Ramp'!J11,'10Y_Ramp'!J18)*Control!$C$23*365*Control!$C$14))*Control!$C$25</x:f>
        <x:v>3044465</x:v>
      </x:c>
      <x:c r="K19" s="14">
        <x:f>(('10Y_Ramp'!K11*(Control!$C$22+Control!$C$23)*365*Control!$C$14)-(MIN('10Y_Ramp'!K11,'10Y_Ramp'!K18)*Control!$C$23*365*Control!$C$14))*Control!$C$25</x:f>
        <x:v>3179697.5</x:v>
      </x:c>
      <x:c r="L19" s="14">
        <x:f>(('10Y_Ramp'!L11*(Control!$C$22+Control!$C$23)*365*Control!$C$14)-(MIN('10Y_Ramp'!L11,'10Y_Ramp'!L18)*Control!$C$23*365*Control!$C$14))*Control!$C$25</x:f>
        <x:v>3380812.5</x:v>
      </x:c>
      <x:c r="M19" s="14">
        <x:f>(('10Y_Ramp'!M11*(Control!$C$22+Control!$C$23)*365*Control!$C$14)-(MIN('10Y_Ramp'!M11,'10Y_Ramp'!M18)*Control!$C$23*365*Control!$C$14))*Control!$C$25</x:f>
        <x:v>3155425</x:v>
      </x:c>
      <x:c r="N19" s="14" t="n"/>
      <x:c r="O19" s="14" t="n"/>
    </x:row>
    <x:row r="20">
      <x:c r="A20" s="7" t="inlineStr">
        <x:is>
          <x:t xml:space="preserve">Solar O&amp;M</x:t>
        </x:is>
      </x:c>
      <x:c r="B20" s="5" t="inlineStr">
        <x:is>
          <x:t xml:space="preserve">ZAR'000</x:t>
        </x:is>
      </x:c>
      <x:c r="D20" s="14">
        <x:f>'10Y_Ramp'!D19*Control!$C$27*Control!$C$28</x:f>
        <x:v>1400</x:v>
      </x:c>
      <x:c r="E20" s="14">
        <x:f>'10Y_Ramp'!E19*Control!$C$27*Control!$C$28</x:f>
        <x:v>25200</x:v>
      </x:c>
      <x:c r="F20" s="14">
        <x:f>'10Y_Ramp'!F19*Control!$C$27*Control!$C$28</x:f>
        <x:v>42000</x:v>
      </x:c>
      <x:c r="G20" s="14">
        <x:f>'10Y_Ramp'!G19*Control!$C$27*Control!$C$28</x:f>
        <x:v>58800</x:v>
      </x:c>
      <x:c r="H20" s="14">
        <x:f>'10Y_Ramp'!H19*Control!$C$27*Control!$C$28</x:f>
        <x:v>75600</x:v>
      </x:c>
      <x:c r="I20" s="14">
        <x:f>'10Y_Ramp'!I19*Control!$C$27*Control!$C$28</x:f>
        <x:v>92400</x:v>
      </x:c>
      <x:c r="J20" s="14">
        <x:f>'10Y_Ramp'!J19*Control!$C$27*Control!$C$28</x:f>
        <x:v>109200</x:v>
      </x:c>
      <x:c r="K20" s="14">
        <x:f>'10Y_Ramp'!K19*Control!$C$27*Control!$C$28</x:f>
        <x:v>119000</x:v>
      </x:c>
      <x:c r="L20" s="14">
        <x:f>'10Y_Ramp'!L19*Control!$C$27*Control!$C$28</x:f>
        <x:v>121800</x:v>
      </x:c>
      <x:c r="M20" s="14">
        <x:f>'10Y_Ramp'!M19*Control!$C$27*Control!$C$28</x:f>
        <x:v>126000</x:v>
      </x:c>
      <x:c r="N20" s="14" t="n"/>
      <x:c r="O20" s="14" t="n"/>
    </x:row>
    <x:row r="21">
      <x:c r="A21" s="19" t="inlineStr">
        <x:is>
          <x:t xml:space="preserve">Total energy cost</x:t>
        </x:is>
      </x:c>
      <x:c r="B21" s="20" t="inlineStr">
        <x:is>
          <x:t xml:space="preserve">ZAR'000</x:t>
        </x:is>
      </x:c>
      <x:c r="C21" s="21" t="n"/>
      <x:c r="D21" s="22">
        <x:f>SUM(D15:D20)</x:f>
        <x:v>110626.25</x:v>
      </x:c>
      <x:c r="E21" s="22">
        <x:f>SUM(E15:E20)</x:f>
        <x:v>1058515</x:v>
      </x:c>
      <x:c r="F21" s="22">
        <x:f>SUM(F15:F20)</x:f>
        <x:v>2545535</x:v>
      </x:c>
      <x:c r="G21" s="22">
        <x:f>SUM(G15:G20)</x:f>
        <x:v>3418807.5</x:v>
      </x:c>
      <x:c r="H21" s="22">
        <x:f>SUM(H15:H20)</x:f>
        <x:v>6278957.5</x:v>
      </x:c>
      <x:c r="I21" s="22">
        <x:f>SUM(I15:I20)</x:f>
        <x:v>7197307.5</x:v>
      </x:c>
      <x:c r="J21" s="22">
        <x:f>SUM(J15:J20)</x:f>
        <x:v>8115657.5</x:v>
      </x:c>
      <x:c r="K21" s="22">
        <x:f>SUM(K15:K20)</x:f>
        <x:v>9183045</x:v>
      </x:c>
      <x:c r="L21" s="22">
        <x:f>SUM(L15:L20)</x:f>
        <x:v>10434145</x:v>
      </x:c>
      <x:c r="M21" s="22">
        <x:f>SUM(M15:M20)</x:f>
        <x:v>10337787.5</x:v>
      </x:c>
      <x:c r="N21" s="22" t="n"/>
      <x:c r="O21" s="22" t="n"/>
    </x:row>
    <x:row r="23">
      <x:c r="A23" s="7" t="inlineStr">
        <x:is>
          <x:t xml:space="preserve">Salaries &amp; benefits</x:t>
        </x:is>
      </x:c>
      <x:c r="B23" s="5" t="inlineStr">
        <x:is>
          <x:t xml:space="preserve">ZAR'000</x:t>
        </x:is>
      </x:c>
      <x:c r="D23" s="14">
        <x:f>(Control!$C$52*Control!$C$53)+(((IF(D7&gt;0,1,0)+IF(D8&gt;0,1,0)+IF(D9&gt;0,1,0)+IF(D10&gt;0,1,0)+IF(D11&gt;0,1,0))*Control!$C$54*Control!$C$55)+(D5*Control!$C$56*Control!$C$57)+(D5*Control!$C$58*Control!$C$59))*(1+Control!$C$60)</x:f>
        <x:v>16524</x:v>
      </x:c>
      <x:c r="E23" s="14">
        <x:f>(Control!$C$52*Control!$C$53)+(((IF(E7&gt;0,1,0)+IF(E8&gt;0,1,0)+IF(E9&gt;0,1,0)+IF(E10&gt;0,1,0)+IF(E11&gt;0,1,0))*Control!$C$54*Control!$C$55)+(E5*Control!$C$56*Control!$C$57)+(E5*Control!$C$58*Control!$C$59))*(1+Control!$C$60)</x:f>
        <x:v>46956</x:v>
      </x:c>
      <x:c r="F23" s="14">
        <x:f>(Control!$C$52*Control!$C$53)+(((IF(F7&gt;0,1,0)+IF(F8&gt;0,1,0)+IF(F9&gt;0,1,0)+IF(F10&gt;0,1,0)+IF(F11&gt;0,1,0))*Control!$C$54*Control!$C$55)+(F5*Control!$C$56*Control!$C$57)+(F5*Control!$C$58*Control!$C$59))*(1+Control!$C$60)</x:f>
        <x:v>102114</x:v>
      </x:c>
      <x:c r="G23" s="14">
        <x:f>(Control!$C$52*Control!$C$53)+(((IF(G7&gt;0,1,0)+IF(G8&gt;0,1,0)+IF(G9&gt;0,1,0)+IF(G10&gt;0,1,0)+IF(G11&gt;0,1,0))*Control!$C$54*Control!$C$55)+(G5*Control!$C$56*Control!$C$57)+(G5*Control!$C$58*Control!$C$59))*(1+Control!$C$60)</x:f>
        <x:v>145859.99999999997</x:v>
      </x:c>
      <x:c r="H23" s="14">
        <x:f>(Control!$C$52*Control!$C$53)+(((IF(H7&gt;0,1,0)+IF(H8&gt;0,1,0)+IF(H9&gt;0,1,0)+IF(H10&gt;0,1,0)+IF(H11&gt;0,1,0))*Control!$C$54*Control!$C$55)+(H5*Control!$C$56*Control!$C$57)+(H5*Control!$C$58*Control!$C$59))*(1+Control!$C$60)</x:f>
        <x:v>240960</x:v>
      </x:c>
      <x:c r="I23" s="14">
        <x:f>(Control!$C$52*Control!$C$53)+(((IF(I7&gt;0,1,0)+IF(I8&gt;0,1,0)+IF(I9&gt;0,1,0)+IF(I10&gt;0,1,0)+IF(I11&gt;0,1,0))*Control!$C$54*Control!$C$55)+(I5*Control!$C$56*Control!$C$57)+(I5*Control!$C$58*Control!$C$59))*(1+Control!$C$60)</x:f>
        <x:v>278999.99999999994</x:v>
      </x:c>
      <x:c r="J23" s="14">
        <x:f>(Control!$C$52*Control!$C$53)+(((IF(J7&gt;0,1,0)+IF(J8&gt;0,1,0)+IF(J9&gt;0,1,0)+IF(J10&gt;0,1,0)+IF(J11&gt;0,1,0))*Control!$C$54*Control!$C$55)+(J5*Control!$C$56*Control!$C$57)+(J5*Control!$C$58*Control!$C$59))*(1+Control!$C$60)</x:f>
        <x:v>317040</x:v>
      </x:c>
      <x:c r="K23" s="14">
        <x:f>(Control!$C$52*Control!$C$53)+(((IF(K7&gt;0,1,0)+IF(K8&gt;0,1,0)+IF(K9&gt;0,1,0)+IF(K10&gt;0,1,0)+IF(K11&gt;0,1,0))*Control!$C$54*Control!$C$55)+(K5*Control!$C$56*Control!$C$57)+(K5*Control!$C$58*Control!$C$59))*(1+Control!$C$60)</x:f>
        <x:v>355080</x:v>
      </x:c>
      <x:c r="L23" s="14">
        <x:f>(Control!$C$52*Control!$C$53)+(((IF(L7&gt;0,1,0)+IF(L8&gt;0,1,0)+IF(L9&gt;0,1,0)+IF(L10&gt;0,1,0)+IF(L11&gt;0,1,0))*Control!$C$54*Control!$C$55)+(L5*Control!$C$56*Control!$C$57)+(L5*Control!$C$58*Control!$C$59))*(1+Control!$C$60)</x:f>
        <x:v>393120</x:v>
      </x:c>
      <x:c r="M23" s="14">
        <x:f>(Control!$C$52*Control!$C$53)+(((IF(M7&gt;0,1,0)+IF(M8&gt;0,1,0)+IF(M9&gt;0,1,0)+IF(M10&gt;0,1,0)+IF(M11&gt;0,1,0))*Control!$C$54*Control!$C$55)+(M5*Control!$C$56*Control!$C$57)+(M5*Control!$C$58*Control!$C$59))*(1+Control!$C$60)</x:f>
        <x:v>393120</x:v>
      </x:c>
      <x:c r="N23" s="14" t="n"/>
      <x:c r="O23" s="14" t="n"/>
    </x:row>
    <x:row r="24">
      <x:c r="A24" s="7" t="inlineStr">
        <x:is>
          <x:t xml:space="preserve">Admin / travel / software / office / legal</x:t>
        </x:is>
      </x:c>
      <x:c r="B24" s="5" t="inlineStr">
        <x:is>
          <x:t xml:space="preserve">ZAR'000</x:t>
        </x:is>
      </x:c>
      <x:c r="D24" s="14">
        <x:f>(D23/(1+Control!$C$60))*Control!$C$61+((Control!$C$52+(IF(D7&gt;0,1,0)+IF(D8&gt;0,1,0)+IF(D9&gt;0,1,0)+IF(D10&gt;0,1,0)+IF(D11&gt;0,1,0))*Control!$C$54+(D5*Control!$C$56)+(D5*Control!$C$58))*Control!$C$63*12)+(((IF(D7&gt;0,1,0)+IF(D8&gt;0,1,0)+IF(D9&gt;0,1,0)+IF(D10&gt;0,1,0)+IF(D11&gt;0,1,0))*Control!$C$64*12))+(Control!$C$67*12)+(Control!$C$66*12)+(Control!$C$65*12)</x:f>
        <x:v>5975.4</x:v>
      </x:c>
      <x:c r="E24" s="14">
        <x:f>(E23/(1+Control!$C$60))*Control!$C$61+((Control!$C$52+(IF(E7&gt;0,1,0)+IF(E8&gt;0,1,0)+IF(E9&gt;0,1,0)+IF(E10&gt;0,1,0)+IF(E11&gt;0,1,0))*Control!$C$54+(E5*Control!$C$56)+(E5*Control!$C$58))*Control!$C$63*12)+(((IF(E7&gt;0,1,0)+IF(E8&gt;0,1,0)+IF(E9&gt;0,1,0)+IF(E10&gt;0,1,0)+IF(E11&gt;0,1,0))*Control!$C$64*12))+(Control!$C$67*12)+(Control!$C$66*12)+(Control!$C$65*12)</x:f>
        <x:v>10386.6</x:v>
      </x:c>
      <x:c r="F24" s="14">
        <x:f>(F23/(1+Control!$C$60))*Control!$C$61+((Control!$C$52+(IF(F7&gt;0,1,0)+IF(F8&gt;0,1,0)+IF(F9&gt;0,1,0)+IF(F10&gt;0,1,0)+IF(F11&gt;0,1,0))*Control!$C$54+(F5*Control!$C$56)+(F5*Control!$C$58))*Control!$C$63*12)+(((IF(F7&gt;0,1,0)+IF(F8&gt;0,1,0)+IF(F9&gt;0,1,0)+IF(F10&gt;0,1,0)+IF(F11&gt;0,1,0))*Control!$C$64*12))+(Control!$C$67*12)+(Control!$C$66*12)+(Control!$C$65*12)</x:f>
        <x:v>18381.9</x:v>
      </x:c>
      <x:c r="G24" s="14">
        <x:f>(G23/(1+Control!$C$60))*Control!$C$61+((Control!$C$52+(IF(G7&gt;0,1,0)+IF(G8&gt;0,1,0)+IF(G9&gt;0,1,0)+IF(G10&gt;0,1,0)+IF(G11&gt;0,1,0))*Control!$C$54+(G5*Control!$C$56)+(G5*Control!$C$58))*Control!$C$63*12)+(((IF(G7&gt;0,1,0)+IF(G8&gt;0,1,0)+IF(G9&gt;0,1,0)+IF(G10&gt;0,1,0)+IF(G11&gt;0,1,0))*Control!$C$64*12))+(Control!$C$67*12)+(Control!$C$66*12)+(Control!$C$65*12)</x:f>
        <x:v>24723</x:v>
      </x:c>
      <x:c r="H24" s="14">
        <x:f>(H23/(1+Control!$C$60))*Control!$C$61+((Control!$C$52+(IF(H7&gt;0,1,0)+IF(H8&gt;0,1,0)+IF(H9&gt;0,1,0)+IF(H10&gt;0,1,0)+IF(H11&gt;0,1,0))*Control!$C$54+(H5*Control!$C$56)+(H5*Control!$C$58))*Control!$C$63*12)+(((IF(H7&gt;0,1,0)+IF(H8&gt;0,1,0)+IF(H9&gt;0,1,0)+IF(H10&gt;0,1,0)+IF(H11&gt;0,1,0))*Control!$C$64*12))+(Control!$C$67*12)+(Control!$C$66*12)+(Control!$C$65*12)</x:f>
        <x:v>38508</x:v>
      </x:c>
      <x:c r="I24" s="14">
        <x:f>(I23/(1+Control!$C$60))*Control!$C$61+((Control!$C$52+(IF(I7&gt;0,1,0)+IF(I8&gt;0,1,0)+IF(I9&gt;0,1,0)+IF(I10&gt;0,1,0)+IF(I11&gt;0,1,0))*Control!$C$54+(I5*Control!$C$56)+(I5*Control!$C$58))*Control!$C$63*12)+(((IF(I7&gt;0,1,0)+IF(I8&gt;0,1,0)+IF(I9&gt;0,1,0)+IF(I10&gt;0,1,0)+IF(I11&gt;0,1,0))*Control!$C$64*12))+(Control!$C$67*12)+(Control!$C$66*12)+(Control!$C$65*12)</x:f>
        <x:v>44022</x:v>
      </x:c>
      <x:c r="J24" s="14">
        <x:f>(J23/(1+Control!$C$60))*Control!$C$61+((Control!$C$52+(IF(J7&gt;0,1,0)+IF(J8&gt;0,1,0)+IF(J9&gt;0,1,0)+IF(J10&gt;0,1,0)+IF(J11&gt;0,1,0))*Control!$C$54+(J5*Control!$C$56)+(J5*Control!$C$58))*Control!$C$63*12)+(((IF(J7&gt;0,1,0)+IF(J8&gt;0,1,0)+IF(J9&gt;0,1,0)+IF(J10&gt;0,1,0)+IF(J11&gt;0,1,0))*Control!$C$64*12))+(Control!$C$67*12)+(Control!$C$66*12)+(Control!$C$65*12)</x:f>
        <x:v>49536</x:v>
      </x:c>
      <x:c r="K24" s="14">
        <x:f>(K23/(1+Control!$C$60))*Control!$C$61+((Control!$C$52+(IF(K7&gt;0,1,0)+IF(K8&gt;0,1,0)+IF(K9&gt;0,1,0)+IF(K10&gt;0,1,0)+IF(K11&gt;0,1,0))*Control!$C$54+(K5*Control!$C$56)+(K5*Control!$C$58))*Control!$C$63*12)+(((IF(K7&gt;0,1,0)+IF(K8&gt;0,1,0)+IF(K9&gt;0,1,0)+IF(K10&gt;0,1,0)+IF(K11&gt;0,1,0))*Control!$C$64*12))+(Control!$C$67*12)+(Control!$C$66*12)+(Control!$C$65*12)</x:f>
        <x:v>55050</x:v>
      </x:c>
      <x:c r="L24" s="14">
        <x:f>(L23/(1+Control!$C$60))*Control!$C$61+((Control!$C$52+(IF(L7&gt;0,1,0)+IF(L8&gt;0,1,0)+IF(L9&gt;0,1,0)+IF(L10&gt;0,1,0)+IF(L11&gt;0,1,0))*Control!$C$54+(L5*Control!$C$56)+(L5*Control!$C$58))*Control!$C$63*12)+(((IF(L7&gt;0,1,0)+IF(L8&gt;0,1,0)+IF(L9&gt;0,1,0)+IF(L10&gt;0,1,0)+IF(L11&gt;0,1,0))*Control!$C$64*12))+(Control!$C$67*12)+(Control!$C$66*12)+(Control!$C$65*12)</x:f>
        <x:v>60564</x:v>
      </x:c>
      <x:c r="M24" s="14">
        <x:f>(M23/(1+Control!$C$60))*Control!$C$61+((Control!$C$52+(IF(M7&gt;0,1,0)+IF(M8&gt;0,1,0)+IF(M9&gt;0,1,0)+IF(M10&gt;0,1,0)+IF(M11&gt;0,1,0))*Control!$C$54+(M5*Control!$C$56)+(M5*Control!$C$58))*Control!$C$63*12)+(((IF(M7&gt;0,1,0)+IF(M8&gt;0,1,0)+IF(M9&gt;0,1,0)+IF(M10&gt;0,1,0)+IF(M11&gt;0,1,0))*Control!$C$64*12))+(Control!$C$67*12)+(Control!$C$66*12)+(Control!$C$65*12)</x:f>
        <x:v>60564</x:v>
      </x:c>
      <x:c r="N24" s="14" t="n"/>
      <x:c r="O24" s="14" t="n"/>
    </x:row>
    <x:row r="25">
      <x:c r="A25" s="7" t="inlineStr">
        <x:is>
          <x:t xml:space="preserve">Security / tools / utilities</x:t>
        </x:is>
      </x:c>
      <x:c r="B25" s="5" t="inlineStr">
        <x:is>
          <x:t xml:space="preserve">ZAR'000</x:t>
        </x:is>
      </x:c>
      <x:c r="D25" s="14">
        <x:f>((IF(D7&gt;0,1,0)+IF(D8&gt;0,1,0)+IF(D9&gt;0,1,0)+IF(D10&gt;0,1,0)+IF(D11&gt;0,1,0))*Control!$C$69*12)+(D5*Control!$C$68*12)+(D5*Control!$C$70*12)</x:f>
        <x:v>12480</x:v>
      </x:c>
      <x:c r="E25" s="14">
        <x:f>((IF(E7&gt;0,1,0)+IF(E8&gt;0,1,0)+IF(E9&gt;0,1,0)+IF(E10&gt;0,1,0)+IF(E11&gt;0,1,0))*Control!$C$69*12)+(E5*Control!$C$68*12)+(E5*Control!$C$70*12)</x:f>
        <x:v>66240</x:v>
      </x:c>
      <x:c r="F25" s="14">
        <x:f>((IF(F7&gt;0,1,0)+IF(F8&gt;0,1,0)+IF(F9&gt;0,1,0)+IF(F10&gt;0,1,0)+IF(F11&gt;0,1,0))*Control!$C$69*12)+(F5*Control!$C$68*12)+(F5*Control!$C$70*12)</x:f>
        <x:v>163680</x:v>
      </x:c>
      <x:c r="G25" s="14">
        <x:f>((IF(G7&gt;0,1,0)+IF(G8&gt;0,1,0)+IF(G9&gt;0,1,0)+IF(G10&gt;0,1,0)+IF(G11&gt;0,1,0))*Control!$C$69*12)+(G5*Control!$C$68*12)+(G5*Control!$C$70*12)</x:f>
        <x:v>240960</x:v>
      </x:c>
      <x:c r="H25" s="14">
        <x:f>((IF(H7&gt;0,1,0)+IF(H8&gt;0,1,0)+IF(H9&gt;0,1,0)+IF(H10&gt;0,1,0)+IF(H11&gt;0,1,0))*Control!$C$69*12)+(H5*Control!$C$68*12)+(H5*Control!$C$70*12)</x:f>
        <x:v>408960</x:v>
      </x:c>
      <x:c r="I25" s="14">
        <x:f>((IF(I7&gt;0,1,0)+IF(I8&gt;0,1,0)+IF(I9&gt;0,1,0)+IF(I10&gt;0,1,0)+IF(I11&gt;0,1,0))*Control!$C$69*12)+(I5*Control!$C$68*12)+(I5*Control!$C$70*12)</x:f>
        <x:v>476160</x:v>
      </x:c>
      <x:c r="J25" s="14">
        <x:f>((IF(J7&gt;0,1,0)+IF(J8&gt;0,1,0)+IF(J9&gt;0,1,0)+IF(J10&gt;0,1,0)+IF(J11&gt;0,1,0))*Control!$C$69*12)+(J5*Control!$C$68*12)+(J5*Control!$C$70*12)</x:f>
        <x:v>543360</x:v>
      </x:c>
      <x:c r="K25" s="14">
        <x:f>((IF(K7&gt;0,1,0)+IF(K8&gt;0,1,0)+IF(K9&gt;0,1,0)+IF(K10&gt;0,1,0)+IF(K11&gt;0,1,0))*Control!$C$69*12)+(K5*Control!$C$68*12)+(K5*Control!$C$70*12)</x:f>
        <x:v>610560</x:v>
      </x:c>
      <x:c r="L25" s="14">
        <x:f>((IF(L7&gt;0,1,0)+IF(L8&gt;0,1,0)+IF(L9&gt;0,1,0)+IF(L10&gt;0,1,0)+IF(L11&gt;0,1,0))*Control!$C$69*12)+(L5*Control!$C$68*12)+(L5*Control!$C$70*12)</x:f>
        <x:v>677760</x:v>
      </x:c>
      <x:c r="M25" s="14">
        <x:f>((IF(M7&gt;0,1,0)+IF(M8&gt;0,1,0)+IF(M9&gt;0,1,0)+IF(M10&gt;0,1,0)+IF(M11&gt;0,1,0))*Control!$C$69*12)+(M5*Control!$C$68*12)+(M5*Control!$C$70*12)</x:f>
        <x:v>677760</x:v>
      </x:c>
      <x:c r="N25" s="14" t="n"/>
      <x:c r="O25" s="14" t="n"/>
    </x:row>
    <x:row r="26">
      <x:c r="A26" s="19" t="inlineStr">
        <x:is>
          <x:t xml:space="preserve">Total cash opex</x:t>
        </x:is>
      </x:c>
      <x:c r="B26" s="20" t="inlineStr">
        <x:is>
          <x:t xml:space="preserve">ZAR'000</x:t>
        </x:is>
      </x:c>
      <x:c r="C26" s="21" t="n"/>
      <x:c r="D26" s="22">
        <x:f>D21+D23+D24+D25</x:f>
        <x:v>145605.65</x:v>
      </x:c>
      <x:c r="E26" s="22">
        <x:f>E21+E23+E24+E25</x:f>
        <x:v>1182097.6</x:v>
      </x:c>
      <x:c r="F26" s="22">
        <x:f>F21+F23+F24+F25</x:f>
        <x:v>2829710.9</x:v>
      </x:c>
      <x:c r="G26" s="22">
        <x:f>G21+G23+G24+G25</x:f>
        <x:v>3830350.5</x:v>
      </x:c>
      <x:c r="H26" s="22">
        <x:f>H21+H23+H24+H25</x:f>
        <x:v>6967385.5</x:v>
      </x:c>
      <x:c r="I26" s="22">
        <x:f>I21+I23+I24+I25</x:f>
        <x:v>7996489.5</x:v>
      </x:c>
      <x:c r="J26" s="22">
        <x:f>J21+J23+J24+J25</x:f>
        <x:v>9025593.5</x:v>
      </x:c>
      <x:c r="K26" s="22">
        <x:f>K21+K23+K24+K25</x:f>
        <x:v>10203735</x:v>
      </x:c>
      <x:c r="L26" s="22">
        <x:f>L21+L23+L24+L25</x:f>
        <x:v>11565589</x:v>
      </x:c>
      <x:c r="M26" s="22">
        <x:f>M21+M23+M24+M25</x:f>
        <x:v>11469231.5</x:v>
      </x:c>
      <x:c r="N26" s="22" t="n"/>
      <x:c r="O26" s="22" t="n"/>
    </x:row>
    <x:row r="27">
      <x:c r="A27" s="2" t="inlineStr">
        <x:is>
          <x:t xml:space="preserve">EBITDA</x:t>
        </x:is>
      </x:c>
      <x:c r="B27" s="5" t="inlineStr">
        <x:is>
          <x:t xml:space="preserve">ZAR'000</x:t>
        </x:is>
      </x:c>
      <x:c r="D27" s="14">
        <x:f>D13-D26</x:f>
        <x:v>136149.36488095243</x:v>
      </x:c>
      <x:c r="E27" s="14">
        <x:f>E13-E26</x:f>
        <x:v>1313590.6556935823</x:v>
      </x:c>
      <x:c r="F27" s="14">
        <x:f>F13-F26</x:f>
        <x:v>3434871.1197587564</x:v>
      </x:c>
      <x:c r="G27" s="14">
        <x:f>G13-G26</x:f>
        <x:v>5100540.3123456575</x:v>
      </x:c>
      <x:c r="H27" s="14">
        <x:f>H13-H26</x:f>
        <x:v>7701057.806207402</x:v>
      </x:c>
      <x:c r="I27" s="14">
        <x:f>I13-I26</x:f>
        <x:v>8370582.579035023</x:v>
      </x:c>
      <x:c r="J27" s="14">
        <x:f>J13-J26</x:f>
        <x:v>8864671.875763811</x:v>
      </x:c>
      <x:c r="K27" s="14">
        <x:f>K13-K26</x:f>
        <x:v>9046332.436710835</x:v>
      </x:c>
      <x:c r="L27" s="14">
        <x:f>L13-L26</x:f>
        <x:v>8892217.813008841</x:v>
      </x:c>
      <x:c r="M27" s="14">
        <x:f>M13-M26</x:f>
        <x:v>8088757.309346512</x:v>
      </x:c>
      <x:c r="N27" s="14" t="n"/>
      <x:c r="O27" s="14" t="n"/>
    </x:row>
    <x:row r="29">
      <x:c r="A29" s="7" t="inlineStr">
        <x:is>
          <x:t xml:space="preserve">New MW</x:t>
        </x:is>
      </x:c>
      <x:c r="B29" s="5" t="inlineStr">
        <x:is>
          <x:t xml:space="preserve">MW</x:t>
        </x:is>
      </x:c>
      <x:c r="D29" s="14">
        <x:f>'10Y_Ramp'!D12</x:f>
        <x:v>20</x:v>
      </x:c>
      <x:c r="E29" s="14">
        <x:f>MAX('10Y_Ramp'!E12-'10Y_Ramp'!D12,0)</x:f>
        <x:v>160</x:v>
      </x:c>
      <x:c r="F29" s="14">
        <x:f>MAX('10Y_Ramp'!F12-'10Y_Ramp'!E12,0)</x:f>
        <x:v>290</x:v>
      </x:c>
      <x:c r="G29" s="14">
        <x:f>MAX('10Y_Ramp'!G12-'10Y_Ramp'!F12,0)</x:f>
        <x:v>230</x:v>
      </x:c>
      <x:c r="H29" s="14">
        <x:f>MAX('10Y_Ramp'!H12-'10Y_Ramp'!G12,0)</x:f>
        <x:v>500</x:v>
      </x:c>
      <x:c r="I29" s="14">
        <x:f>MAX('10Y_Ramp'!I12-'10Y_Ramp'!H12,0)</x:f>
        <x:v>200</x:v>
      </x:c>
      <x:c r="J29" s="14">
        <x:f>MAX('10Y_Ramp'!J12-'10Y_Ramp'!I12,0)</x:f>
        <x:v>200</x:v>
      </x:c>
      <x:c r="K29" s="14">
        <x:f>MAX('10Y_Ramp'!K12-'10Y_Ramp'!J12,0)</x:f>
        <x:v>200</x:v>
      </x:c>
      <x:c r="L29" s="14">
        <x:f>MAX('10Y_Ramp'!L12-'10Y_Ramp'!K12,0)</x:f>
        <x:v>200</x:v>
      </x:c>
      <x:c r="M29" s="14">
        <x:f>MAX('10Y_Ramp'!M12-'10Y_Ramp'!L12,0)</x:f>
        <x:v>0</x:v>
      </x:c>
      <x:c r="N29" s="14" t="n"/>
      <x:c r="O29" s="14" t="n"/>
    </x:row>
    <x:row r="30">
      <x:c r="A30" s="7" t="inlineStr">
        <x:is>
          <x:t xml:space="preserve">New solar MW</x:t>
        </x:is>
      </x:c>
      <x:c r="B30" s="5" t="inlineStr">
        <x:is>
          <x:t xml:space="preserve">MW</x:t>
        </x:is>
      </x:c>
      <x:c r="D30" s="14">
        <x:f>'10Y_Ramp'!D19</x:f>
        <x:v>10</x:v>
      </x:c>
      <x:c r="E30" s="14">
        <x:f>MAX('10Y_Ramp'!E19-'10Y_Ramp'!D19,0)</x:f>
        <x:v>170</x:v>
      </x:c>
      <x:c r="F30" s="14">
        <x:f>MAX('10Y_Ramp'!F19-'10Y_Ramp'!E19,0)</x:f>
        <x:v>120</x:v>
      </x:c>
      <x:c r="G30" s="14">
        <x:f>MAX('10Y_Ramp'!G19-'10Y_Ramp'!F19,0)</x:f>
        <x:v>120</x:v>
      </x:c>
      <x:c r="H30" s="14">
        <x:f>MAX('10Y_Ramp'!H19-'10Y_Ramp'!G19,0)</x:f>
        <x:v>120</x:v>
      </x:c>
      <x:c r="I30" s="14">
        <x:f>MAX('10Y_Ramp'!I19-'10Y_Ramp'!H19,0)</x:f>
        <x:v>120</x:v>
      </x:c>
      <x:c r="J30" s="14">
        <x:f>MAX('10Y_Ramp'!J19-'10Y_Ramp'!I19,0)</x:f>
        <x:v>120</x:v>
      </x:c>
      <x:c r="K30" s="14">
        <x:f>MAX('10Y_Ramp'!K19-'10Y_Ramp'!J19,0)</x:f>
        <x:v>70</x:v>
      </x:c>
      <x:c r="L30" s="14">
        <x:f>MAX('10Y_Ramp'!L19-'10Y_Ramp'!K19,0)</x:f>
        <x:v>20</x:v>
      </x:c>
      <x:c r="M30" s="14">
        <x:f>MAX('10Y_Ramp'!M19-'10Y_Ramp'!L19,0)</x:f>
        <x:v>30</x:v>
      </x:c>
      <x:c r="N30" s="14" t="n"/>
      <x:c r="O30" s="14" t="n"/>
    </x:row>
    <x:row r="31">
      <x:c r="A31" s="7" t="inlineStr">
        <x:is>
          <x:t xml:space="preserve">New containers</x:t>
        </x:is>
      </x:c>
      <x:c r="B31" s="5" t="inlineStr">
        <x:is>
          <x:t xml:space="preserve">containers</x:t>
        </x:is>
      </x:c>
      <x:c r="D31" s="14">
        <x:f>ROUNDUP(D29/Control!$C$37,0)</x:f>
        <x:v>10</x:v>
      </x:c>
      <x:c r="E31" s="14">
        <x:f>ROUNDUP(E29/Control!$C$37,0)</x:f>
        <x:v>73</x:v>
      </x:c>
      <x:c r="F31" s="14">
        <x:f>ROUNDUP(F29/Control!$C$37,0)</x:f>
        <x:v>132</x:v>
      </x:c>
      <x:c r="G31" s="14">
        <x:f>ROUNDUP(G29/Control!$C$37,0)</x:f>
        <x:v>105</x:v>
      </x:c>
      <x:c r="H31" s="14">
        <x:f>ROUNDUP(H29/Control!$C$37,0)</x:f>
        <x:v>227</x:v>
      </x:c>
      <x:c r="I31" s="14">
        <x:f>ROUNDUP(I29/Control!$C$37,0)</x:f>
        <x:v>91</x:v>
      </x:c>
      <x:c r="J31" s="14">
        <x:f>ROUNDUP(J29/Control!$C$37,0)</x:f>
        <x:v>91</x:v>
      </x:c>
      <x:c r="K31" s="14">
        <x:f>ROUNDUP(K29/Control!$C$37,0)</x:f>
        <x:v>91</x:v>
      </x:c>
      <x:c r="L31" s="14">
        <x:f>ROUNDUP(L29/Control!$C$37,0)</x:f>
        <x:v>91</x:v>
      </x:c>
      <x:c r="M31" s="14">
        <x:f>ROUNDUP(M29/Control!$C$37,0)</x:f>
        <x:v>0</x:v>
      </x:c>
      <x:c r="N31" s="14" t="n"/>
      <x:c r="O31" s="14" t="n"/>
    </x:row>
    <x:row r="32">
      <x:c r="A32" s="7" t="inlineStr">
        <x:is>
          <x:t xml:space="preserve">Miner capex</x:t>
        </x:is>
      </x:c>
      <x:c r="B32" s="5" t="inlineStr">
        <x:is>
          <x:t xml:space="preserve">ZAR'000</x:t>
        </x:is>
      </x:c>
      <x:c r="D32" s="14">
        <x:f>(D29/(1+Control!$C$34))*1000000/Control!$C$32*Control!$C$33*Control!$C$4/1000</x:f>
        <x:v>218895.2380952381</x:v>
      </x:c>
      <x:c r="E32" s="14">
        <x:f>(E29/(1+Control!$C$34))*1000000/Control!$C$32*Control!$C$33*Control!$C$4/1000</x:f>
        <x:v>1751161.9047619049</x:v>
      </x:c>
      <x:c r="F32" s="14">
        <x:f>(F29/(1+Control!$C$34))*1000000/Control!$C$32*Control!$C$33*Control!$C$4/1000</x:f>
        <x:v>3173980.952380952</x:v>
      </x:c>
      <x:c r="G32" s="14">
        <x:f>(G29/(1+Control!$C$34))*1000000/Control!$C$32*Control!$C$33*Control!$C$4/1000</x:f>
        <x:v>2517295.2380952383</x:v>
      </x:c>
      <x:c r="H32" s="14">
        <x:f>(H29/(1+Control!$C$34))*1000000/Control!$C$32*Control!$C$33*Control!$C$4/1000</x:f>
        <x:v>5472380.9523809515</x:v>
      </x:c>
      <x:c r="I32" s="14">
        <x:f>(I29/(1+Control!$C$34))*1000000/Control!$C$32*Control!$C$33*Control!$C$4/1000</x:f>
        <x:v>2188952.380952381</x:v>
      </x:c>
      <x:c r="J32" s="14">
        <x:f>(J29/(1+Control!$C$34))*1000000/Control!$C$32*Control!$C$33*Control!$C$4/1000</x:f>
        <x:v>2188952.380952381</x:v>
      </x:c>
      <x:c r="K32" s="14">
        <x:f>(K29/(1+Control!$C$34))*1000000/Control!$C$32*Control!$C$33*Control!$C$4/1000</x:f>
        <x:v>2188952.380952381</x:v>
      </x:c>
      <x:c r="L32" s="14">
        <x:f>(L29/(1+Control!$C$34))*1000000/Control!$C$32*Control!$C$33*Control!$C$4/1000</x:f>
        <x:v>2188952.380952381</x:v>
      </x:c>
      <x:c r="M32" s="14">
        <x:f>(M29/(1+Control!$C$34))*1000000/Control!$C$32*Control!$C$33*Control!$C$4/1000</x:f>
        <x:v>0</x:v>
      </x:c>
      <x:c r="N32" s="14" t="n"/>
      <x:c r="O32" s="14" t="n"/>
    </x:row>
    <x:row r="33">
      <x:c r="A33" s="7" t="inlineStr">
        <x:is>
          <x:t xml:space="preserve">Container capex</x:t>
        </x:is>
      </x:c>
      <x:c r="B33" s="5" t="inlineStr">
        <x:is>
          <x:t xml:space="preserve">ZAR'000</x:t>
        </x:is>
      </x:c>
      <x:c r="D33" s="14">
        <x:f>D31*Control!$C$36*Control!$C$4/1000</x:f>
        <x:v>59500</x:v>
      </x:c>
      <x:c r="E33" s="14">
        <x:f>E31*Control!$C$36*Control!$C$4/1000</x:f>
        <x:v>434350</x:v>
      </x:c>
      <x:c r="F33" s="14">
        <x:f>F31*Control!$C$36*Control!$C$4/1000</x:f>
        <x:v>785400</x:v>
      </x:c>
      <x:c r="G33" s="14">
        <x:f>G31*Control!$C$36*Control!$C$4/1000</x:f>
        <x:v>624750</x:v>
      </x:c>
      <x:c r="H33" s="14">
        <x:f>H31*Control!$C$36*Control!$C$4/1000</x:f>
        <x:v>1350650</x:v>
      </x:c>
      <x:c r="I33" s="14">
        <x:f>I31*Control!$C$36*Control!$C$4/1000</x:f>
        <x:v>541450</x:v>
      </x:c>
      <x:c r="J33" s="14">
        <x:f>J31*Control!$C$36*Control!$C$4/1000</x:f>
        <x:v>541450</x:v>
      </x:c>
      <x:c r="K33" s="14">
        <x:f>K31*Control!$C$36*Control!$C$4/1000</x:f>
        <x:v>541450</x:v>
      </x:c>
      <x:c r="L33" s="14">
        <x:f>L31*Control!$C$36*Control!$C$4/1000</x:f>
        <x:v>541450</x:v>
      </x:c>
      <x:c r="M33" s="14">
        <x:f>M31*Control!$C$36*Control!$C$4/1000</x:f>
        <x:v>0</x:v>
      </x:c>
      <x:c r="N33" s="14" t="n"/>
      <x:c r="O33" s="14" t="n"/>
    </x:row>
    <x:row r="34">
      <x:c r="A34" s="7" t="inlineStr">
        <x:is>
          <x:t xml:space="preserve">Electrical/BOS capex</x:t>
        </x:is>
      </x:c>
      <x:c r="B34" s="5" t="inlineStr">
        <x:is>
          <x:t xml:space="preserve">ZAR'000</x:t>
        </x:is>
      </x:c>
      <x:c r="D34" s="14">
        <x:f>D29*Control!$C$39</x:f>
        <x:v>100000</x:v>
      </x:c>
      <x:c r="E34" s="14">
        <x:f>E29*Control!$C$39</x:f>
        <x:v>800000</x:v>
      </x:c>
      <x:c r="F34" s="14">
        <x:f>F29*Control!$C$39</x:f>
        <x:v>1450000</x:v>
      </x:c>
      <x:c r="G34" s="14">
        <x:f>G29*Control!$C$39</x:f>
        <x:v>1150000</x:v>
      </x:c>
      <x:c r="H34" s="14">
        <x:f>H29*Control!$C$39</x:f>
        <x:v>2500000</x:v>
      </x:c>
      <x:c r="I34" s="14">
        <x:f>I29*Control!$C$39</x:f>
        <x:v>1000000</x:v>
      </x:c>
      <x:c r="J34" s="14">
        <x:f>J29*Control!$C$39</x:f>
        <x:v>1000000</x:v>
      </x:c>
      <x:c r="K34" s="14">
        <x:f>K29*Control!$C$39</x:f>
        <x:v>1000000</x:v>
      </x:c>
      <x:c r="L34" s="14">
        <x:f>L29*Control!$C$39</x:f>
        <x:v>1000000</x:v>
      </x:c>
      <x:c r="M34" s="14">
        <x:f>M29*Control!$C$39</x:f>
        <x:v>0</x:v>
      </x:c>
      <x:c r="N34" s="14" t="n"/>
      <x:c r="O34" s="14" t="n"/>
    </x:row>
    <x:row r="35">
      <x:c r="A35" s="7" t="inlineStr">
        <x:is>
          <x:t xml:space="preserve">Solar capex</x:t>
        </x:is>
      </x:c>
      <x:c r="B35" s="5" t="inlineStr">
        <x:is>
          <x:t xml:space="preserve">ZAR'000</x:t>
        </x:is>
      </x:c>
      <x:c r="D35" s="14">
        <x:f>D30*Control!$C$27</x:f>
        <x:v>70000</x:v>
      </x:c>
      <x:c r="E35" s="14">
        <x:f>E30*Control!$C$27</x:f>
        <x:v>1190000</x:v>
      </x:c>
      <x:c r="F35" s="14">
        <x:f>F30*Control!$C$27</x:f>
        <x:v>840000</x:v>
      </x:c>
      <x:c r="G35" s="14">
        <x:f>G30*Control!$C$27</x:f>
        <x:v>840000</x:v>
      </x:c>
      <x:c r="H35" s="14">
        <x:f>H30*Control!$C$27</x:f>
        <x:v>840000</x:v>
      </x:c>
      <x:c r="I35" s="14">
        <x:f>I30*Control!$C$27</x:f>
        <x:v>840000</x:v>
      </x:c>
      <x:c r="J35" s="14">
        <x:f>J30*Control!$C$27</x:f>
        <x:v>840000</x:v>
      </x:c>
      <x:c r="K35" s="14">
        <x:f>K30*Control!$C$27</x:f>
        <x:v>490000</x:v>
      </x:c>
      <x:c r="L35" s="14">
        <x:f>L30*Control!$C$27</x:f>
        <x:v>140000</x:v>
      </x:c>
      <x:c r="M35" s="14">
        <x:f>M30*Control!$C$27</x:f>
        <x:v>210000</x:v>
      </x:c>
      <x:c r="N35" s="14" t="n"/>
      <x:c r="O35" s="14" t="n"/>
    </x:row>
    <x:row r="36">
      <x:c r="A36" s="7" t="inlineStr">
        <x:is>
          <x:t xml:space="preserve">Logistics / duties / spares</x:t>
        </x:is>
      </x:c>
      <x:c r="B36" s="5" t="inlineStr">
        <x:is>
          <x:t xml:space="preserve">ZAR'000</x:t>
        </x:is>
      </x:c>
      <x:c r="D36" s="14">
        <x:f>(D31*Control!$C$40*Control!$C$4/1000)+(D31*(Control!$C$41+Control!$C$42+Control!$C$43))+((D32+D33)*(Control!$C$44+Control!$C$45+Control!$C$46))+((IF(D7&gt;0,1,0)+IF(D8&gt;0,1,0)+IF(D9&gt;0,1,0)+IF(D10&gt;0,1,0)+IF(D11&gt;0,1,0))*Control!$C$47*0.25)</x:f>
        <x:v>28081.61904761905</x:v>
      </x:c>
      <x:c r="E36" s="14">
        <x:f>(E31*Control!$C$40*Control!$C$4/1000)+(E31*(Control!$C$41+Control!$C$42+Control!$C$43))+((E32+E33)*(Control!$C$44+Control!$C$45+Control!$C$46))+((IF(E7&gt;0,1,0)+IF(E8&gt;0,1,0)+IF(E9&gt;0,1,0)+IF(E10&gt;0,1,0)+IF(E11&gt;0,1,0))*Control!$C$47*0.25)</x:f>
        <x:v>212528.9523809524</x:v>
      </x:c>
      <x:c r="F36" s="14">
        <x:f>(F31*Control!$C$40*Control!$C$4/1000)+(F31*(Control!$C$41+Control!$C$42+Control!$C$43))+((F32+F33)*(Control!$C$44+Control!$C$45+Control!$C$46))+((IF(F7&gt;0,1,0)+IF(F8&gt;0,1,0)+IF(F9&gt;0,1,0)+IF(F10&gt;0,1,0)+IF(F11&gt;0,1,0))*Control!$C$47*0.25)</x:f>
        <x:v>384292.47619047615</x:v>
      </x:c>
      <x:c r="G36" s="14">
        <x:f>(G31*Control!$C$40*Control!$C$4/1000)+(G31*(Control!$C$41+Control!$C$42+Control!$C$43))+((G32+G33)*(Control!$C$44+Control!$C$45+Control!$C$46))+((IF(G7&gt;0,1,0)+IF(G8&gt;0,1,0)+IF(G9&gt;0,1,0)+IF(G10&gt;0,1,0)+IF(G11&gt;0,1,0))*Control!$C$47*0.25)</x:f>
        <x:v>305243.61904761905</x:v>
      </x:c>
      <x:c r="H36" s="14">
        <x:f>(H31*Control!$C$40*Control!$C$4/1000)+(H31*(Control!$C$41+Control!$C$42+Control!$C$43))+((H32+H33)*(Control!$C$44+Control!$C$45+Control!$C$46))+((IF(H7&gt;0,1,0)+IF(H8&gt;0,1,0)+IF(H9&gt;0,1,0)+IF(H10&gt;0,1,0)+IF(H11&gt;0,1,0))*Control!$C$47*0.25)</x:f>
        <x:v>661454.4761904761</x:v>
      </x:c>
      <x:c r="I36" s="14">
        <x:f>(I31*Control!$C$40*Control!$C$4/1000)+(I31*(Control!$C$41+Control!$C$42+Control!$C$43))+((I32+I33)*(Control!$C$44+Control!$C$45+Control!$C$46))+((IF(I7&gt;0,1,0)+IF(I8&gt;0,1,0)+IF(I9&gt;0,1,0)+IF(I10&gt;0,1,0)+IF(I11&gt;0,1,0))*Control!$C$47*0.25)</x:f>
        <x:v>265228.19047619053</x:v>
      </x:c>
      <x:c r="J36" s="14">
        <x:f>(J31*Control!$C$40*Control!$C$4/1000)+(J31*(Control!$C$41+Control!$C$42+Control!$C$43))+((J32+J33)*(Control!$C$44+Control!$C$45+Control!$C$46))+((IF(J7&gt;0,1,0)+IF(J8&gt;0,1,0)+IF(J9&gt;0,1,0)+IF(J10&gt;0,1,0)+IF(J11&gt;0,1,0))*Control!$C$47*0.25)</x:f>
        <x:v>265228.19047619053</x:v>
      </x:c>
      <x:c r="K36" s="14">
        <x:f>(K31*Control!$C$40*Control!$C$4/1000)+(K31*(Control!$C$41+Control!$C$42+Control!$C$43))+((K32+K33)*(Control!$C$44+Control!$C$45+Control!$C$46))+((IF(K7&gt;0,1,0)+IF(K8&gt;0,1,0)+IF(K9&gt;0,1,0)+IF(K10&gt;0,1,0)+IF(K11&gt;0,1,0))*Control!$C$47*0.25)</x:f>
        <x:v>265228.19047619053</x:v>
      </x:c>
      <x:c r="L36" s="14">
        <x:f>(L31*Control!$C$40*Control!$C$4/1000)+(L31*(Control!$C$41+Control!$C$42+Control!$C$43))+((L32+L33)*(Control!$C$44+Control!$C$45+Control!$C$46))+((IF(L7&gt;0,1,0)+IF(L8&gt;0,1,0)+IF(L9&gt;0,1,0)+IF(L10&gt;0,1,0)+IF(L11&gt;0,1,0))*Control!$C$47*0.25)</x:f>
        <x:v>265228.19047619053</x:v>
      </x:c>
      <x:c r="M36" s="14">
        <x:f>(M31*Control!$C$40*Control!$C$4/1000)+(M31*(Control!$C$41+Control!$C$42+Control!$C$43))+((M32+M33)*(Control!$C$44+Control!$C$45+Control!$C$46))+((IF(M7&gt;0,1,0)+IF(M8&gt;0,1,0)+IF(M9&gt;0,1,0)+IF(M10&gt;0,1,0)+IF(M11&gt;0,1,0))*Control!$C$47*0.25)</x:f>
        <x:v>750</x:v>
      </x:c>
      <x:c r="N36" s="14" t="n"/>
      <x:c r="O36" s="14" t="n"/>
    </x:row>
    <x:row r="37">
      <x:c r="A37" s="19" t="inlineStr">
        <x:is>
          <x:t xml:space="preserve">Total capex</x:t>
        </x:is>
      </x:c>
      <x:c r="B37" s="20" t="inlineStr">
        <x:is>
          <x:t xml:space="preserve">ZAR'000</x:t>
        </x:is>
      </x:c>
      <x:c r="C37" s="21" t="n"/>
      <x:c r="D37" s="22">
        <x:f>D32+D33+D34+D35+D36</x:f>
        <x:v>476476.85714285716</x:v>
      </x:c>
      <x:c r="E37" s="22">
        <x:f>E32+E33+E34+E35+E36</x:f>
        <x:v>4388040.857142857</x:v>
      </x:c>
      <x:c r="F37" s="22">
        <x:f>F32+F33+F34+F35+F36</x:f>
        <x:v>6633673.428571427</x:v>
      </x:c>
      <x:c r="G37" s="22">
        <x:f>G32+G33+G34+G35+G36</x:f>
        <x:v>5437288.857142858</x:v>
      </x:c>
      <x:c r="H37" s="22">
        <x:f>H32+H33+H34+H35+H36</x:f>
        <x:v>10824485.428571427</x:v>
      </x:c>
      <x:c r="I37" s="22">
        <x:f>I32+I33+I34+I35+I36</x:f>
        <x:v>4835630.571428571</x:v>
      </x:c>
      <x:c r="J37" s="22">
        <x:f>J32+J33+J34+J35+J36</x:f>
        <x:v>4835630.571428571</x:v>
      </x:c>
      <x:c r="K37" s="22">
        <x:f>K32+K33+K34+K35+K36</x:f>
        <x:v>4485630.571428571</x:v>
      </x:c>
      <x:c r="L37" s="22">
        <x:f>L32+L33+L34+L35+L36</x:f>
        <x:v>4135630.571428572</x:v>
      </x:c>
      <x:c r="M37" s="22">
        <x:f>M32+M33+M34+M35+M36</x:f>
        <x:v>210750</x:v>
      </x:c>
      <x:c r="N37" s="22" t="n"/>
      <x:c r="O37" s="22" t="n"/>
    </x:row>
    <x:row r="38">
      <x:c r="A38" s="19" t="inlineStr">
        <x:is>
          <x:t xml:space="preserve">Annual cash flow before financing</x:t>
        </x:is>
      </x:c>
      <x:c r="B38" s="20" t="inlineStr">
        <x:is>
          <x:t xml:space="preserve">ZAR'000</x:t>
        </x:is>
      </x:c>
      <x:c r="C38" s="21" t="n"/>
      <x:c r="D38" s="22">
        <x:f>D27-D37</x:f>
        <x:v>-340327.49226190476</x:v>
      </x:c>
      <x:c r="E38" s="22">
        <x:f>E27-E37</x:f>
        <x:v>-3074450.201449275</x:v>
      </x:c>
      <x:c r="F38" s="22">
        <x:f>F27-F37</x:f>
        <x:v>-3198802.308812671</x:v>
      </x:c>
      <x:c r="G38" s="22">
        <x:f>G27-G37</x:f>
        <x:v>-336748.5447972007</x:v>
      </x:c>
      <x:c r="H38" s="22">
        <x:f>H27-H37</x:f>
        <x:v>-3123427.6223640256</x:v>
      </x:c>
      <x:c r="I38" s="22">
        <x:f>I27-I37</x:f>
        <x:v>3534952.0076064523</x:v>
      </x:c>
      <x:c r="J38" s="22">
        <x:f>J27-J37</x:f>
        <x:v>4029041.3043352403</x:v>
      </x:c>
      <x:c r="K38" s="22">
        <x:f>K27-K37</x:f>
        <x:v>4560701.865282264</x:v>
      </x:c>
      <x:c r="L38" s="22">
        <x:f>L27-L37</x:f>
        <x:v>4756587.241580269</x:v>
      </x:c>
      <x:c r="M38" s="22">
        <x:f>M27-M37</x:f>
        <x:v>7878007.309346512</x:v>
      </x:c>
      <x:c r="N38" s="22" t="n"/>
      <x:c r="O38" s="22" t="n"/>
    </x:row>
    <x:row r="40">
      <x:c r="D40">
        <x:f>Control!$C$6</x:f>
        <x:v>75000</x:v>
      </x:c>
      <x:c r="E40">
        <x:f>D40*(1+Control!$C$7)</x:f>
        <x:v>82500</x:v>
      </x:c>
      <x:c r="F40">
        <x:f>E40*(1+Control!$C$7)</x:f>
        <x:v>90750.00000000001</x:v>
      </x:c>
      <x:c r="G40">
        <x:f>F40*(1+Control!$C$7)</x:f>
        <x:v>99825.00000000003</x:v>
      </x:c>
      <x:c r="H40">
        <x:f>G40*(1+Control!$C$7)</x:f>
        <x:v>109807.50000000004</x:v>
      </x:c>
      <x:c r="I40">
        <x:f>H40*(1+Control!$C$7)</x:f>
        <x:v>120788.25000000006</x:v>
      </x:c>
      <x:c r="J40">
        <x:f>I40*(1+Control!$C$7)</x:f>
        <x:v>132867.07500000007</x:v>
      </x:c>
      <x:c r="K40">
        <x:f>J40*(1+Control!$C$7)</x:f>
        <x:v>146153.7825000001</x:v>
      </x:c>
      <x:c r="L40">
        <x:f>K40*(1+Control!$C$7)</x:f>
        <x:v>160769.1607500001</x:v>
      </x:c>
      <x:c r="M40">
        <x:f>L40*(1+Control!$C$7)</x:f>
        <x:v>176846.0768250001</x:v>
      </x:c>
    </x:row>
    <x:row r="41">
      <x:c r="D41">
        <x:f>Control!$C$8</x:f>
        <x:v>900000000</x:v>
      </x:c>
      <x:c r="E41">
        <x:f>D41*(1+Control!$C$9)</x:f>
        <x:v>1034999999.9999999</x:v>
      </x:c>
      <x:c r="F41">
        <x:f>E41*(1+Control!$C$9)</x:f>
        <x:v>1190249999.9999998</x:v>
      </x:c>
      <x:c r="G41">
        <x:f>F41*(1+Control!$C$9)</x:f>
        <x:v>1368787499.9999995</x:v>
      </x:c>
      <x:c r="H41">
        <x:f>G41*(1+Control!$C$9)</x:f>
        <x:v>1574105624.9999993</x:v>
      </x:c>
      <x:c r="I41">
        <x:f>H41*(1+Control!$C$9)</x:f>
        <x:v>1810221468.749999</x:v>
      </x:c>
      <x:c r="J41">
        <x:f>I41*(1+Control!$C$9)</x:f>
        <x:v>2081754689.0624988</x:v>
      </x:c>
      <x:c r="K41">
        <x:f>J41*(1+Control!$C$9)</x:f>
        <x:v>2394017892.4218736</x:v>
      </x:c>
      <x:c r="L41">
        <x:f>K41*(1+Control!$C$9)</x:f>
        <x:v>2753120576.2851543</x:v>
      </x:c>
      <x:c r="M41">
        <x:f>L41*(1+Control!$C$9)</x:f>
        <x:v>3166088662.727927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1d47073e7df241ea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20" customWidth="1"/>
    <x:col min="3" max="3" width="42" customWidth="1"/>
    <x:col min="4" max="4" width="12" customWidth="1"/>
  </x:cols>
  <x:sheetData>
    <x:row r="1">
      <x:c r="A1" s="1" t="inlineStr">
        <x:is>
          <x:t xml:space="preserve">Model Checks</x:t>
        </x:is>
      </x:c>
    </x:row>
    <x:row r="3">
      <x:c r="A3" s="6" t="inlineStr">
        <x:is>
          <x:t xml:space="preserve">Check</x:t>
        </x:is>
      </x:c>
      <x:c r="B3" s="6" t="inlineStr">
        <x:is>
          <x:t xml:space="preserve">Formula / Output</x:t>
        </x:is>
      </x:c>
      <x:c r="C3" s="6" t="inlineStr">
        <x:is>
          <x:t xml:space="preserve">Interpretation</x:t>
        </x:is>
      </x:c>
      <x:c r="D3" s="6" t="inlineStr">
        <x:is>
          <x:t xml:space="preserve">Status</x:t>
        </x:is>
      </x:c>
    </x:row>
    <x:row r="4">
      <x:c r="A4" s="7" t="inlineStr">
        <x:is>
          <x:t xml:space="preserve">Phase 1 total MW closes at 20</x:t>
        </x:is>
      </x:c>
      <x:c r="B4" s="14">
        <x:f>'12M_Deployment'!O8+'12M_Deployment'!O7</x:f>
        <x:v>20</x:v>
      </x:c>
      <x:c r="C4" s="5" t="inlineStr">
        <x:is>
          <x:t xml:space="preserve">Should equal 20MW</x:t>
        </x:is>
      </x:c>
      <x:c r="D4" s="30" t="str">
        <x:f>IF(B4=20,"PASS","CHECK")</x:f>
        <x:v>PASS</x:v>
      </x:c>
    </x:row>
    <x:row r="5">
      <x:c r="A5" s="7" t="inlineStr">
        <x:is>
          <x:t xml:space="preserve">M7DS efficiency input</x:t>
        </x:is>
      </x:c>
      <x:c r="B5" s="14">
        <x:f>Control!C31</x:f>
        <x:v>12.5</x:v>
      </x:c>
      <x:c r="C5" s="5" t="inlineStr">
        <x:is>
          <x:t xml:space="preserve">Should equal 12.5 J/T</x:t>
        </x:is>
      </x:c>
      <x:c r="D5" s="30" t="str">
        <x:f>IF(B5=12.5,"PASS","CHECK")</x:f>
        <x:v>PASS</x:v>
      </x:c>
    </x:row>
    <x:row r="6">
      <x:c r="A6" s="7" t="inlineStr">
        <x:is>
          <x:t xml:space="preserve">Base-case DR revenue</x:t>
        </x:is>
      </x:c>
      <x:c r="B6" s="14">
        <x:f>SUM('12M_Revenue'!D15:O15)</x:f>
        <x:v>0</x:v>
      </x:c>
      <x:c r="C6" s="5" t="inlineStr">
        <x:is>
          <x:t xml:space="preserve">Should be 0 if DR flag is off</x:t>
        </x:is>
      </x:c>
      <x:c r="D6" s="30" t="str">
        <x:f>IF(B6=0,"PASS","CHECK")</x:f>
        <x:v>PASS</x:v>
      </x:c>
    </x:row>
    <x:row r="7">
      <x:c r="A7" s="7" t="inlineStr">
        <x:is>
          <x:t xml:space="preserve">Base-case hyperscaler revenue</x:t>
        </x:is>
      </x:c>
      <x:c r="B7" s="14">
        <x:f>SUM('12M_Revenue'!D18:O18)</x:f>
        <x:v>0</x:v>
      </x:c>
      <x:c r="C7" s="5" t="inlineStr">
        <x:is>
          <x:t xml:space="preserve">Should be 0 if hyperscaler flag is off</x:t>
        </x:is>
      </x:c>
      <x:c r="D7" s="30" t="str">
        <x:f>IF(B7=0,"PASS","CHECK")</x:f>
        <x:v>PASS</x:v>
      </x:c>
    </x:row>
    <x:row r="8">
      <x:c r="A8" s="7" t="inlineStr">
        <x:is>
          <x:t xml:space="preserve">10Y ramp hits 2GW</x:t>
        </x:is>
      </x:c>
      <x:c r="B8" s="14">
        <x:f>'10Y_Ramp'!M12</x:f>
        <x:v>2000</x:v>
      </x:c>
      <x:c r="C8" s="5" t="inlineStr">
        <x:is>
          <x:t xml:space="preserve">Should equal 2,000MW</x:t>
        </x:is>
      </x:c>
      <x:c r="D8" s="30" t="str">
        <x:f>IF(B8=2000,"PASS","CHECK")</x:f>
        <x:v>PASS</x:v>
      </x:c>
    </x:row>
    <x:row r="9">
      <x:c r="A9" s="7" t="inlineStr">
        <x:is>
          <x:t xml:space="preserve">No negative ending cash if funding added</x:t>
        </x:is>
      </x:c>
      <x:c r="B9" s="14">
        <x:f>MIN('12M_Cashflow'!D14:O14)</x:f>
        <x:v>-463357.06087036285</x:v>
      </x:c>
      <x:c r="C9" s="5" t="inlineStr">
        <x:is>
          <x:t xml:space="preserve">Without funding this can be negative; add funding if needed</x:t>
        </x:is>
      </x:c>
      <x:c r="D9" s="30" t="str">
        <x:f>IF(B9&gt;=0,"FUNDED","BURN")</x:f>
        <x:v>BURN</x:v>
      </x:c>
    </x:row>
    <x:row r="10">
      <x:c r="A10" s="7" t="inlineStr">
        <x:is>
          <x:t xml:space="preserve">Phase 1 year-1 BTC mined</x:t>
        </x:is>
      </x:c>
      <x:c r="B10" s="14">
        <x:f>'12M_Cashflow'!C20</x:f>
        <x:v>135.6231560322306</x:v>
      </x:c>
      <x:c r="C10" s="5" t="inlineStr">
        <x:is>
          <x:t xml:space="preserve">Informational</x:t>
        </x:is>
      </x:c>
      <x:c r="D10" s="30" t="inlineStr">
        <x:is>
          <x:t xml:space="preserve">INFO</x:t>
        </x:is>
      </x:c>
    </x:row>
    <x:row r="11">
      <x:c r="A11" s="25" t="inlineStr">
        <x:is>
          <x:t xml:space="preserve">Peak funding required</x:t>
        </x:is>
      </x:c>
      <x:c r="B11" s="31">
        <x:f>'12M_Cashflow'!C25</x:f>
        <x:v>463357.06087036285</x:v>
      </x:c>
      <x:c r="C11" s="21" t="inlineStr">
        <x:is>
          <x:t xml:space="preserve">Informational</x:t>
        </x:is>
      </x:c>
      <x:c r="D11" s="32" t="inlineStr">
        <x:is>
          <x:t xml:space="preserve">INFO</x:t>
        </x:is>
      </x:c>
    </x:row>
  </x:sheetData>
  <x:mergeCells>
    <x:mergeCell ref="A1:D1"/>
  </x:mergeCells>
  <x:pageMargins left="0.7" right="0.7" top="0.75" bottom="0.75" header="0.3" footer="0.3"/>
</x:worksheet>
</file>