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ardware" sheetId="3" state="visible" r:id="rId3"/>
    <sheet xmlns:r="http://schemas.openxmlformats.org/officeDocument/2006/relationships" name="Site_Assumptions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Opex" sheetId="6" state="visible" r:id="rId6"/>
    <sheet xmlns:r="http://schemas.openxmlformats.org/officeDocument/2006/relationships" name="Capex" sheetId="7" state="visible" r:id="rId7"/>
    <sheet xmlns:r="http://schemas.openxmlformats.org/officeDocument/2006/relationships" name="Depreciation" sheetId="8" state="visible" r:id="rId8"/>
    <sheet xmlns:r="http://schemas.openxmlformats.org/officeDocument/2006/relationships" name="Debt" sheetId="9" state="visible" r:id="rId9"/>
    <sheet xmlns:r="http://schemas.openxmlformats.org/officeDocument/2006/relationships" name="Returns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Legacy_Audit_No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4"/>
      </patternFill>
    </fill>
    <fill>
      <patternFill patternType="solid">
        <fgColor rgb="00E21F3D"/>
      </patternFill>
    </fill>
    <fill>
      <patternFill patternType="solid">
        <fgColor rgb="00E2F0D9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  <border>
      <left/>
      <right/>
      <top style="thin">
        <color rgb="00B8C0CC"/>
      </top>
      <bottom/>
      <diagonal/>
    </border>
    <border>
      <left/>
      <right style="thin">
        <color rgb="00B8C0CC"/>
      </right>
      <top style="thin">
        <color rgb="00B8C0CC"/>
      </top>
      <bottom/>
      <diagonal/>
    </border>
    <border>
      <left/>
      <right/>
      <top style="thin">
        <color rgb="00B8C0CC"/>
      </top>
      <bottom style="thin">
        <color rgb="00B8C0CC"/>
      </bottom>
      <diagonal/>
    </border>
    <border>
      <left/>
      <right style="thin">
        <color rgb="00B8C0CC"/>
      </right>
      <top style="thin">
        <color rgb="00B8C0CC"/>
      </top>
      <bottom style="thin">
        <color rgb="00B8C0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4" fontId="5" fillId="7" borderId="1" applyAlignment="1" pivotButton="0" quotePrefix="0" xfId="0">
      <alignment vertical="center" wrapText="1"/>
    </xf>
    <xf numFmtId="4" fontId="5" fillId="6" borderId="1" applyAlignment="1" pivotButton="0" quotePrefix="0" xfId="0">
      <alignment vertical="center" wrapText="1"/>
    </xf>
    <xf numFmtId="10" fontId="5" fillId="7" borderId="1" applyAlignment="1" pivotButton="0" quotePrefix="0" xfId="0">
      <alignment vertical="center" wrapText="1"/>
    </xf>
    <xf numFmtId="10" fontId="5" fillId="6" borderId="1" applyAlignment="1" pivotButton="0" quotePrefix="0" xfId="0">
      <alignment vertical="center" wrapText="1"/>
    </xf>
    <xf numFmtId="3" fontId="5" fillId="7" borderId="1" applyAlignment="1" pivotButton="0" quotePrefix="0" xfId="0">
      <alignment vertical="center" wrapText="1"/>
    </xf>
    <xf numFmtId="3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" fontId="5" fillId="7" borderId="1" applyAlignment="1" pivotButton="0" quotePrefix="0" xfId="0">
      <alignment vertical="center" wrapText="1"/>
    </xf>
    <xf numFmtId="4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BitMach Clean Phase 1 Model (v0.1)</t>
        </is>
      </c>
      <c r="B1" s="25" t="n"/>
      <c r="C1" s="25" t="n"/>
      <c r="D1" s="25" t="n"/>
      <c r="E1" s="25" t="n"/>
      <c r="F1" s="26" t="n"/>
    </row>
    <row r="2" ht="20" customHeight="1">
      <c r="A2" s="4" t="n"/>
      <c r="B2" s="4" t="n"/>
      <c r="C2" s="4" t="n"/>
      <c r="D2" s="4" t="n"/>
      <c r="E2" s="4" t="n"/>
      <c r="F2" s="4" t="n"/>
    </row>
    <row r="3" ht="20" customHeight="1">
      <c r="A3" s="5" t="inlineStr">
        <is>
          <t>Purpose</t>
        </is>
      </c>
      <c r="B3" s="6" t="inlineStr">
        <is>
          <t>Clean rebuild workbook for the Phase 1 proof case (10MW Grootvlei + 10MW AMSA).</t>
        </is>
      </c>
      <c r="C3" s="4" t="n"/>
      <c r="D3" s="4" t="n"/>
      <c r="E3" s="4" t="n"/>
      <c r="F3" s="4" t="n"/>
    </row>
    <row r="4" ht="20" customHeight="1">
      <c r="A4" s="4" t="n"/>
      <c r="B4" s="4" t="n"/>
      <c r="C4" s="4" t="n"/>
      <c r="D4" s="4" t="n"/>
      <c r="E4" s="4" t="n"/>
      <c r="F4" s="4" t="n"/>
    </row>
    <row r="5" ht="20" customHeight="1">
      <c r="A5" s="7" t="inlineStr">
        <is>
          <t>• This workbook is deliberately cleaner and narrower than the legacy file.</t>
        </is>
      </c>
      <c r="B5" s="4" t="n"/>
      <c r="C5" s="4" t="n"/>
      <c r="D5" s="4" t="n"/>
      <c r="E5" s="4" t="n"/>
      <c r="F5" s="4" t="n"/>
    </row>
    <row r="6" ht="20" customHeight="1">
      <c r="A6" s="7" t="inlineStr">
        <is>
          <t>• It is intended as a defendable starting point for an investor-grade operating engine.</t>
        </is>
      </c>
      <c r="B6" s="4" t="n"/>
      <c r="C6" s="4" t="n"/>
      <c r="D6" s="4" t="n"/>
      <c r="E6" s="4" t="n"/>
      <c r="F6" s="4" t="n"/>
    </row>
    <row r="7" ht="20" customHeight="1">
      <c r="A7" s="7" t="inlineStr">
        <is>
          <t>• All currency outputs are in ZAR'000 unless a row explicitly says otherwise.</t>
        </is>
      </c>
      <c r="B7" s="4" t="n"/>
      <c r="C7" s="4" t="n"/>
      <c r="D7" s="4" t="n"/>
      <c r="E7" s="4" t="n"/>
      <c r="F7" s="4" t="n"/>
    </row>
    <row r="8" ht="20" customHeight="1">
      <c r="A8" s="7" t="inlineStr">
        <is>
          <t>• Yellow cells are inputs. White cells are formulas. Red bars are section headers.</t>
        </is>
      </c>
      <c r="B8" s="4" t="n"/>
      <c r="C8" s="4" t="n"/>
      <c r="D8" s="4" t="n"/>
      <c r="E8" s="4" t="n"/>
      <c r="F8" s="4" t="n"/>
    </row>
    <row r="9" ht="20" customHeight="1">
      <c r="A9" s="7" t="inlineStr">
        <is>
          <t>• Demand response revenue is set to zero by default in the base case, consistent with the management memo that treats it as upside / optionality rather than day-one debt support.</t>
        </is>
      </c>
      <c r="B9" s="4" t="n"/>
      <c r="C9" s="4" t="n"/>
      <c r="D9" s="4" t="n"/>
      <c r="E9" s="4" t="n"/>
      <c r="F9" s="4" t="n"/>
    </row>
    <row r="10" ht="20" customHeight="1">
      <c r="A10" s="7" t="inlineStr">
        <is>
          <t>• The default hardware basis is Bitmain S21e XP Hyd using the 2026 Bitmain price list discount indication. Replace with executed commercial terms once finalised.</t>
        </is>
      </c>
      <c r="B10" s="4" t="n"/>
      <c r="C10" s="4" t="n"/>
      <c r="D10" s="4" t="n"/>
      <c r="E10" s="4" t="n"/>
      <c r="F10" s="4" t="n"/>
    </row>
    <row r="11" ht="20" customHeight="1">
      <c r="A11" s="7" t="inlineStr">
        <is>
          <t>• The model is phase-1 oriented. Build a separate portfolio layer only after the pilot economics are validated.</t>
        </is>
      </c>
      <c r="B11" s="4" t="n"/>
      <c r="C11" s="4" t="n"/>
      <c r="D11" s="4" t="n"/>
      <c r="E11" s="4" t="n"/>
      <c r="F11" s="4" t="n"/>
    </row>
    <row r="12" ht="20" customHeight="1">
      <c r="A12" s="4" t="n"/>
      <c r="B12" s="4" t="n"/>
      <c r="C12" s="4" t="n"/>
      <c r="D12" s="4" t="n"/>
      <c r="E12" s="4" t="n"/>
      <c r="F12" s="4" t="n"/>
    </row>
    <row r="13" ht="20" customHeight="1">
      <c r="A13" s="4" t="n"/>
      <c r="B13" s="4" t="n"/>
      <c r="C13" s="4" t="n"/>
      <c r="D13" s="4" t="n"/>
      <c r="E13" s="4" t="n"/>
      <c r="F13" s="4" t="n"/>
    </row>
    <row r="14" ht="20" customHeight="1">
      <c r="A14" s="5" t="inlineStr">
        <is>
          <t>Source anchors used to seed the rebuild</t>
        </is>
      </c>
      <c r="B14" s="4" t="n"/>
      <c r="C14" s="4" t="n"/>
      <c r="D14" s="4" t="n"/>
      <c r="E14" s="4" t="n"/>
      <c r="F14" s="4" t="n"/>
    </row>
    <row r="15" ht="20" customHeight="1">
      <c r="A15" s="8" t="inlineStr">
        <is>
          <t>31 Mar 2026 management memo</t>
        </is>
      </c>
      <c r="B15" s="8" t="inlineStr">
        <is>
          <t>Phase 1 should begin with 10MW Grootvlei + 10MW AMSA, then scale after proof.</t>
        </is>
      </c>
      <c r="C15" s="4" t="n"/>
      <c r="D15" s="4" t="n"/>
      <c r="E15" s="4" t="n"/>
      <c r="F15" s="4" t="n"/>
    </row>
    <row r="16" ht="20" customHeight="1">
      <c r="A16" s="9" t="inlineStr">
        <is>
          <t>Apr 2026 investor presentation</t>
        </is>
      </c>
      <c r="B16" s="9" t="inlineStr">
        <is>
          <t>Phase 1 capex shown at USD32m / R544m and financing stack shown as asset-backed + mezz + equity.</t>
        </is>
      </c>
      <c r="C16" s="4" t="n"/>
      <c r="D16" s="4" t="n"/>
      <c r="E16" s="4" t="n"/>
      <c r="F16" s="4" t="n"/>
    </row>
    <row r="17" ht="20" customHeight="1">
      <c r="A17" s="8" t="inlineStr">
        <is>
          <t>28 Feb 2026 Bitmain price list</t>
        </is>
      </c>
      <c r="B17" s="8" t="inlineStr">
        <is>
          <t>Current Bitmain hydro pricing available for S21e XP Hyd and related models.</t>
        </is>
      </c>
      <c r="C17" s="4" t="n"/>
      <c r="D17" s="4" t="n"/>
      <c r="E17" s="4" t="n"/>
      <c r="F17" s="4" t="n"/>
    </row>
    <row r="18" ht="20" customHeight="1">
      <c r="A18" s="9" t="inlineStr">
        <is>
          <t>25 Mar 2026 TSI cost estimate</t>
        </is>
      </c>
      <c r="B18" s="9" t="inlineStr">
        <is>
          <t>Electrical / instrumentation supply &amp; install quote provides a live BOS reference point.</t>
        </is>
      </c>
      <c r="C18" s="4" t="n"/>
      <c r="D18" s="4" t="n"/>
      <c r="E18" s="4" t="n"/>
      <c r="F18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Global Assumptions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5" t="inlineStr">
        <is>
          <t>Annual market and macro drivers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 ht="20" customHeight="1">
      <c r="A4" s="10" t="inlineStr">
        <is>
          <t>Driver</t>
        </is>
      </c>
      <c r="B4" s="10" t="inlineStr">
        <is>
          <t>Unit</t>
        </is>
      </c>
      <c r="C4" s="10" t="n">
        <v>2026</v>
      </c>
      <c r="D4" s="10" t="n">
        <v>2027</v>
      </c>
      <c r="E4" s="10" t="n">
        <v>2028</v>
      </c>
      <c r="F4" s="10" t="n">
        <v>2029</v>
      </c>
      <c r="G4" s="10" t="n">
        <v>2030</v>
      </c>
      <c r="H4" s="10" t="n">
        <v>2031</v>
      </c>
      <c r="I4" s="10" t="n">
        <v>2032</v>
      </c>
      <c r="J4" s="10" t="n">
        <v>2033</v>
      </c>
      <c r="K4" s="10" t="n">
        <v>2034</v>
      </c>
      <c r="L4" s="10" t="n">
        <v>2035</v>
      </c>
      <c r="M4" s="4" t="n"/>
      <c r="N4" s="4" t="n"/>
    </row>
    <row r="5" ht="20" customHeight="1">
      <c r="A5" s="11" t="inlineStr">
        <is>
          <t>FX (ZAR/USD)</t>
        </is>
      </c>
      <c r="B5" s="8" t="inlineStr">
        <is>
          <t>ZAR/USD</t>
        </is>
      </c>
      <c r="C5" s="12" t="n">
        <v>17</v>
      </c>
      <c r="D5" s="13">
        <f>C5</f>
        <v/>
      </c>
      <c r="E5" s="13">
        <f>D5</f>
        <v/>
      </c>
      <c r="F5" s="13">
        <f>E5</f>
        <v/>
      </c>
      <c r="G5" s="13">
        <f>F5</f>
        <v/>
      </c>
      <c r="H5" s="13">
        <f>G5</f>
        <v/>
      </c>
      <c r="I5" s="13">
        <f>H5</f>
        <v/>
      </c>
      <c r="J5" s="13">
        <f>I5</f>
        <v/>
      </c>
      <c r="K5" s="13">
        <f>J5</f>
        <v/>
      </c>
      <c r="L5" s="13">
        <f>K5</f>
        <v/>
      </c>
      <c r="M5" s="4" t="n"/>
      <c r="N5" s="4" t="n"/>
    </row>
    <row r="6" ht="20" customHeight="1">
      <c r="A6" s="11" t="inlineStr">
        <is>
          <t>BTC price</t>
        </is>
      </c>
      <c r="B6" s="8" t="inlineStr">
        <is>
          <t>ZAR'000/BTC</t>
        </is>
      </c>
      <c r="C6" s="12" t="n">
        <v>1500</v>
      </c>
      <c r="D6" s="13">
        <f>C6*(1+C7)</f>
        <v/>
      </c>
      <c r="E6" s="13">
        <f>D6*(1+D7)</f>
        <v/>
      </c>
      <c r="F6" s="13">
        <f>E6*(1+E7)</f>
        <v/>
      </c>
      <c r="G6" s="13">
        <f>F6*(1+F7)</f>
        <v/>
      </c>
      <c r="H6" s="13">
        <f>G6*(1+G7)</f>
        <v/>
      </c>
      <c r="I6" s="13">
        <f>H6*(1+H7)</f>
        <v/>
      </c>
      <c r="J6" s="13">
        <f>I6*(1+I7)</f>
        <v/>
      </c>
      <c r="K6" s="13">
        <f>J6*(1+J7)</f>
        <v/>
      </c>
      <c r="L6" s="13">
        <f>K6*(1+K7)</f>
        <v/>
      </c>
      <c r="M6" s="4" t="n"/>
      <c r="N6" s="4" t="n"/>
    </row>
    <row r="7" ht="20" customHeight="1">
      <c r="A7" s="11" t="inlineStr">
        <is>
          <t>BTC price growth</t>
        </is>
      </c>
      <c r="B7" s="8" t="inlineStr">
        <is>
          <t>%</t>
        </is>
      </c>
      <c r="C7" s="14" t="n">
        <v>0.2</v>
      </c>
      <c r="D7" s="15">
        <f>MAX(C7-0.02,0.06)</f>
        <v/>
      </c>
      <c r="E7" s="15">
        <f>MAX(D7-0.02,0.06)</f>
        <v/>
      </c>
      <c r="F7" s="15">
        <f>MAX(E7-0.02,0.06)</f>
        <v/>
      </c>
      <c r="G7" s="15">
        <f>MAX(F7-0.02,0.06)</f>
        <v/>
      </c>
      <c r="H7" s="15">
        <f>MAX(G7-0.02,0.06)</f>
        <v/>
      </c>
      <c r="I7" s="15">
        <f>MAX(H7-0.02,0.06)</f>
        <v/>
      </c>
      <c r="J7" s="15">
        <f>MAX(I7-0.02,0.06)</f>
        <v/>
      </c>
      <c r="K7" s="15">
        <f>MAX(J7-0.02,0.06)</f>
        <v/>
      </c>
      <c r="L7" s="15">
        <f>MAX(K7-0.02,0.06)</f>
        <v/>
      </c>
      <c r="M7" s="4" t="n"/>
      <c r="N7" s="4" t="n"/>
    </row>
    <row r="8" ht="20" customHeight="1">
      <c r="A8" s="11" t="inlineStr">
        <is>
          <t>Network hash</t>
        </is>
      </c>
      <c r="B8" s="8" t="inlineStr">
        <is>
          <t>TH/s</t>
        </is>
      </c>
      <c r="C8" s="16" t="n">
        <v>910000000</v>
      </c>
      <c r="D8" s="17">
        <f>C8*(1+C9)</f>
        <v/>
      </c>
      <c r="E8" s="17">
        <f>D8*(1+D9)</f>
        <v/>
      </c>
      <c r="F8" s="17">
        <f>E8*(1+E9)</f>
        <v/>
      </c>
      <c r="G8" s="17">
        <f>F8*(1+F9)</f>
        <v/>
      </c>
      <c r="H8" s="17">
        <f>G8*(1+G9)</f>
        <v/>
      </c>
      <c r="I8" s="17">
        <f>H8*(1+H9)</f>
        <v/>
      </c>
      <c r="J8" s="17">
        <f>I8*(1+I9)</f>
        <v/>
      </c>
      <c r="K8" s="17">
        <f>J8*(1+J9)</f>
        <v/>
      </c>
      <c r="L8" s="17">
        <f>K8*(1+K9)</f>
        <v/>
      </c>
      <c r="M8" s="4" t="n"/>
      <c r="N8" s="4" t="n"/>
    </row>
    <row r="9" ht="20" customHeight="1">
      <c r="A9" s="11" t="inlineStr">
        <is>
          <t>Network hash growth</t>
        </is>
      </c>
      <c r="B9" s="8" t="inlineStr">
        <is>
          <t>%</t>
        </is>
      </c>
      <c r="C9" s="14" t="n">
        <v>0.1</v>
      </c>
      <c r="D9" s="15">
        <f>C9</f>
        <v/>
      </c>
      <c r="E9" s="15">
        <f>D9</f>
        <v/>
      </c>
      <c r="F9" s="15">
        <f>E9</f>
        <v/>
      </c>
      <c r="G9" s="15">
        <f>F9</f>
        <v/>
      </c>
      <c r="H9" s="15">
        <f>G9</f>
        <v/>
      </c>
      <c r="I9" s="15">
        <f>H9</f>
        <v/>
      </c>
      <c r="J9" s="15">
        <f>I9</f>
        <v/>
      </c>
      <c r="K9" s="15">
        <f>J9</f>
        <v/>
      </c>
      <c r="L9" s="15">
        <f>K9</f>
        <v/>
      </c>
      <c r="M9" s="4" t="n"/>
      <c r="N9" s="4" t="n"/>
    </row>
    <row r="10" ht="20" customHeight="1">
      <c r="A10" s="11" t="inlineStr">
        <is>
          <t>Block subsidy</t>
        </is>
      </c>
      <c r="B10" s="8" t="inlineStr">
        <is>
          <t>BTC/block</t>
        </is>
      </c>
      <c r="C10" s="12" t="n">
        <v>3.125</v>
      </c>
      <c r="D10" s="13">
        <f>C10</f>
        <v/>
      </c>
      <c r="E10" s="13">
        <f>D10/2</f>
        <v/>
      </c>
      <c r="F10" s="13">
        <f>E10</f>
        <v/>
      </c>
      <c r="G10" s="13">
        <f>F10</f>
        <v/>
      </c>
      <c r="H10" s="13">
        <f>G10</f>
        <v/>
      </c>
      <c r="I10" s="13">
        <f>H10/2</f>
        <v/>
      </c>
      <c r="J10" s="13">
        <f>I10</f>
        <v/>
      </c>
      <c r="K10" s="13">
        <f>J10</f>
        <v/>
      </c>
      <c r="L10" s="13">
        <f>K10</f>
        <v/>
      </c>
      <c r="M10" s="4" t="n"/>
      <c r="N10" s="4" t="n"/>
    </row>
    <row r="11" ht="20" customHeight="1">
      <c r="A11" s="11" t="inlineStr">
        <is>
          <t>Fee factor on subsidy</t>
        </is>
      </c>
      <c r="B11" s="8" t="inlineStr">
        <is>
          <t>%</t>
        </is>
      </c>
      <c r="C11" s="14" t="n">
        <v>0.1</v>
      </c>
      <c r="D11" s="15">
        <f>C11</f>
        <v/>
      </c>
      <c r="E11" s="15">
        <f>D11</f>
        <v/>
      </c>
      <c r="F11" s="15">
        <f>E11</f>
        <v/>
      </c>
      <c r="G11" s="15">
        <f>F11</f>
        <v/>
      </c>
      <c r="H11" s="15">
        <f>G11</f>
        <v/>
      </c>
      <c r="I11" s="15">
        <f>H11</f>
        <v/>
      </c>
      <c r="J11" s="15">
        <f>I11</f>
        <v/>
      </c>
      <c r="K11" s="15">
        <f>J11</f>
        <v/>
      </c>
      <c r="L11" s="15">
        <f>K11</f>
        <v/>
      </c>
      <c r="M11" s="4" t="n"/>
      <c r="N11" s="4" t="n"/>
    </row>
    <row r="12" ht="20" customHeight="1">
      <c r="A12" s="11" t="inlineStr">
        <is>
          <t>Blocks per day</t>
        </is>
      </c>
      <c r="B12" s="8" t="inlineStr">
        <is>
          <t>blocks/day</t>
        </is>
      </c>
      <c r="C12" s="12" t="n">
        <v>144</v>
      </c>
      <c r="D12" s="13">
        <f>C12</f>
        <v/>
      </c>
      <c r="E12" s="13">
        <f>D12</f>
        <v/>
      </c>
      <c r="F12" s="13">
        <f>E12</f>
        <v/>
      </c>
      <c r="G12" s="13">
        <f>F12</f>
        <v/>
      </c>
      <c r="H12" s="13">
        <f>G12</f>
        <v/>
      </c>
      <c r="I12" s="13">
        <f>H12</f>
        <v/>
      </c>
      <c r="J12" s="13">
        <f>I12</f>
        <v/>
      </c>
      <c r="K12" s="13">
        <f>J12</f>
        <v/>
      </c>
      <c r="L12" s="13">
        <f>K12</f>
        <v/>
      </c>
      <c r="M12" s="4" t="n"/>
      <c r="N12" s="4" t="n"/>
    </row>
    <row r="13" ht="20" customHeight="1">
      <c r="A13" s="11" t="inlineStr">
        <is>
          <t>Days per year</t>
        </is>
      </c>
      <c r="B13" s="8" t="inlineStr">
        <is>
          <t>days</t>
        </is>
      </c>
      <c r="C13" s="12" t="n">
        <v>365</v>
      </c>
      <c r="D13" s="13">
        <f>C13</f>
        <v/>
      </c>
      <c r="E13" s="13">
        <f>D13</f>
        <v/>
      </c>
      <c r="F13" s="13">
        <f>E13</f>
        <v/>
      </c>
      <c r="G13" s="13">
        <f>F13</f>
        <v/>
      </c>
      <c r="H13" s="13">
        <f>G13</f>
        <v/>
      </c>
      <c r="I13" s="13">
        <f>H13</f>
        <v/>
      </c>
      <c r="J13" s="13">
        <f>I13</f>
        <v/>
      </c>
      <c r="K13" s="13">
        <f>J13</f>
        <v/>
      </c>
      <c r="L13" s="13">
        <f>K13</f>
        <v/>
      </c>
      <c r="M13" s="4" t="n"/>
      <c r="N13" s="4" t="n"/>
    </row>
    <row r="14" ht="20" customHeight="1">
      <c r="A14" s="11" t="inlineStr">
        <is>
          <t>Tax rate</t>
        </is>
      </c>
      <c r="B14" s="8" t="inlineStr">
        <is>
          <t>%</t>
        </is>
      </c>
      <c r="C14" s="14" t="n">
        <v>0.27</v>
      </c>
      <c r="D14" s="15">
        <f>C14</f>
        <v/>
      </c>
      <c r="E14" s="15">
        <f>D14</f>
        <v/>
      </c>
      <c r="F14" s="15">
        <f>E14</f>
        <v/>
      </c>
      <c r="G14" s="15">
        <f>F14</f>
        <v/>
      </c>
      <c r="H14" s="15">
        <f>G14</f>
        <v/>
      </c>
      <c r="I14" s="15">
        <f>H14</f>
        <v/>
      </c>
      <c r="J14" s="15">
        <f>I14</f>
        <v/>
      </c>
      <c r="K14" s="15">
        <f>J14</f>
        <v/>
      </c>
      <c r="L14" s="15">
        <f>K14</f>
        <v/>
      </c>
      <c r="M14" s="4" t="n"/>
      <c r="N14" s="4" t="n"/>
    </row>
    <row r="15" ht="20" customHeight="1">
      <c r="A15" s="11" t="inlineStr">
        <is>
          <t>General inflation</t>
        </is>
      </c>
      <c r="B15" s="8" t="inlineStr">
        <is>
          <t>%</t>
        </is>
      </c>
      <c r="C15" s="14" t="n">
        <v>0.05</v>
      </c>
      <c r="D15" s="15">
        <f>C15</f>
        <v/>
      </c>
      <c r="E15" s="15">
        <f>D15</f>
        <v/>
      </c>
      <c r="F15" s="15">
        <f>E15</f>
        <v/>
      </c>
      <c r="G15" s="15">
        <f>F15</f>
        <v/>
      </c>
      <c r="H15" s="15">
        <f>G15</f>
        <v/>
      </c>
      <c r="I15" s="15">
        <f>H15</f>
        <v/>
      </c>
      <c r="J15" s="15">
        <f>I15</f>
        <v/>
      </c>
      <c r="K15" s="15">
        <f>J15</f>
        <v/>
      </c>
      <c r="L15" s="15">
        <f>K15</f>
        <v/>
      </c>
      <c r="M15" s="4" t="n"/>
      <c r="N15" s="4" t="n"/>
    </row>
    <row r="16" ht="20" customHeight="1">
      <c r="A16" s="11" t="inlineStr">
        <is>
          <t>Tariff inflation</t>
        </is>
      </c>
      <c r="B16" s="8" t="inlineStr">
        <is>
          <t>%</t>
        </is>
      </c>
      <c r="C16" s="14" t="n">
        <v>0.05</v>
      </c>
      <c r="D16" s="15">
        <f>C16</f>
        <v/>
      </c>
      <c r="E16" s="15">
        <f>D16</f>
        <v/>
      </c>
      <c r="F16" s="15">
        <f>E16</f>
        <v/>
      </c>
      <c r="G16" s="15">
        <f>F16</f>
        <v/>
      </c>
      <c r="H16" s="15">
        <f>G16</f>
        <v/>
      </c>
      <c r="I16" s="15">
        <f>H16</f>
        <v/>
      </c>
      <c r="J16" s="15">
        <f>I16</f>
        <v/>
      </c>
      <c r="K16" s="15">
        <f>J16</f>
        <v/>
      </c>
      <c r="L16" s="15">
        <f>K16</f>
        <v/>
      </c>
      <c r="M16" s="4" t="n"/>
      <c r="N16" s="4" t="n"/>
    </row>
    <row r="17" ht="20" customHeight="1">
      <c r="A17" s="11" t="inlineStr">
        <is>
          <t>Salary inflation</t>
        </is>
      </c>
      <c r="B17" s="8" t="inlineStr">
        <is>
          <t>%</t>
        </is>
      </c>
      <c r="C17" s="14" t="n">
        <v>0.05</v>
      </c>
      <c r="D17" s="15">
        <f>C17</f>
        <v/>
      </c>
      <c r="E17" s="15">
        <f>D17</f>
        <v/>
      </c>
      <c r="F17" s="15">
        <f>E17</f>
        <v/>
      </c>
      <c r="G17" s="15">
        <f>F17</f>
        <v/>
      </c>
      <c r="H17" s="15">
        <f>G17</f>
        <v/>
      </c>
      <c r="I17" s="15">
        <f>H17</f>
        <v/>
      </c>
      <c r="J17" s="15">
        <f>I17</f>
        <v/>
      </c>
      <c r="K17" s="15">
        <f>J17</f>
        <v/>
      </c>
      <c r="L17" s="15">
        <f>K17</f>
        <v/>
      </c>
      <c r="M17" s="4" t="n"/>
      <c r="N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5" t="inlineStr">
        <is>
          <t>Case policy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 ht="20" customHeight="1">
      <c r="A21" s="11" t="inlineStr">
        <is>
          <t>Base case DR revenue included?</t>
        </is>
      </c>
      <c r="B21" s="18" t="n">
        <v>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11" t="inlineStr">
        <is>
          <t>Base case trading premium included?</t>
        </is>
      </c>
      <c r="B22" s="18" t="n">
        <v>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 ht="20" customHeight="1">
      <c r="A23" s="11" t="inlineStr">
        <is>
          <t>Strategic upside included?</t>
        </is>
      </c>
      <c r="B23" s="18" t="n">
        <v>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</cols>
  <sheetData>
    <row r="1" ht="20" customHeight="1">
      <c r="A1" s="1" t="inlineStr">
        <is>
          <t>Hardware &amp; Engineering Inputs</t>
        </is>
      </c>
      <c r="B1" s="25" t="n"/>
      <c r="C1" s="25" t="n"/>
      <c r="D1" s="25" t="n"/>
      <c r="E1" s="25" t="n"/>
      <c r="F1" s="26" t="n"/>
    </row>
    <row r="2" ht="20" customHeight="1">
      <c r="A2" s="4" t="n"/>
      <c r="B2" s="4" t="n"/>
      <c r="C2" s="4" t="n"/>
      <c r="D2" s="4" t="n"/>
      <c r="E2" s="4" t="n"/>
      <c r="F2" s="4" t="n"/>
    </row>
    <row r="3" ht="20" customHeight="1">
      <c r="A3" s="10" t="inlineStr">
        <is>
          <t>Input</t>
        </is>
      </c>
      <c r="B3" s="10" t="inlineStr">
        <is>
          <t>Unit</t>
        </is>
      </c>
      <c r="C3" s="10" t="inlineStr">
        <is>
          <t>Value</t>
        </is>
      </c>
      <c r="D3" s="4" t="n"/>
      <c r="E3" s="4" t="n"/>
      <c r="F3" s="4" t="n"/>
    </row>
    <row r="4" ht="20" customHeight="1">
      <c r="A4" s="11" t="inlineStr">
        <is>
          <t>Chosen miner model</t>
        </is>
      </c>
      <c r="B4" s="8" t="inlineStr">
        <is>
          <t>text</t>
        </is>
      </c>
      <c r="C4" s="18" t="inlineStr">
        <is>
          <t>Bitmain S21e XP Hyd</t>
        </is>
      </c>
      <c r="D4" s="4" t="n"/>
      <c r="E4" s="4" t="n"/>
      <c r="F4" s="4" t="n"/>
    </row>
    <row r="5" ht="20" customHeight="1">
      <c r="A5" s="11" t="inlineStr">
        <is>
          <t>Hashrate per miner</t>
        </is>
      </c>
      <c r="B5" s="8" t="inlineStr">
        <is>
          <t>TH</t>
        </is>
      </c>
      <c r="C5" s="12" t="n">
        <v>430</v>
      </c>
      <c r="D5" s="4" t="n"/>
      <c r="E5" s="4" t="n"/>
      <c r="F5" s="4" t="n"/>
    </row>
    <row r="6" ht="20" customHeight="1">
      <c r="A6" s="11" t="inlineStr">
        <is>
          <t>Power per miner</t>
        </is>
      </c>
      <c r="B6" s="8" t="inlineStr">
        <is>
          <t>W</t>
        </is>
      </c>
      <c r="C6" s="12" t="n">
        <v>5590</v>
      </c>
      <c r="D6" s="4" t="n"/>
      <c r="E6" s="4" t="n"/>
      <c r="F6" s="4" t="n"/>
    </row>
    <row r="7" ht="20" customHeight="1">
      <c r="A7" s="11" t="inlineStr">
        <is>
          <t>Miner price</t>
        </is>
      </c>
      <c r="B7" s="8" t="inlineStr">
        <is>
          <t>USD / miner</t>
        </is>
      </c>
      <c r="C7" s="12" t="n">
        <v>7310</v>
      </c>
      <c r="D7" s="4" t="n"/>
      <c r="E7" s="4" t="n"/>
      <c r="F7" s="4" t="n"/>
    </row>
    <row r="8" ht="20" customHeight="1">
      <c r="A8" s="11" t="inlineStr">
        <is>
          <t>Cooling / auxiliary load</t>
        </is>
      </c>
      <c r="B8" s="8" t="inlineStr">
        <is>
          <t>%</t>
        </is>
      </c>
      <c r="C8" s="14" t="n">
        <v>0.05</v>
      </c>
      <c r="D8" s="4" t="n"/>
      <c r="E8" s="4" t="n"/>
      <c r="F8" s="4" t="n"/>
    </row>
    <row r="9" ht="20" customHeight="1">
      <c r="A9" s="11" t="inlineStr">
        <is>
          <t>Miner losses / downtime</t>
        </is>
      </c>
      <c r="B9" s="8" t="inlineStr">
        <is>
          <t>%</t>
        </is>
      </c>
      <c r="C9" s="14" t="n">
        <v>0.03</v>
      </c>
      <c r="D9" s="4" t="n"/>
      <c r="E9" s="4" t="n"/>
      <c r="F9" s="4" t="n"/>
    </row>
    <row r="10" ht="20" customHeight="1">
      <c r="A10" s="11" t="inlineStr">
        <is>
          <t>Maintenance per miner</t>
        </is>
      </c>
      <c r="B10" s="8" t="inlineStr">
        <is>
          <t>ZAR / miner / year</t>
        </is>
      </c>
      <c r="C10" s="12" t="n">
        <v>2000</v>
      </c>
      <c r="D10" s="4" t="n"/>
      <c r="E10" s="4" t="n"/>
      <c r="F10" s="4" t="n"/>
    </row>
    <row r="11" ht="20" customHeight="1">
      <c r="A11" s="11" t="inlineStr">
        <is>
          <t>Electrical + BOS capex</t>
        </is>
      </c>
      <c r="B11" s="8" t="inlineStr">
        <is>
          <t>ZAR'000 / MW</t>
        </is>
      </c>
      <c r="C11" s="12" t="n">
        <v>5035</v>
      </c>
      <c r="D11" s="4" t="n"/>
      <c r="E11" s="4" t="n"/>
      <c r="F11" s="4" t="n"/>
    </row>
    <row r="12" ht="20" customHeight="1">
      <c r="A12" s="11" t="inlineStr">
        <is>
          <t>Miner useful life</t>
        </is>
      </c>
      <c r="B12" s="8" t="inlineStr">
        <is>
          <t>years</t>
        </is>
      </c>
      <c r="C12" s="19" t="n">
        <v>5</v>
      </c>
      <c r="D12" s="4" t="n"/>
      <c r="E12" s="4" t="n"/>
      <c r="F12" s="4" t="n"/>
    </row>
    <row r="13" ht="20" customHeight="1">
      <c r="A13" s="11" t="inlineStr">
        <is>
          <t>BOS useful life</t>
        </is>
      </c>
      <c r="B13" s="8" t="inlineStr">
        <is>
          <t>years</t>
        </is>
      </c>
      <c r="C13" s="19" t="n">
        <v>15</v>
      </c>
      <c r="D13" s="4" t="n"/>
      <c r="E13" s="4" t="n"/>
      <c r="F13" s="4" t="n"/>
    </row>
    <row r="14" ht="20" customHeight="1">
      <c r="A14" s="4" t="n"/>
      <c r="B14" s="4" t="n"/>
      <c r="C14" s="4" t="n"/>
      <c r="D14" s="4" t="n"/>
      <c r="E14" s="4" t="n"/>
      <c r="F14" s="4" t="n"/>
    </row>
    <row r="15" ht="20" customHeight="1">
      <c r="A15" s="4" t="n"/>
      <c r="B15" s="4" t="n"/>
      <c r="C15" s="4" t="n"/>
      <c r="D15" s="4" t="n"/>
      <c r="E15" s="4" t="n"/>
      <c r="F15" s="4" t="n"/>
    </row>
    <row r="16" ht="20" customHeight="1">
      <c r="A16" s="5" t="inlineStr">
        <is>
          <t>Derived metrics</t>
        </is>
      </c>
      <c r="B16" s="4" t="n"/>
      <c r="C16" s="4" t="n"/>
      <c r="D16" s="4" t="n"/>
      <c r="E16" s="4" t="n"/>
      <c r="F16" s="4" t="n"/>
    </row>
    <row r="17" ht="20" customHeight="1">
      <c r="A17" s="11" t="inlineStr">
        <is>
          <t>IT MW available from 1 MW envelope</t>
        </is>
      </c>
      <c r="B17" s="8" t="inlineStr">
        <is>
          <t>MW</t>
        </is>
      </c>
      <c r="C17" s="13">
        <f>1/(1+$C$8)</f>
        <v/>
      </c>
      <c r="D17" s="4" t="n"/>
      <c r="E17" s="4" t="n"/>
      <c r="F17" s="4" t="n"/>
    </row>
    <row r="18" ht="20" customHeight="1">
      <c r="A18" s="11" t="inlineStr">
        <is>
          <t>Miners per gross MW</t>
        </is>
      </c>
      <c r="B18" s="8" t="inlineStr">
        <is>
          <t>miners/MW</t>
        </is>
      </c>
      <c r="C18" s="13">
        <f>(1000000/(1+$C$8))/$C$6</f>
        <v/>
      </c>
      <c r="D18" s="4" t="n"/>
      <c r="E18" s="4" t="n"/>
      <c r="F18" s="4" t="n"/>
    </row>
    <row r="19" ht="20" customHeight="1">
      <c r="A19" s="11" t="inlineStr">
        <is>
          <t>Miner capex per gross MW</t>
        </is>
      </c>
      <c r="B19" s="8" t="inlineStr">
        <is>
          <t>ZAR'000/MW</t>
        </is>
      </c>
      <c r="C19" s="13">
        <f>$C$17*$C$7*Assumptions!C5/1000</f>
        <v/>
      </c>
      <c r="D19" s="4" t="n"/>
      <c r="E19" s="4" t="n"/>
      <c r="F19" s="4" t="n"/>
    </row>
    <row r="20" ht="20" customHeight="1">
      <c r="A20" s="11" t="inlineStr">
        <is>
          <t>Total capex per gross MW</t>
        </is>
      </c>
      <c r="B20" s="8" t="inlineStr">
        <is>
          <t>ZAR'000/MW</t>
        </is>
      </c>
      <c r="C20" s="13">
        <f>$C$18+$C$10</f>
        <v/>
      </c>
      <c r="D20" s="4" t="n"/>
      <c r="E20" s="4" t="n"/>
      <c r="F20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Phase 1 site assumptions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10" t="inlineStr">
        <is>
          <t>Driver</t>
        </is>
      </c>
      <c r="B3" s="10" t="inlineStr">
        <is>
          <t>Unit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4" t="n"/>
      <c r="N3" s="4" t="n"/>
    </row>
    <row r="4" ht="20" customHeight="1">
      <c r="A4" s="5" t="inlineStr">
        <is>
          <t>Grootvlei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  <c r="M4" s="4" t="n"/>
      <c r="N4" s="4" t="n"/>
    </row>
    <row r="5" ht="20" customHeight="1">
      <c r="A5" s="11" t="inlineStr">
        <is>
          <t>MW online</t>
        </is>
      </c>
      <c r="B5" s="8" t="inlineStr">
        <is>
          <t>MW</t>
        </is>
      </c>
      <c r="C5" s="12" t="n">
        <v>10</v>
      </c>
      <c r="D5" s="13">
        <f>C5</f>
        <v/>
      </c>
      <c r="E5" s="13">
        <f>D5</f>
        <v/>
      </c>
      <c r="F5" s="13">
        <f>E5</f>
        <v/>
      </c>
      <c r="G5" s="13">
        <f>F5</f>
        <v/>
      </c>
      <c r="H5" s="13">
        <f>G5</f>
        <v/>
      </c>
      <c r="I5" s="13">
        <f>H5</f>
        <v/>
      </c>
      <c r="J5" s="13">
        <f>I5</f>
        <v/>
      </c>
      <c r="K5" s="13">
        <f>J5</f>
        <v/>
      </c>
      <c r="L5" s="13">
        <f>K5</f>
        <v/>
      </c>
      <c r="M5" s="4" t="n"/>
      <c r="N5" s="4" t="n"/>
    </row>
    <row r="6" ht="20" customHeight="1">
      <c r="A6" s="11" t="inlineStr">
        <is>
          <t>Operating hours/day</t>
        </is>
      </c>
      <c r="B6" s="8" t="inlineStr">
        <is>
          <t>hours/day</t>
        </is>
      </c>
      <c r="C6" s="12" t="n">
        <v>16</v>
      </c>
      <c r="D6" s="13">
        <f>C6</f>
        <v/>
      </c>
      <c r="E6" s="13">
        <f>D6</f>
        <v/>
      </c>
      <c r="F6" s="13">
        <f>E6</f>
        <v/>
      </c>
      <c r="G6" s="13">
        <f>F6</f>
        <v/>
      </c>
      <c r="H6" s="13">
        <f>G6</f>
        <v/>
      </c>
      <c r="I6" s="13">
        <f>H6</f>
        <v/>
      </c>
      <c r="J6" s="13">
        <f>I6</f>
        <v/>
      </c>
      <c r="K6" s="13">
        <f>J6</f>
        <v/>
      </c>
      <c r="L6" s="13">
        <f>K6</f>
        <v/>
      </c>
      <c r="M6" s="4" t="n"/>
      <c r="N6" s="4" t="n"/>
    </row>
    <row r="7" ht="20" customHeight="1">
      <c r="A7" s="11" t="inlineStr">
        <is>
          <t>Uptime</t>
        </is>
      </c>
      <c r="B7" s="8" t="inlineStr">
        <is>
          <t>%</t>
        </is>
      </c>
      <c r="C7" s="14" t="n">
        <v>0.95</v>
      </c>
      <c r="D7" s="15">
        <f>C7</f>
        <v/>
      </c>
      <c r="E7" s="15">
        <f>D7</f>
        <v/>
      </c>
      <c r="F7" s="15">
        <f>E7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  <c r="M7" s="4" t="n"/>
      <c r="N7" s="4" t="n"/>
    </row>
    <row r="8" ht="20" customHeight="1">
      <c r="A8" s="11" t="inlineStr">
        <is>
          <t>Blended tariff</t>
        </is>
      </c>
      <c r="B8" s="8" t="inlineStr">
        <is>
          <t>R/kWh</t>
        </is>
      </c>
      <c r="C8" s="12" t="n">
        <v>1.2</v>
      </c>
      <c r="D8" s="13">
        <f>C8*(1+C16)</f>
        <v/>
      </c>
      <c r="E8" s="13">
        <f>D8*(1+D16)</f>
        <v/>
      </c>
      <c r="F8" s="13">
        <f>E8*(1+E16)</f>
        <v/>
      </c>
      <c r="G8" s="13">
        <f>F8*(1+F16)</f>
        <v/>
      </c>
      <c r="H8" s="13">
        <f>G8*(1+G16)</f>
        <v/>
      </c>
      <c r="I8" s="13">
        <f>H8*(1+H16)</f>
        <v/>
      </c>
      <c r="J8" s="13">
        <f>I8*(1+I16)</f>
        <v/>
      </c>
      <c r="K8" s="13">
        <f>J8*(1+J16)</f>
        <v/>
      </c>
      <c r="L8" s="13">
        <f>K8*(1+K16)</f>
        <v/>
      </c>
      <c r="M8" s="4" t="n"/>
      <c r="N8" s="4" t="n"/>
    </row>
    <row r="9" ht="20" customHeight="1">
      <c r="A9" s="11" t="inlineStr">
        <is>
          <t>Demand response rebate</t>
        </is>
      </c>
      <c r="B9" s="8" t="inlineStr">
        <is>
          <t>R/kWh</t>
        </is>
      </c>
      <c r="C9" s="12" t="n">
        <v>0</v>
      </c>
      <c r="D9" s="13">
        <f>C9</f>
        <v/>
      </c>
      <c r="E9" s="13">
        <f>D9</f>
        <v/>
      </c>
      <c r="F9" s="13">
        <f>E9</f>
        <v/>
      </c>
      <c r="G9" s="13">
        <f>F9</f>
        <v/>
      </c>
      <c r="H9" s="13">
        <f>G9</f>
        <v/>
      </c>
      <c r="I9" s="13">
        <f>H9</f>
        <v/>
      </c>
      <c r="J9" s="13">
        <f>I9</f>
        <v/>
      </c>
      <c r="K9" s="13">
        <f>J9</f>
        <v/>
      </c>
      <c r="L9" s="13">
        <f>K9</f>
        <v/>
      </c>
      <c r="M9" s="4" t="n"/>
      <c r="N9" s="4" t="n"/>
    </row>
    <row r="10" ht="20" customHeight="1">
      <c r="A10" s="11" t="inlineStr">
        <is>
          <t>Demand response hours/day</t>
        </is>
      </c>
      <c r="B10" s="8" t="inlineStr">
        <is>
          <t>hours/day</t>
        </is>
      </c>
      <c r="C10" s="12" t="n">
        <v>0</v>
      </c>
      <c r="D10" s="13">
        <f>C10</f>
        <v/>
      </c>
      <c r="E10" s="13">
        <f>D10</f>
        <v/>
      </c>
      <c r="F10" s="13">
        <f>E10</f>
        <v/>
      </c>
      <c r="G10" s="13">
        <f>F10</f>
        <v/>
      </c>
      <c r="H10" s="13">
        <f>G10</f>
        <v/>
      </c>
      <c r="I10" s="13">
        <f>H10</f>
        <v/>
      </c>
      <c r="J10" s="13">
        <f>I10</f>
        <v/>
      </c>
      <c r="K10" s="13">
        <f>J10</f>
        <v/>
      </c>
      <c r="L10" s="13">
        <f>K10</f>
        <v/>
      </c>
      <c r="M10" s="4" t="n"/>
      <c r="N10" s="4" t="n"/>
    </row>
    <row r="11" ht="20" customHeight="1">
      <c r="A11" s="11" t="inlineStr">
        <is>
          <t>Fixed site opex</t>
        </is>
      </c>
      <c r="B11" s="8" t="inlineStr">
        <is>
          <t>ZAR'000 / year</t>
        </is>
      </c>
      <c r="C11" s="12" t="n">
        <v>5000</v>
      </c>
      <c r="D11" s="13">
        <f>C11*(1+C15)</f>
        <v/>
      </c>
      <c r="E11" s="13">
        <f>D11*(1+D15)</f>
        <v/>
      </c>
      <c r="F11" s="13">
        <f>E11*(1+E15)</f>
        <v/>
      </c>
      <c r="G11" s="13">
        <f>F11*(1+F15)</f>
        <v/>
      </c>
      <c r="H11" s="13">
        <f>G11*(1+G15)</f>
        <v/>
      </c>
      <c r="I11" s="13">
        <f>H11*(1+H15)</f>
        <v/>
      </c>
      <c r="J11" s="13">
        <f>I11*(1+I15)</f>
        <v/>
      </c>
      <c r="K11" s="13">
        <f>J11*(1+J15)</f>
        <v/>
      </c>
      <c r="L11" s="13">
        <f>K11*(1+K15)</f>
        <v/>
      </c>
      <c r="M11" s="4" t="n"/>
      <c r="N11" s="4" t="n"/>
    </row>
    <row r="12" ht="20" customHeight="1">
      <c r="A12" s="11" t="inlineStr">
        <is>
          <t>Rent</t>
        </is>
      </c>
      <c r="B12" s="8" t="inlineStr">
        <is>
          <t>ZAR'000 / year</t>
        </is>
      </c>
      <c r="C12" s="12" t="n">
        <v>0</v>
      </c>
      <c r="D12" s="13">
        <f>C12*(1+C15)</f>
        <v/>
      </c>
      <c r="E12" s="13">
        <f>D12*(1+D15)</f>
        <v/>
      </c>
      <c r="F12" s="13">
        <f>E12*(1+E15)</f>
        <v/>
      </c>
      <c r="G12" s="13">
        <f>F12*(1+F15)</f>
        <v/>
      </c>
      <c r="H12" s="13">
        <f>G12*(1+G15)</f>
        <v/>
      </c>
      <c r="I12" s="13">
        <f>H12*(1+H15)</f>
        <v/>
      </c>
      <c r="J12" s="13">
        <f>I12*(1+I15)</f>
        <v/>
      </c>
      <c r="K12" s="13">
        <f>J12*(1+J15)</f>
        <v/>
      </c>
      <c r="L12" s="13">
        <f>K12*(1+K15)</f>
        <v/>
      </c>
      <c r="M12" s="4" t="n"/>
      <c r="N12" s="4" t="n"/>
    </row>
    <row r="13" ht="20" customHeight="1">
      <c r="A13" s="11" t="inlineStr">
        <is>
          <t>Staff per MW</t>
        </is>
      </c>
      <c r="B13" s="8" t="inlineStr">
        <is>
          <t>employees / MW</t>
        </is>
      </c>
      <c r="C13" s="12" t="n">
        <v>1</v>
      </c>
      <c r="D13" s="13">
        <f>C13</f>
        <v/>
      </c>
      <c r="E13" s="13">
        <f>D13</f>
        <v/>
      </c>
      <c r="F13" s="13">
        <f>E13</f>
        <v/>
      </c>
      <c r="G13" s="13">
        <f>F13</f>
        <v/>
      </c>
      <c r="H13" s="13">
        <f>G13</f>
        <v/>
      </c>
      <c r="I13" s="13">
        <f>H13</f>
        <v/>
      </c>
      <c r="J13" s="13">
        <f>I13</f>
        <v/>
      </c>
      <c r="K13" s="13">
        <f>J13</f>
        <v/>
      </c>
      <c r="L13" s="13">
        <f>K13</f>
        <v/>
      </c>
      <c r="M13" s="4" t="n"/>
      <c r="N13" s="4" t="n"/>
    </row>
    <row r="14" ht="20" customHeight="1">
      <c r="A14" s="11" t="inlineStr">
        <is>
          <t>Staff cost / employee</t>
        </is>
      </c>
      <c r="B14" s="8" t="inlineStr">
        <is>
          <t>ZAR'000 / year</t>
        </is>
      </c>
      <c r="C14" s="12" t="n">
        <v>600</v>
      </c>
      <c r="D14" s="13">
        <f>C14*(1+C17)</f>
        <v/>
      </c>
      <c r="E14" s="13">
        <f>D14*(1+D17)</f>
        <v/>
      </c>
      <c r="F14" s="13">
        <f>E14*(1+E17)</f>
        <v/>
      </c>
      <c r="G14" s="13">
        <f>F14*(1+F17)</f>
        <v/>
      </c>
      <c r="H14" s="13">
        <f>G14*(1+G17)</f>
        <v/>
      </c>
      <c r="I14" s="13">
        <f>H14*(1+H17)</f>
        <v/>
      </c>
      <c r="J14" s="13">
        <f>I14*(1+I17)</f>
        <v/>
      </c>
      <c r="K14" s="13">
        <f>J14*(1+J17)</f>
        <v/>
      </c>
      <c r="L14" s="13">
        <f>K14*(1+K17)</f>
        <v/>
      </c>
      <c r="M14" s="4" t="n"/>
      <c r="N14" s="4" t="n"/>
    </row>
    <row r="15" ht="20" customHeight="1">
      <c r="A15" s="11" t="inlineStr">
        <is>
          <t>Other utilities</t>
        </is>
      </c>
      <c r="B15" s="8" t="inlineStr">
        <is>
          <t>ZAR'000 / MW / year</t>
        </is>
      </c>
      <c r="C15" s="12" t="n">
        <v>100</v>
      </c>
      <c r="D15" s="13">
        <f>C15*(1+C15)</f>
        <v/>
      </c>
      <c r="E15" s="13">
        <f>D15*(1+D15)</f>
        <v/>
      </c>
      <c r="F15" s="13">
        <f>E15*(1+E15)</f>
        <v/>
      </c>
      <c r="G15" s="13">
        <f>F15*(1+F15)</f>
        <v/>
      </c>
      <c r="H15" s="13">
        <f>G15*(1+G15)</f>
        <v/>
      </c>
      <c r="I15" s="13">
        <f>H15*(1+H15)</f>
        <v/>
      </c>
      <c r="J15" s="13">
        <f>I15*(1+I15)</f>
        <v/>
      </c>
      <c r="K15" s="13">
        <f>J15*(1+J15)</f>
        <v/>
      </c>
      <c r="L15" s="13">
        <f>K15*(1+K15)</f>
        <v/>
      </c>
      <c r="M15" s="4" t="n"/>
      <c r="N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5" t="inlineStr">
        <is>
          <t>AMSA Vanderbijlpark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4" t="n"/>
      <c r="N18" s="4" t="n"/>
    </row>
    <row r="19" ht="20" customHeight="1">
      <c r="A19" s="11" t="inlineStr">
        <is>
          <t>MW online</t>
        </is>
      </c>
      <c r="B19" s="8" t="inlineStr">
        <is>
          <t>MW</t>
        </is>
      </c>
      <c r="C19" s="12" t="n">
        <v>10</v>
      </c>
      <c r="D19" s="13">
        <f>C19</f>
        <v/>
      </c>
      <c r="E19" s="13">
        <f>D19</f>
        <v/>
      </c>
      <c r="F19" s="13">
        <f>E19</f>
        <v/>
      </c>
      <c r="G19" s="13">
        <f>F19</f>
        <v/>
      </c>
      <c r="H19" s="13">
        <f>G19</f>
        <v/>
      </c>
      <c r="I19" s="13">
        <f>H19</f>
        <v/>
      </c>
      <c r="J19" s="13">
        <f>I19</f>
        <v/>
      </c>
      <c r="K19" s="13">
        <f>J19</f>
        <v/>
      </c>
      <c r="L19" s="13">
        <f>K19</f>
        <v/>
      </c>
      <c r="M19" s="4" t="n"/>
      <c r="N19" s="4" t="n"/>
    </row>
    <row r="20" ht="20" customHeight="1">
      <c r="A20" s="11" t="inlineStr">
        <is>
          <t>Operating hours/day</t>
        </is>
      </c>
      <c r="B20" s="8" t="inlineStr">
        <is>
          <t>hours/day</t>
        </is>
      </c>
      <c r="C20" s="12" t="n">
        <v>16</v>
      </c>
      <c r="D20" s="13">
        <f>C20</f>
        <v/>
      </c>
      <c r="E20" s="13">
        <f>D20</f>
        <v/>
      </c>
      <c r="F20" s="13">
        <f>E20</f>
        <v/>
      </c>
      <c r="G20" s="13">
        <f>F20</f>
        <v/>
      </c>
      <c r="H20" s="13">
        <f>G20</f>
        <v/>
      </c>
      <c r="I20" s="13">
        <f>H20</f>
        <v/>
      </c>
      <c r="J20" s="13">
        <f>I20</f>
        <v/>
      </c>
      <c r="K20" s="13">
        <f>J20</f>
        <v/>
      </c>
      <c r="L20" s="13">
        <f>K20</f>
        <v/>
      </c>
      <c r="M20" s="4" t="n"/>
      <c r="N20" s="4" t="n"/>
    </row>
    <row r="21" ht="20" customHeight="1">
      <c r="A21" s="11" t="inlineStr">
        <is>
          <t>Uptime</t>
        </is>
      </c>
      <c r="B21" s="8" t="inlineStr">
        <is>
          <t>%</t>
        </is>
      </c>
      <c r="C21" s="14" t="n">
        <v>0.95</v>
      </c>
      <c r="D21" s="15">
        <f>C21</f>
        <v/>
      </c>
      <c r="E21" s="15">
        <f>D21</f>
        <v/>
      </c>
      <c r="F21" s="15">
        <f>E21</f>
        <v/>
      </c>
      <c r="G21" s="15">
        <f>F21</f>
        <v/>
      </c>
      <c r="H21" s="15">
        <f>G21</f>
        <v/>
      </c>
      <c r="I21" s="15">
        <f>H21</f>
        <v/>
      </c>
      <c r="J21" s="15">
        <f>I21</f>
        <v/>
      </c>
      <c r="K21" s="15">
        <f>J21</f>
        <v/>
      </c>
      <c r="L21" s="15">
        <f>K21</f>
        <v/>
      </c>
      <c r="M21" s="4" t="n"/>
      <c r="N21" s="4" t="n"/>
    </row>
    <row r="22" ht="20" customHeight="1">
      <c r="A22" s="11" t="inlineStr">
        <is>
          <t>Blended tariff</t>
        </is>
      </c>
      <c r="B22" s="8" t="inlineStr">
        <is>
          <t>R/kWh</t>
        </is>
      </c>
      <c r="C22" s="12" t="n">
        <v>1.2</v>
      </c>
      <c r="D22" s="13">
        <f>C22*(1+C16)</f>
        <v/>
      </c>
      <c r="E22" s="13">
        <f>D22*(1+D16)</f>
        <v/>
      </c>
      <c r="F22" s="13">
        <f>E22*(1+E16)</f>
        <v/>
      </c>
      <c r="G22" s="13">
        <f>F22*(1+F16)</f>
        <v/>
      </c>
      <c r="H22" s="13">
        <f>G22*(1+G16)</f>
        <v/>
      </c>
      <c r="I22" s="13">
        <f>H22*(1+H16)</f>
        <v/>
      </c>
      <c r="J22" s="13">
        <f>I22*(1+I16)</f>
        <v/>
      </c>
      <c r="K22" s="13">
        <f>J22*(1+J16)</f>
        <v/>
      </c>
      <c r="L22" s="13">
        <f>K22*(1+K16)</f>
        <v/>
      </c>
      <c r="M22" s="4" t="n"/>
      <c r="N22" s="4" t="n"/>
    </row>
    <row r="23" ht="20" customHeight="1">
      <c r="A23" s="11" t="inlineStr">
        <is>
          <t>Demand response rebate</t>
        </is>
      </c>
      <c r="B23" s="8" t="inlineStr">
        <is>
          <t>R/kWh</t>
        </is>
      </c>
      <c r="C23" s="12" t="n">
        <v>0</v>
      </c>
      <c r="D23" s="13">
        <f>C23</f>
        <v/>
      </c>
      <c r="E23" s="13">
        <f>D23</f>
        <v/>
      </c>
      <c r="F23" s="13">
        <f>E23</f>
        <v/>
      </c>
      <c r="G23" s="13">
        <f>F23</f>
        <v/>
      </c>
      <c r="H23" s="13">
        <f>G23</f>
        <v/>
      </c>
      <c r="I23" s="13">
        <f>H23</f>
        <v/>
      </c>
      <c r="J23" s="13">
        <f>I23</f>
        <v/>
      </c>
      <c r="K23" s="13">
        <f>J23</f>
        <v/>
      </c>
      <c r="L23" s="13">
        <f>K23</f>
        <v/>
      </c>
      <c r="M23" s="4" t="n"/>
      <c r="N23" s="4" t="n"/>
    </row>
    <row r="24" ht="20" customHeight="1">
      <c r="A24" s="11" t="inlineStr">
        <is>
          <t>Demand response hours/day</t>
        </is>
      </c>
      <c r="B24" s="8" t="inlineStr">
        <is>
          <t>hours/day</t>
        </is>
      </c>
      <c r="C24" s="12" t="n">
        <v>0</v>
      </c>
      <c r="D24" s="13">
        <f>C24</f>
        <v/>
      </c>
      <c r="E24" s="13">
        <f>D24</f>
        <v/>
      </c>
      <c r="F24" s="13">
        <f>E24</f>
        <v/>
      </c>
      <c r="G24" s="13">
        <f>F24</f>
        <v/>
      </c>
      <c r="H24" s="13">
        <f>G24</f>
        <v/>
      </c>
      <c r="I24" s="13">
        <f>H24</f>
        <v/>
      </c>
      <c r="J24" s="13">
        <f>I24</f>
        <v/>
      </c>
      <c r="K24" s="13">
        <f>J24</f>
        <v/>
      </c>
      <c r="L24" s="13">
        <f>K24</f>
        <v/>
      </c>
      <c r="M24" s="4" t="n"/>
      <c r="N24" s="4" t="n"/>
    </row>
    <row r="25" ht="20" customHeight="1">
      <c r="A25" s="11" t="inlineStr">
        <is>
          <t>Fixed site opex</t>
        </is>
      </c>
      <c r="B25" s="8" t="inlineStr">
        <is>
          <t>ZAR'000 / year</t>
        </is>
      </c>
      <c r="C25" s="12" t="n">
        <v>5000</v>
      </c>
      <c r="D25" s="13">
        <f>C25*(1+C15)</f>
        <v/>
      </c>
      <c r="E25" s="13">
        <f>D25*(1+D15)</f>
        <v/>
      </c>
      <c r="F25" s="13">
        <f>E25*(1+E15)</f>
        <v/>
      </c>
      <c r="G25" s="13">
        <f>F25*(1+F15)</f>
        <v/>
      </c>
      <c r="H25" s="13">
        <f>G25*(1+G15)</f>
        <v/>
      </c>
      <c r="I25" s="13">
        <f>H25*(1+H15)</f>
        <v/>
      </c>
      <c r="J25" s="13">
        <f>I25*(1+I15)</f>
        <v/>
      </c>
      <c r="K25" s="13">
        <f>J25*(1+J15)</f>
        <v/>
      </c>
      <c r="L25" s="13">
        <f>K25*(1+K15)</f>
        <v/>
      </c>
      <c r="M25" s="4" t="n"/>
      <c r="N25" s="4" t="n"/>
    </row>
    <row r="26" ht="20" customHeight="1">
      <c r="A26" s="11" t="inlineStr">
        <is>
          <t>Rent</t>
        </is>
      </c>
      <c r="B26" s="8" t="inlineStr">
        <is>
          <t>ZAR'000 / year</t>
        </is>
      </c>
      <c r="C26" s="12" t="n">
        <v>0</v>
      </c>
      <c r="D26" s="13">
        <f>C26*(1+C15)</f>
        <v/>
      </c>
      <c r="E26" s="13">
        <f>D26*(1+D15)</f>
        <v/>
      </c>
      <c r="F26" s="13">
        <f>E26*(1+E15)</f>
        <v/>
      </c>
      <c r="G26" s="13">
        <f>F26*(1+F15)</f>
        <v/>
      </c>
      <c r="H26" s="13">
        <f>G26*(1+G15)</f>
        <v/>
      </c>
      <c r="I26" s="13">
        <f>H26*(1+H15)</f>
        <v/>
      </c>
      <c r="J26" s="13">
        <f>I26*(1+I15)</f>
        <v/>
      </c>
      <c r="K26" s="13">
        <f>J26*(1+J15)</f>
        <v/>
      </c>
      <c r="L26" s="13">
        <f>K26*(1+K15)</f>
        <v/>
      </c>
      <c r="M26" s="4" t="n"/>
      <c r="N26" s="4" t="n"/>
    </row>
    <row r="27" ht="20" customHeight="1">
      <c r="A27" s="11" t="inlineStr">
        <is>
          <t>Staff per MW</t>
        </is>
      </c>
      <c r="B27" s="8" t="inlineStr">
        <is>
          <t>employees / MW</t>
        </is>
      </c>
      <c r="C27" s="12" t="n">
        <v>1</v>
      </c>
      <c r="D27" s="13">
        <f>C27</f>
        <v/>
      </c>
      <c r="E27" s="13">
        <f>D27</f>
        <v/>
      </c>
      <c r="F27" s="13">
        <f>E27</f>
        <v/>
      </c>
      <c r="G27" s="13">
        <f>F27</f>
        <v/>
      </c>
      <c r="H27" s="13">
        <f>G27</f>
        <v/>
      </c>
      <c r="I27" s="13">
        <f>H27</f>
        <v/>
      </c>
      <c r="J27" s="13">
        <f>I27</f>
        <v/>
      </c>
      <c r="K27" s="13">
        <f>J27</f>
        <v/>
      </c>
      <c r="L27" s="13">
        <f>K27</f>
        <v/>
      </c>
      <c r="M27" s="4" t="n"/>
      <c r="N27" s="4" t="n"/>
    </row>
    <row r="28" ht="20" customHeight="1">
      <c r="A28" s="11" t="inlineStr">
        <is>
          <t>Staff cost / employee</t>
        </is>
      </c>
      <c r="B28" s="8" t="inlineStr">
        <is>
          <t>ZAR'000 / year</t>
        </is>
      </c>
      <c r="C28" s="12" t="n">
        <v>600</v>
      </c>
      <c r="D28" s="13">
        <f>C28*(1+C17)</f>
        <v/>
      </c>
      <c r="E28" s="13">
        <f>D28*(1+D17)</f>
        <v/>
      </c>
      <c r="F28" s="13">
        <f>E28*(1+E17)</f>
        <v/>
      </c>
      <c r="G28" s="13">
        <f>F28*(1+F17)</f>
        <v/>
      </c>
      <c r="H28" s="13">
        <f>G28*(1+G17)</f>
        <v/>
      </c>
      <c r="I28" s="13">
        <f>H28*(1+H17)</f>
        <v/>
      </c>
      <c r="J28" s="13">
        <f>I28*(1+I17)</f>
        <v/>
      </c>
      <c r="K28" s="13">
        <f>J28*(1+J17)</f>
        <v/>
      </c>
      <c r="L28" s="13">
        <f>K28*(1+K17)</f>
        <v/>
      </c>
      <c r="M28" s="4" t="n"/>
      <c r="N28" s="4" t="n"/>
    </row>
    <row r="29" ht="20" customHeight="1">
      <c r="A29" s="11" t="inlineStr">
        <is>
          <t>Other utilities</t>
        </is>
      </c>
      <c r="B29" s="8" t="inlineStr">
        <is>
          <t>ZAR'000 / MW / year</t>
        </is>
      </c>
      <c r="C29" s="12" t="n">
        <v>100</v>
      </c>
      <c r="D29" s="13">
        <f>C29*(1+C15)</f>
        <v/>
      </c>
      <c r="E29" s="13">
        <f>D29*(1+D15)</f>
        <v/>
      </c>
      <c r="F29" s="13">
        <f>E29*(1+E15)</f>
        <v/>
      </c>
      <c r="G29" s="13">
        <f>F29*(1+F15)</f>
        <v/>
      </c>
      <c r="H29" s="13">
        <f>G29*(1+G15)</f>
        <v/>
      </c>
      <c r="I29" s="13">
        <f>H29*(1+H15)</f>
        <v/>
      </c>
      <c r="J29" s="13">
        <f>I29*(1+I15)</f>
        <v/>
      </c>
      <c r="K29" s="13">
        <f>J29*(1+J15)</f>
        <v/>
      </c>
      <c r="L29" s="13">
        <f>K29*(1+K15)</f>
        <v/>
      </c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5" t="inlineStr">
        <is>
          <t>Total Phase 1 MW</t>
        </is>
      </c>
      <c r="B32" s="8" t="inlineStr">
        <is>
          <t>MW</t>
        </is>
      </c>
      <c r="C32" s="20">
        <f>C5+C19</f>
        <v/>
      </c>
      <c r="D32" s="20">
        <f>D5+D19</f>
        <v/>
      </c>
      <c r="E32" s="20">
        <f>E5+E19</f>
        <v/>
      </c>
      <c r="F32" s="20">
        <f>F5+F19</f>
        <v/>
      </c>
      <c r="G32" s="20">
        <f>G5+G19</f>
        <v/>
      </c>
      <c r="H32" s="20">
        <f>H5+H19</f>
        <v/>
      </c>
      <c r="I32" s="20">
        <f>I5+I19</f>
        <v/>
      </c>
      <c r="J32" s="20">
        <f>J5+J19</f>
        <v/>
      </c>
      <c r="K32" s="20">
        <f>K5+K19</f>
        <v/>
      </c>
      <c r="L32" s="20">
        <f>L5+L19</f>
        <v/>
      </c>
      <c r="M32" s="4" t="n"/>
      <c r="N32" s="4" t="n"/>
    </row>
  </sheetData>
  <mergeCells count="3">
    <mergeCell ref="A1:N1"/>
    <mergeCell ref="A4:L4"/>
    <mergeCell ref="A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Revenue Model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10" t="inlineStr">
        <is>
          <t>Driver</t>
        </is>
      </c>
      <c r="B3" s="10" t="inlineStr">
        <is>
          <t>Unit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4" t="n"/>
      <c r="N3" s="4" t="n"/>
    </row>
    <row r="4" ht="20" customHeight="1">
      <c r="A4" s="5" t="inlineStr">
        <is>
          <t>Grootvlei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  <c r="M4" s="4" t="n"/>
      <c r="N4" s="4" t="n"/>
    </row>
    <row r="5" ht="20" customHeight="1">
      <c r="A5" s="11" t="inlineStr">
        <is>
          <t>Gross site energy consumed</t>
        </is>
      </c>
      <c r="B5" s="8" t="inlineStr">
        <is>
          <t>MWh / year</t>
        </is>
      </c>
      <c r="C5" s="13">
        <f>Site_Assumptions!C5*Site_Assumptions!C6*Assumptions!C13*Site_Assumptions!C7</f>
        <v/>
      </c>
      <c r="D5" s="13">
        <f>Site_Assumptions!D5*Site_Assumptions!D6*Assumptions!D13*Site_Assumptions!D7</f>
        <v/>
      </c>
      <c r="E5" s="13">
        <f>Site_Assumptions!E5*Site_Assumptions!E6*Assumptions!E13*Site_Assumptions!E7</f>
        <v/>
      </c>
      <c r="F5" s="13">
        <f>Site_Assumptions!F5*Site_Assumptions!F6*Assumptions!F13*Site_Assumptions!F7</f>
        <v/>
      </c>
      <c r="G5" s="13">
        <f>Site_Assumptions!G5*Site_Assumptions!G6*Assumptions!G13*Site_Assumptions!G7</f>
        <v/>
      </c>
      <c r="H5" s="13">
        <f>Site_Assumptions!H5*Site_Assumptions!H6*Assumptions!H13*Site_Assumptions!H7</f>
        <v/>
      </c>
      <c r="I5" s="13">
        <f>Site_Assumptions!I5*Site_Assumptions!I6*Assumptions!I13*Site_Assumptions!I7</f>
        <v/>
      </c>
      <c r="J5" s="13">
        <f>Site_Assumptions!J5*Site_Assumptions!J6*Assumptions!J13*Site_Assumptions!J7</f>
        <v/>
      </c>
      <c r="K5" s="13">
        <f>Site_Assumptions!K5*Site_Assumptions!K6*Assumptions!K13*Site_Assumptions!K7</f>
        <v/>
      </c>
      <c r="L5" s="13">
        <f>Site_Assumptions!L5*Site_Assumptions!L6*Assumptions!L13*Site_Assumptions!L7</f>
        <v/>
      </c>
      <c r="M5" s="4" t="n"/>
      <c r="N5" s="4" t="n"/>
    </row>
    <row r="6" ht="20" customHeight="1">
      <c r="A6" s="11" t="inlineStr">
        <is>
          <t>Estimated ASIC count</t>
        </is>
      </c>
      <c r="B6" s="8" t="inlineStr">
        <is>
          <t>miners</t>
        </is>
      </c>
      <c r="C6" s="17">
        <f>ROUNDDOWN(((Site_Assumptions!C5*1000000)/(1+Hardware!$C$8))/Hardware!$C$6,0)</f>
        <v/>
      </c>
      <c r="D6" s="17">
        <f>ROUNDDOWN(((Site_Assumptions!D5*1000000)/(1+Hardware!$C$8))/Hardware!$C$6,0)</f>
        <v/>
      </c>
      <c r="E6" s="17">
        <f>ROUNDDOWN(((Site_Assumptions!E5*1000000)/(1+Hardware!$C$8))/Hardware!$C$6,0)</f>
        <v/>
      </c>
      <c r="F6" s="17">
        <f>ROUNDDOWN(((Site_Assumptions!F5*1000000)/(1+Hardware!$C$8))/Hardware!$C$6,0)</f>
        <v/>
      </c>
      <c r="G6" s="17">
        <f>ROUNDDOWN(((Site_Assumptions!G5*1000000)/(1+Hardware!$C$8))/Hardware!$C$6,0)</f>
        <v/>
      </c>
      <c r="H6" s="17">
        <f>ROUNDDOWN(((Site_Assumptions!H5*1000000)/(1+Hardware!$C$8))/Hardware!$C$6,0)</f>
        <v/>
      </c>
      <c r="I6" s="17">
        <f>ROUNDDOWN(((Site_Assumptions!I5*1000000)/(1+Hardware!$C$8))/Hardware!$C$6,0)</f>
        <v/>
      </c>
      <c r="J6" s="17">
        <f>ROUNDDOWN(((Site_Assumptions!J5*1000000)/(1+Hardware!$C$8))/Hardware!$C$6,0)</f>
        <v/>
      </c>
      <c r="K6" s="17">
        <f>ROUNDDOWN(((Site_Assumptions!K5*1000000)/(1+Hardware!$C$8))/Hardware!$C$6,0)</f>
        <v/>
      </c>
      <c r="L6" s="17">
        <f>ROUNDDOWN(((Site_Assumptions!L5*1000000)/(1+Hardware!$C$8))/Hardware!$C$6,0)</f>
        <v/>
      </c>
      <c r="M6" s="4" t="n"/>
      <c r="N6" s="4" t="n"/>
    </row>
    <row r="7" ht="20" customHeight="1">
      <c r="A7" s="11" t="inlineStr">
        <is>
          <t>Site hashrate</t>
        </is>
      </c>
      <c r="B7" s="8" t="inlineStr">
        <is>
          <t>TH/s</t>
        </is>
      </c>
      <c r="C7" s="17">
        <f>C6*Hardware!$C$5*(1-Hardware!$C$9)</f>
        <v/>
      </c>
      <c r="D7" s="17">
        <f>D6*Hardware!$C$5*(1-Hardware!$C$9)</f>
        <v/>
      </c>
      <c r="E7" s="17">
        <f>E6*Hardware!$C$5*(1-Hardware!$C$9)</f>
        <v/>
      </c>
      <c r="F7" s="17">
        <f>F6*Hardware!$C$5*(1-Hardware!$C$9)</f>
        <v/>
      </c>
      <c r="G7" s="17">
        <f>G6*Hardware!$C$5*(1-Hardware!$C$9)</f>
        <v/>
      </c>
      <c r="H7" s="17">
        <f>H6*Hardware!$C$5*(1-Hardware!$C$9)</f>
        <v/>
      </c>
      <c r="I7" s="17">
        <f>I6*Hardware!$C$5*(1-Hardware!$C$9)</f>
        <v/>
      </c>
      <c r="J7" s="17">
        <f>J6*Hardware!$C$5*(1-Hardware!$C$9)</f>
        <v/>
      </c>
      <c r="K7" s="17">
        <f>K6*Hardware!$C$5*(1-Hardware!$C$9)</f>
        <v/>
      </c>
      <c r="L7" s="17">
        <f>L6*Hardware!$C$5*(1-Hardware!$C$9)</f>
        <v/>
      </c>
      <c r="M7" s="4" t="n"/>
      <c r="N7" s="4" t="n"/>
    </row>
    <row r="8" ht="20" customHeight="1">
      <c r="A8" s="11" t="inlineStr">
        <is>
          <t>BTC mined</t>
        </is>
      </c>
      <c r="B8" s="8" t="inlineStr">
        <is>
          <t>BTC / year</t>
        </is>
      </c>
      <c r="C8" s="13">
        <f>(C7/Assumptions!C8)*Assumptions!C12*Assumptions!C13*Assumptions!C10*(1+Assumptions!C11)</f>
        <v/>
      </c>
      <c r="D8" s="13">
        <f>(D7/Assumptions!D8)*Assumptions!D12*Assumptions!D13*Assumptions!D10*(1+Assumptions!D11)</f>
        <v/>
      </c>
      <c r="E8" s="13">
        <f>(E7/Assumptions!E8)*Assumptions!E12*Assumptions!E13*Assumptions!E10*(1+Assumptions!E11)</f>
        <v/>
      </c>
      <c r="F8" s="13">
        <f>(F7/Assumptions!F8)*Assumptions!F12*Assumptions!F13*Assumptions!F10*(1+Assumptions!F11)</f>
        <v/>
      </c>
      <c r="G8" s="13">
        <f>(G7/Assumptions!G8)*Assumptions!G12*Assumptions!G13*Assumptions!G10*(1+Assumptions!G11)</f>
        <v/>
      </c>
      <c r="H8" s="13">
        <f>(H7/Assumptions!H8)*Assumptions!H12*Assumptions!H13*Assumptions!H10*(1+Assumptions!H11)</f>
        <v/>
      </c>
      <c r="I8" s="13">
        <f>(I7/Assumptions!I8)*Assumptions!I12*Assumptions!I13*Assumptions!I10*(1+Assumptions!I11)</f>
        <v/>
      </c>
      <c r="J8" s="13">
        <f>(J7/Assumptions!J8)*Assumptions!J12*Assumptions!J13*Assumptions!J10*(1+Assumptions!J11)</f>
        <v/>
      </c>
      <c r="K8" s="13">
        <f>(K7/Assumptions!K8)*Assumptions!K12*Assumptions!K13*Assumptions!K10*(1+Assumptions!K11)</f>
        <v/>
      </c>
      <c r="L8" s="13">
        <f>(L7/Assumptions!L8)*Assumptions!L12*Assumptions!L13*Assumptions!L10*(1+Assumptions!L11)</f>
        <v/>
      </c>
      <c r="M8" s="4" t="n"/>
      <c r="N8" s="4" t="n"/>
    </row>
    <row r="9" ht="20" customHeight="1">
      <c r="A9" s="11" t="inlineStr">
        <is>
          <t>BTC revenue</t>
        </is>
      </c>
      <c r="B9" s="8" t="inlineStr">
        <is>
          <t>ZAR'000</t>
        </is>
      </c>
      <c r="C9" s="13">
        <f>C8*Assumptions!C6</f>
        <v/>
      </c>
      <c r="D9" s="13">
        <f>D8*Assumptions!D6</f>
        <v/>
      </c>
      <c r="E9" s="13">
        <f>E8*Assumptions!E6</f>
        <v/>
      </c>
      <c r="F9" s="13">
        <f>F8*Assumptions!F6</f>
        <v/>
      </c>
      <c r="G9" s="13">
        <f>G8*Assumptions!G6</f>
        <v/>
      </c>
      <c r="H9" s="13">
        <f>H8*Assumptions!H6</f>
        <v/>
      </c>
      <c r="I9" s="13">
        <f>I8*Assumptions!I6</f>
        <v/>
      </c>
      <c r="J9" s="13">
        <f>J8*Assumptions!J6</f>
        <v/>
      </c>
      <c r="K9" s="13">
        <f>K8*Assumptions!K6</f>
        <v/>
      </c>
      <c r="L9" s="13">
        <f>L8*Assumptions!L6</f>
        <v/>
      </c>
      <c r="M9" s="4" t="n"/>
      <c r="N9" s="4" t="n"/>
    </row>
    <row r="10" ht="20" customHeight="1">
      <c r="A10" s="11" t="inlineStr">
        <is>
          <t>Demand response revenue</t>
        </is>
      </c>
      <c r="B10" s="8" t="inlineStr">
        <is>
          <t>ZAR'000</t>
        </is>
      </c>
      <c r="C10" s="13">
        <f>Site_Assumptions!C5*Site_Assumptions!C10*Assumptions!C13*Site_Assumptions!C9*Assumptions!$B$21</f>
        <v/>
      </c>
      <c r="D10" s="13">
        <f>Site_Assumptions!D5*Site_Assumptions!D10*Assumptions!D13*Site_Assumptions!D9*Assumptions!$B$21</f>
        <v/>
      </c>
      <c r="E10" s="13">
        <f>Site_Assumptions!E5*Site_Assumptions!E10*Assumptions!E13*Site_Assumptions!E9*Assumptions!$B$21</f>
        <v/>
      </c>
      <c r="F10" s="13">
        <f>Site_Assumptions!F5*Site_Assumptions!F10*Assumptions!F13*Site_Assumptions!F9*Assumptions!$B$21</f>
        <v/>
      </c>
      <c r="G10" s="13">
        <f>Site_Assumptions!G5*Site_Assumptions!G10*Assumptions!G13*Site_Assumptions!G9*Assumptions!$B$21</f>
        <v/>
      </c>
      <c r="H10" s="13">
        <f>Site_Assumptions!H5*Site_Assumptions!H10*Assumptions!H13*Site_Assumptions!H9*Assumptions!$B$21</f>
        <v/>
      </c>
      <c r="I10" s="13">
        <f>Site_Assumptions!I5*Site_Assumptions!I10*Assumptions!I13*Site_Assumptions!I9*Assumptions!$B$21</f>
        <v/>
      </c>
      <c r="J10" s="13">
        <f>Site_Assumptions!J5*Site_Assumptions!J10*Assumptions!J13*Site_Assumptions!J9*Assumptions!$B$21</f>
        <v/>
      </c>
      <c r="K10" s="13">
        <f>Site_Assumptions!K5*Site_Assumptions!K10*Assumptions!K13*Site_Assumptions!K9*Assumptions!$B$21</f>
        <v/>
      </c>
      <c r="L10" s="13">
        <f>Site_Assumptions!L5*Site_Assumptions!L10*Assumptions!L13*Site_Assumptions!L9*Assumptions!$B$21</f>
        <v/>
      </c>
      <c r="M10" s="4" t="n"/>
      <c r="N10" s="4" t="n"/>
    </row>
    <row r="11" ht="20" customHeight="1">
      <c r="A11" s="11" t="inlineStr">
        <is>
          <t>Total revenue</t>
        </is>
      </c>
      <c r="B11" s="8" t="inlineStr">
        <is>
          <t>ZAR'000</t>
        </is>
      </c>
      <c r="C11" s="13">
        <f>C9+C10</f>
        <v/>
      </c>
      <c r="D11" s="13">
        <f>D9+D10</f>
        <v/>
      </c>
      <c r="E11" s="13">
        <f>E9+E10</f>
        <v/>
      </c>
      <c r="F11" s="13">
        <f>F9+F10</f>
        <v/>
      </c>
      <c r="G11" s="13">
        <f>G9+G10</f>
        <v/>
      </c>
      <c r="H11" s="13">
        <f>H9+H10</f>
        <v/>
      </c>
      <c r="I11" s="13">
        <f>I9+I10</f>
        <v/>
      </c>
      <c r="J11" s="13">
        <f>J9+J10</f>
        <v/>
      </c>
      <c r="K11" s="13">
        <f>K9+K10</f>
        <v/>
      </c>
      <c r="L11" s="13">
        <f>L9+L10</f>
        <v/>
      </c>
      <c r="M11" s="4" t="n"/>
      <c r="N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 ht="20" customHeight="1">
      <c r="A17" s="5" t="inlineStr">
        <is>
          <t>AMSA Vanderbijlpark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6" t="n"/>
      <c r="M17" s="4" t="n"/>
      <c r="N17" s="4" t="n"/>
    </row>
    <row r="18" ht="20" customHeight="1">
      <c r="A18" s="11" t="inlineStr">
        <is>
          <t>Gross site energy consumed</t>
        </is>
      </c>
      <c r="B18" s="8" t="inlineStr">
        <is>
          <t>MWh / year</t>
        </is>
      </c>
      <c r="C18" s="13">
        <f>Site_Assumptions!C19*Site_Assumptions!C20*Assumptions!C13*Site_Assumptions!C21</f>
        <v/>
      </c>
      <c r="D18" s="13">
        <f>Site_Assumptions!D19*Site_Assumptions!D20*Assumptions!D13*Site_Assumptions!D21</f>
        <v/>
      </c>
      <c r="E18" s="13">
        <f>Site_Assumptions!E19*Site_Assumptions!E20*Assumptions!E13*Site_Assumptions!E21</f>
        <v/>
      </c>
      <c r="F18" s="13">
        <f>Site_Assumptions!F19*Site_Assumptions!F20*Assumptions!F13*Site_Assumptions!F21</f>
        <v/>
      </c>
      <c r="G18" s="13">
        <f>Site_Assumptions!G19*Site_Assumptions!G20*Assumptions!G13*Site_Assumptions!G21</f>
        <v/>
      </c>
      <c r="H18" s="13">
        <f>Site_Assumptions!H19*Site_Assumptions!H20*Assumptions!H13*Site_Assumptions!H21</f>
        <v/>
      </c>
      <c r="I18" s="13">
        <f>Site_Assumptions!I19*Site_Assumptions!I20*Assumptions!I13*Site_Assumptions!I21</f>
        <v/>
      </c>
      <c r="J18" s="13">
        <f>Site_Assumptions!J19*Site_Assumptions!J20*Assumptions!J13*Site_Assumptions!J21</f>
        <v/>
      </c>
      <c r="K18" s="13">
        <f>Site_Assumptions!K19*Site_Assumptions!K20*Assumptions!K13*Site_Assumptions!K21</f>
        <v/>
      </c>
      <c r="L18" s="13">
        <f>Site_Assumptions!L19*Site_Assumptions!L20*Assumptions!L13*Site_Assumptions!L21</f>
        <v/>
      </c>
      <c r="M18" s="4" t="n"/>
      <c r="N18" s="4" t="n"/>
    </row>
    <row r="19" ht="20" customHeight="1">
      <c r="A19" s="11" t="inlineStr">
        <is>
          <t>Estimated ASIC count</t>
        </is>
      </c>
      <c r="B19" s="8" t="inlineStr">
        <is>
          <t>miners</t>
        </is>
      </c>
      <c r="C19" s="17">
        <f>ROUNDDOWN(((Site_Assumptions!C19*1000000)/(1+Hardware!$C$8))/Hardware!$C$6,0)</f>
        <v/>
      </c>
      <c r="D19" s="17">
        <f>ROUNDDOWN(((Site_Assumptions!D19*1000000)/(1+Hardware!$C$8))/Hardware!$C$6,0)</f>
        <v/>
      </c>
      <c r="E19" s="17">
        <f>ROUNDDOWN(((Site_Assumptions!E19*1000000)/(1+Hardware!$C$8))/Hardware!$C$6,0)</f>
        <v/>
      </c>
      <c r="F19" s="17">
        <f>ROUNDDOWN(((Site_Assumptions!F19*1000000)/(1+Hardware!$C$8))/Hardware!$C$6,0)</f>
        <v/>
      </c>
      <c r="G19" s="17">
        <f>ROUNDDOWN(((Site_Assumptions!G19*1000000)/(1+Hardware!$C$8))/Hardware!$C$6,0)</f>
        <v/>
      </c>
      <c r="H19" s="17">
        <f>ROUNDDOWN(((Site_Assumptions!H19*1000000)/(1+Hardware!$C$8))/Hardware!$C$6,0)</f>
        <v/>
      </c>
      <c r="I19" s="17">
        <f>ROUNDDOWN(((Site_Assumptions!I19*1000000)/(1+Hardware!$C$8))/Hardware!$C$6,0)</f>
        <v/>
      </c>
      <c r="J19" s="17">
        <f>ROUNDDOWN(((Site_Assumptions!J19*1000000)/(1+Hardware!$C$8))/Hardware!$C$6,0)</f>
        <v/>
      </c>
      <c r="K19" s="17">
        <f>ROUNDDOWN(((Site_Assumptions!K19*1000000)/(1+Hardware!$C$8))/Hardware!$C$6,0)</f>
        <v/>
      </c>
      <c r="L19" s="17">
        <f>ROUNDDOWN(((Site_Assumptions!L19*1000000)/(1+Hardware!$C$8))/Hardware!$C$6,0)</f>
        <v/>
      </c>
      <c r="M19" s="4" t="n"/>
      <c r="N19" s="4" t="n"/>
    </row>
    <row r="20" ht="20" customHeight="1">
      <c r="A20" s="11" t="inlineStr">
        <is>
          <t>Site hashrate</t>
        </is>
      </c>
      <c r="B20" s="8" t="inlineStr">
        <is>
          <t>TH/s</t>
        </is>
      </c>
      <c r="C20" s="17">
        <f>C19*Hardware!$C$5*(1-Hardware!$C$9)</f>
        <v/>
      </c>
      <c r="D20" s="17">
        <f>D19*Hardware!$C$5*(1-Hardware!$C$9)</f>
        <v/>
      </c>
      <c r="E20" s="17">
        <f>E19*Hardware!$C$5*(1-Hardware!$C$9)</f>
        <v/>
      </c>
      <c r="F20" s="17">
        <f>F19*Hardware!$C$5*(1-Hardware!$C$9)</f>
        <v/>
      </c>
      <c r="G20" s="17">
        <f>G19*Hardware!$C$5*(1-Hardware!$C$9)</f>
        <v/>
      </c>
      <c r="H20" s="17">
        <f>H19*Hardware!$C$5*(1-Hardware!$C$9)</f>
        <v/>
      </c>
      <c r="I20" s="17">
        <f>I19*Hardware!$C$5*(1-Hardware!$C$9)</f>
        <v/>
      </c>
      <c r="J20" s="17">
        <f>J19*Hardware!$C$5*(1-Hardware!$C$9)</f>
        <v/>
      </c>
      <c r="K20" s="17">
        <f>K19*Hardware!$C$5*(1-Hardware!$C$9)</f>
        <v/>
      </c>
      <c r="L20" s="17">
        <f>L19*Hardware!$C$5*(1-Hardware!$C$9)</f>
        <v/>
      </c>
      <c r="M20" s="4" t="n"/>
      <c r="N20" s="4" t="n"/>
    </row>
    <row r="21" ht="20" customHeight="1">
      <c r="A21" s="11" t="inlineStr">
        <is>
          <t>BTC mined</t>
        </is>
      </c>
      <c r="B21" s="8" t="inlineStr">
        <is>
          <t>BTC / year</t>
        </is>
      </c>
      <c r="C21" s="13">
        <f>(C20/Assumptions!C8)*Assumptions!C12*Assumptions!C13*Assumptions!C10*(1+Assumptions!C11)</f>
        <v/>
      </c>
      <c r="D21" s="13">
        <f>(D20/Assumptions!D8)*Assumptions!D12*Assumptions!D13*Assumptions!D10*(1+Assumptions!D11)</f>
        <v/>
      </c>
      <c r="E21" s="13">
        <f>(E20/Assumptions!E8)*Assumptions!E12*Assumptions!E13*Assumptions!E10*(1+Assumptions!E11)</f>
        <v/>
      </c>
      <c r="F21" s="13">
        <f>(F20/Assumptions!F8)*Assumptions!F12*Assumptions!F13*Assumptions!F10*(1+Assumptions!F11)</f>
        <v/>
      </c>
      <c r="G21" s="13">
        <f>(G20/Assumptions!G8)*Assumptions!G12*Assumptions!G13*Assumptions!G10*(1+Assumptions!G11)</f>
        <v/>
      </c>
      <c r="H21" s="13">
        <f>(H20/Assumptions!H8)*Assumptions!H12*Assumptions!H13*Assumptions!H10*(1+Assumptions!H11)</f>
        <v/>
      </c>
      <c r="I21" s="13">
        <f>(I20/Assumptions!I8)*Assumptions!I12*Assumptions!I13*Assumptions!I10*(1+Assumptions!I11)</f>
        <v/>
      </c>
      <c r="J21" s="13">
        <f>(J20/Assumptions!J8)*Assumptions!J12*Assumptions!J13*Assumptions!J10*(1+Assumptions!J11)</f>
        <v/>
      </c>
      <c r="K21" s="13">
        <f>(K20/Assumptions!K8)*Assumptions!K12*Assumptions!K13*Assumptions!K10*(1+Assumptions!K11)</f>
        <v/>
      </c>
      <c r="L21" s="13">
        <f>(L20/Assumptions!L8)*Assumptions!L12*Assumptions!L13*Assumptions!L10*(1+Assumptions!L11)</f>
        <v/>
      </c>
      <c r="M21" s="4" t="n"/>
      <c r="N21" s="4" t="n"/>
    </row>
    <row r="22" ht="20" customHeight="1">
      <c r="A22" s="11" t="inlineStr">
        <is>
          <t>BTC revenue</t>
        </is>
      </c>
      <c r="B22" s="8" t="inlineStr">
        <is>
          <t>ZAR'000</t>
        </is>
      </c>
      <c r="C22" s="13">
        <f>C21*Assumptions!C6</f>
        <v/>
      </c>
      <c r="D22" s="13">
        <f>D21*Assumptions!D6</f>
        <v/>
      </c>
      <c r="E22" s="13">
        <f>E21*Assumptions!E6</f>
        <v/>
      </c>
      <c r="F22" s="13">
        <f>F21*Assumptions!F6</f>
        <v/>
      </c>
      <c r="G22" s="13">
        <f>G21*Assumptions!G6</f>
        <v/>
      </c>
      <c r="H22" s="13">
        <f>H21*Assumptions!H6</f>
        <v/>
      </c>
      <c r="I22" s="13">
        <f>I21*Assumptions!I6</f>
        <v/>
      </c>
      <c r="J22" s="13">
        <f>J21*Assumptions!J6</f>
        <v/>
      </c>
      <c r="K22" s="13">
        <f>K21*Assumptions!K6</f>
        <v/>
      </c>
      <c r="L22" s="13">
        <f>L21*Assumptions!L6</f>
        <v/>
      </c>
      <c r="M22" s="4" t="n"/>
      <c r="N22" s="4" t="n"/>
    </row>
    <row r="23" ht="20" customHeight="1">
      <c r="A23" s="11" t="inlineStr">
        <is>
          <t>Demand response revenue</t>
        </is>
      </c>
      <c r="B23" s="8" t="inlineStr">
        <is>
          <t>ZAR'000</t>
        </is>
      </c>
      <c r="C23" s="13">
        <f>Site_Assumptions!C19*Site_Assumptions!C24*Assumptions!C13*Site_Assumptions!C23*Assumptions!$B$21</f>
        <v/>
      </c>
      <c r="D23" s="13">
        <f>Site_Assumptions!D19*Site_Assumptions!D24*Assumptions!D13*Site_Assumptions!D23*Assumptions!$B$21</f>
        <v/>
      </c>
      <c r="E23" s="13">
        <f>Site_Assumptions!E19*Site_Assumptions!E24*Assumptions!E13*Site_Assumptions!E23*Assumptions!$B$21</f>
        <v/>
      </c>
      <c r="F23" s="13">
        <f>Site_Assumptions!F19*Site_Assumptions!F24*Assumptions!F13*Site_Assumptions!F23*Assumptions!$B$21</f>
        <v/>
      </c>
      <c r="G23" s="13">
        <f>Site_Assumptions!G19*Site_Assumptions!G24*Assumptions!G13*Site_Assumptions!G23*Assumptions!$B$21</f>
        <v/>
      </c>
      <c r="H23" s="13">
        <f>Site_Assumptions!H19*Site_Assumptions!H24*Assumptions!H13*Site_Assumptions!H23*Assumptions!$B$21</f>
        <v/>
      </c>
      <c r="I23" s="13">
        <f>Site_Assumptions!I19*Site_Assumptions!I24*Assumptions!I13*Site_Assumptions!I23*Assumptions!$B$21</f>
        <v/>
      </c>
      <c r="J23" s="13">
        <f>Site_Assumptions!J19*Site_Assumptions!J24*Assumptions!J13*Site_Assumptions!J23*Assumptions!$B$21</f>
        <v/>
      </c>
      <c r="K23" s="13">
        <f>Site_Assumptions!K19*Site_Assumptions!K24*Assumptions!K13*Site_Assumptions!K23*Assumptions!$B$21</f>
        <v/>
      </c>
      <c r="L23" s="13">
        <f>Site_Assumptions!L19*Site_Assumptions!L24*Assumptions!L13*Site_Assumptions!L23*Assumptions!$B$21</f>
        <v/>
      </c>
      <c r="M23" s="4" t="n"/>
      <c r="N23" s="4" t="n"/>
    </row>
    <row r="24" ht="20" customHeight="1">
      <c r="A24" s="11" t="inlineStr">
        <is>
          <t>Total revenue</t>
        </is>
      </c>
      <c r="B24" s="8" t="inlineStr">
        <is>
          <t>ZAR'000</t>
        </is>
      </c>
      <c r="C24" s="13">
        <f>C22+C23</f>
        <v/>
      </c>
      <c r="D24" s="13">
        <f>D22+D23</f>
        <v/>
      </c>
      <c r="E24" s="13">
        <f>E22+E23</f>
        <v/>
      </c>
      <c r="F24" s="13">
        <f>F22+F23</f>
        <v/>
      </c>
      <c r="G24" s="13">
        <f>G22+G23</f>
        <v/>
      </c>
      <c r="H24" s="13">
        <f>H22+H23</f>
        <v/>
      </c>
      <c r="I24" s="13">
        <f>I22+I23</f>
        <v/>
      </c>
      <c r="J24" s="13">
        <f>J22+J23</f>
        <v/>
      </c>
      <c r="K24" s="13">
        <f>K22+K23</f>
        <v/>
      </c>
      <c r="L24" s="13">
        <f>L22+L23</f>
        <v/>
      </c>
      <c r="M24" s="4" t="n"/>
      <c r="N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5" t="inlineStr">
        <is>
          <t>Project totals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6" t="n"/>
      <c r="M31" s="4" t="n"/>
      <c r="N31" s="4" t="n"/>
    </row>
    <row r="32" ht="20" customHeight="1">
      <c r="A32" s="11" t="inlineStr">
        <is>
          <t>Gross site energy consumed</t>
        </is>
      </c>
      <c r="B32" s="8" t="inlineStr">
        <is>
          <t>MWh / year</t>
        </is>
      </c>
      <c r="C32" s="20">
        <f>C5+C18</f>
        <v/>
      </c>
      <c r="D32" s="20">
        <f>D5+D18</f>
        <v/>
      </c>
      <c r="E32" s="20">
        <f>E5+E18</f>
        <v/>
      </c>
      <c r="F32" s="20">
        <f>F5+F18</f>
        <v/>
      </c>
      <c r="G32" s="20">
        <f>G5+G18</f>
        <v/>
      </c>
      <c r="H32" s="20">
        <f>H5+H18</f>
        <v/>
      </c>
      <c r="I32" s="20">
        <f>I5+I18</f>
        <v/>
      </c>
      <c r="J32" s="20">
        <f>J5+J18</f>
        <v/>
      </c>
      <c r="K32" s="20">
        <f>K5+K18</f>
        <v/>
      </c>
      <c r="L32" s="20">
        <f>L5+L18</f>
        <v/>
      </c>
      <c r="M32" s="4" t="n"/>
      <c r="N32" s="4" t="n"/>
    </row>
    <row r="33" ht="20" customHeight="1">
      <c r="A33" s="11" t="inlineStr">
        <is>
          <t>Estimated ASIC count</t>
        </is>
      </c>
      <c r="B33" s="8" t="inlineStr">
        <is>
          <t>miners</t>
        </is>
      </c>
      <c r="C33" s="21">
        <f>C6+C19</f>
        <v/>
      </c>
      <c r="D33" s="21">
        <f>D6+D19</f>
        <v/>
      </c>
      <c r="E33" s="21">
        <f>E6+E19</f>
        <v/>
      </c>
      <c r="F33" s="21">
        <f>F6+F19</f>
        <v/>
      </c>
      <c r="G33" s="21">
        <f>G6+G19</f>
        <v/>
      </c>
      <c r="H33" s="21">
        <f>H6+H19</f>
        <v/>
      </c>
      <c r="I33" s="21">
        <f>I6+I19</f>
        <v/>
      </c>
      <c r="J33" s="21">
        <f>J6+J19</f>
        <v/>
      </c>
      <c r="K33" s="21">
        <f>K6+K19</f>
        <v/>
      </c>
      <c r="L33" s="21">
        <f>L6+L19</f>
        <v/>
      </c>
      <c r="M33" s="4" t="n"/>
      <c r="N33" s="4" t="n"/>
    </row>
    <row r="34" ht="20" customHeight="1">
      <c r="A34" s="11" t="inlineStr">
        <is>
          <t>Total hashrate</t>
        </is>
      </c>
      <c r="B34" s="8" t="inlineStr">
        <is>
          <t>TH/s</t>
        </is>
      </c>
      <c r="C34" s="21">
        <f>C7+C20</f>
        <v/>
      </c>
      <c r="D34" s="21">
        <f>D7+D20</f>
        <v/>
      </c>
      <c r="E34" s="21">
        <f>E7+E20</f>
        <v/>
      </c>
      <c r="F34" s="21">
        <f>F7+F20</f>
        <v/>
      </c>
      <c r="G34" s="21">
        <f>G7+G20</f>
        <v/>
      </c>
      <c r="H34" s="21">
        <f>H7+H20</f>
        <v/>
      </c>
      <c r="I34" s="21">
        <f>I7+I20</f>
        <v/>
      </c>
      <c r="J34" s="21">
        <f>J7+J20</f>
        <v/>
      </c>
      <c r="K34" s="21">
        <f>K7+K20</f>
        <v/>
      </c>
      <c r="L34" s="21">
        <f>L7+L20</f>
        <v/>
      </c>
      <c r="M34" s="4" t="n"/>
      <c r="N34" s="4" t="n"/>
    </row>
    <row r="35" ht="20" customHeight="1">
      <c r="A35" s="11" t="inlineStr">
        <is>
          <t>BTC mined</t>
        </is>
      </c>
      <c r="B35" s="8" t="inlineStr">
        <is>
          <t>BTC / year</t>
        </is>
      </c>
      <c r="C35" s="20">
        <f>C8+C21</f>
        <v/>
      </c>
      <c r="D35" s="20">
        <f>D8+D21</f>
        <v/>
      </c>
      <c r="E35" s="20">
        <f>E8+E21</f>
        <v/>
      </c>
      <c r="F35" s="20">
        <f>F8+F21</f>
        <v/>
      </c>
      <c r="G35" s="20">
        <f>G8+G21</f>
        <v/>
      </c>
      <c r="H35" s="20">
        <f>H8+H21</f>
        <v/>
      </c>
      <c r="I35" s="20">
        <f>I8+I21</f>
        <v/>
      </c>
      <c r="J35" s="20">
        <f>J8+J21</f>
        <v/>
      </c>
      <c r="K35" s="20">
        <f>K8+K21</f>
        <v/>
      </c>
      <c r="L35" s="20">
        <f>L8+L21</f>
        <v/>
      </c>
      <c r="M35" s="4" t="n"/>
      <c r="N35" s="4" t="n"/>
    </row>
    <row r="36" ht="20" customHeight="1">
      <c r="A36" s="11" t="inlineStr">
        <is>
          <t>BTC revenue</t>
        </is>
      </c>
      <c r="B36" s="8" t="inlineStr">
        <is>
          <t>ZAR'000</t>
        </is>
      </c>
      <c r="C36" s="20">
        <f>C9+C22</f>
        <v/>
      </c>
      <c r="D36" s="20">
        <f>D9+D22</f>
        <v/>
      </c>
      <c r="E36" s="20">
        <f>E9+E22</f>
        <v/>
      </c>
      <c r="F36" s="20">
        <f>F9+F22</f>
        <v/>
      </c>
      <c r="G36" s="20">
        <f>G9+G22</f>
        <v/>
      </c>
      <c r="H36" s="20">
        <f>H9+H22</f>
        <v/>
      </c>
      <c r="I36" s="20">
        <f>I9+I22</f>
        <v/>
      </c>
      <c r="J36" s="20">
        <f>J9+J22</f>
        <v/>
      </c>
      <c r="K36" s="20">
        <f>K9+K22</f>
        <v/>
      </c>
      <c r="L36" s="20">
        <f>L9+L22</f>
        <v/>
      </c>
      <c r="M36" s="4" t="n"/>
      <c r="N36" s="4" t="n"/>
    </row>
    <row r="37" ht="20" customHeight="1">
      <c r="A37" s="11" t="inlineStr">
        <is>
          <t>Demand response revenue</t>
        </is>
      </c>
      <c r="B37" s="8" t="inlineStr">
        <is>
          <t>ZAR'000</t>
        </is>
      </c>
      <c r="C37" s="20">
        <f>C10+C23</f>
        <v/>
      </c>
      <c r="D37" s="20">
        <f>D10+D23</f>
        <v/>
      </c>
      <c r="E37" s="20">
        <f>E10+E23</f>
        <v/>
      </c>
      <c r="F37" s="20">
        <f>F10+F23</f>
        <v/>
      </c>
      <c r="G37" s="20">
        <f>G10+G23</f>
        <v/>
      </c>
      <c r="H37" s="20">
        <f>H10+H23</f>
        <v/>
      </c>
      <c r="I37" s="20">
        <f>I10+I23</f>
        <v/>
      </c>
      <c r="J37" s="20">
        <f>J10+J23</f>
        <v/>
      </c>
      <c r="K37" s="20">
        <f>K10+K23</f>
        <v/>
      </c>
      <c r="L37" s="20">
        <f>L10+L23</f>
        <v/>
      </c>
      <c r="M37" s="4" t="n"/>
      <c r="N37" s="4" t="n"/>
    </row>
    <row r="38" ht="20" customHeight="1">
      <c r="A38" s="11" t="inlineStr">
        <is>
          <t>Total revenue</t>
        </is>
      </c>
      <c r="B38" s="8" t="inlineStr">
        <is>
          <t>ZAR'000</t>
        </is>
      </c>
      <c r="C38" s="20">
        <f>C11+C24</f>
        <v/>
      </c>
      <c r="D38" s="20">
        <f>D11+D24</f>
        <v/>
      </c>
      <c r="E38" s="20">
        <f>E11+E24</f>
        <v/>
      </c>
      <c r="F38" s="20">
        <f>F11+F24</f>
        <v/>
      </c>
      <c r="G38" s="20">
        <f>G11+G24</f>
        <v/>
      </c>
      <c r="H38" s="20">
        <f>H11+H24</f>
        <v/>
      </c>
      <c r="I38" s="20">
        <f>I11+I24</f>
        <v/>
      </c>
      <c r="J38" s="20">
        <f>J11+J24</f>
        <v/>
      </c>
      <c r="K38" s="20">
        <f>K11+K24</f>
        <v/>
      </c>
      <c r="L38" s="20">
        <f>L11+L24</f>
        <v/>
      </c>
      <c r="M38" s="4" t="n"/>
      <c r="N38" s="4" t="n"/>
    </row>
  </sheetData>
  <mergeCells count="4">
    <mergeCell ref="A31:L31"/>
    <mergeCell ref="A17:L17"/>
    <mergeCell ref="A4:L4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Operating Cost Model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10" t="inlineStr">
        <is>
          <t>Driver</t>
        </is>
      </c>
      <c r="B3" s="10" t="inlineStr">
        <is>
          <t>Unit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4" t="n"/>
      <c r="N3" s="4" t="n"/>
    </row>
    <row r="4" ht="20" customHeight="1">
      <c r="A4" s="5" t="inlineStr">
        <is>
          <t>Grootvlei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  <c r="M4" s="4" t="n"/>
      <c r="N4" s="4" t="n"/>
    </row>
    <row r="5" ht="20" customHeight="1">
      <c r="A5" s="11" t="inlineStr">
        <is>
          <t>Energy cost</t>
        </is>
      </c>
      <c r="B5" s="8" t="inlineStr">
        <is>
          <t>ZAR'000</t>
        </is>
      </c>
      <c r="C5" s="13">
        <f>Site_Assumptions!C5*Site_Assumptions!C6*Assumptions!C13*Site_Assumptions!C8</f>
        <v/>
      </c>
      <c r="D5" s="13">
        <f>Site_Assumptions!D5*Site_Assumptions!D6*Assumptions!D13*Site_Assumptions!D8</f>
        <v/>
      </c>
      <c r="E5" s="13">
        <f>Site_Assumptions!E5*Site_Assumptions!E6*Assumptions!E13*Site_Assumptions!E8</f>
        <v/>
      </c>
      <c r="F5" s="13">
        <f>Site_Assumptions!F5*Site_Assumptions!F6*Assumptions!F13*Site_Assumptions!F8</f>
        <v/>
      </c>
      <c r="G5" s="13">
        <f>Site_Assumptions!G5*Site_Assumptions!G6*Assumptions!G13*Site_Assumptions!G8</f>
        <v/>
      </c>
      <c r="H5" s="13">
        <f>Site_Assumptions!H5*Site_Assumptions!H6*Assumptions!H13*Site_Assumptions!H8</f>
        <v/>
      </c>
      <c r="I5" s="13">
        <f>Site_Assumptions!I5*Site_Assumptions!I6*Assumptions!I13*Site_Assumptions!I8</f>
        <v/>
      </c>
      <c r="J5" s="13">
        <f>Site_Assumptions!J5*Site_Assumptions!J6*Assumptions!J13*Site_Assumptions!J8</f>
        <v/>
      </c>
      <c r="K5" s="13">
        <f>Site_Assumptions!K5*Site_Assumptions!K6*Assumptions!K13*Site_Assumptions!K8</f>
        <v/>
      </c>
      <c r="L5" s="13">
        <f>Site_Assumptions!L5*Site_Assumptions!L6*Assumptions!L13*Site_Assumptions!L8</f>
        <v/>
      </c>
      <c r="M5" s="4" t="n"/>
      <c r="N5" s="4" t="n"/>
    </row>
    <row r="6" ht="20" customHeight="1">
      <c r="A6" s="11" t="inlineStr">
        <is>
          <t>Staff cost</t>
        </is>
      </c>
      <c r="B6" s="8" t="inlineStr">
        <is>
          <t>ZAR'000</t>
        </is>
      </c>
      <c r="C6" s="13">
        <f>Site_Assumptions!C5*Site_Assumptions!C13*Site_Assumptions!C14</f>
        <v/>
      </c>
      <c r="D6" s="13">
        <f>Site_Assumptions!D5*Site_Assumptions!D13*Site_Assumptions!D14</f>
        <v/>
      </c>
      <c r="E6" s="13">
        <f>Site_Assumptions!E5*Site_Assumptions!E13*Site_Assumptions!E14</f>
        <v/>
      </c>
      <c r="F6" s="13">
        <f>Site_Assumptions!F5*Site_Assumptions!F13*Site_Assumptions!F14</f>
        <v/>
      </c>
      <c r="G6" s="13">
        <f>Site_Assumptions!G5*Site_Assumptions!G13*Site_Assumptions!G14</f>
        <v/>
      </c>
      <c r="H6" s="13">
        <f>Site_Assumptions!H5*Site_Assumptions!H13*Site_Assumptions!H14</f>
        <v/>
      </c>
      <c r="I6" s="13">
        <f>Site_Assumptions!I5*Site_Assumptions!I13*Site_Assumptions!I14</f>
        <v/>
      </c>
      <c r="J6" s="13">
        <f>Site_Assumptions!J5*Site_Assumptions!J13*Site_Assumptions!J14</f>
        <v/>
      </c>
      <c r="K6" s="13">
        <f>Site_Assumptions!K5*Site_Assumptions!K13*Site_Assumptions!K14</f>
        <v/>
      </c>
      <c r="L6" s="13">
        <f>Site_Assumptions!L5*Site_Assumptions!L13*Site_Assumptions!L14</f>
        <v/>
      </c>
      <c r="M6" s="4" t="n"/>
      <c r="N6" s="4" t="n"/>
    </row>
    <row r="7" ht="20" customHeight="1">
      <c r="A7" s="11" t="inlineStr">
        <is>
          <t>Maintenance</t>
        </is>
      </c>
      <c r="B7" s="8" t="inlineStr">
        <is>
          <t>ZAR'000</t>
        </is>
      </c>
      <c r="C7" s="13">
        <f>Revenue!C6*Hardware!$C$10/1000</f>
        <v/>
      </c>
      <c r="D7" s="13">
        <f>Revenue!D6*Hardware!$C$10/1000</f>
        <v/>
      </c>
      <c r="E7" s="13">
        <f>Revenue!E6*Hardware!$C$10/1000</f>
        <v/>
      </c>
      <c r="F7" s="13">
        <f>Revenue!F6*Hardware!$C$10/1000</f>
        <v/>
      </c>
      <c r="G7" s="13">
        <f>Revenue!G6*Hardware!$C$10/1000</f>
        <v/>
      </c>
      <c r="H7" s="13">
        <f>Revenue!H6*Hardware!$C$10/1000</f>
        <v/>
      </c>
      <c r="I7" s="13">
        <f>Revenue!I6*Hardware!$C$10/1000</f>
        <v/>
      </c>
      <c r="J7" s="13">
        <f>Revenue!J6*Hardware!$C$10/1000</f>
        <v/>
      </c>
      <c r="K7" s="13">
        <f>Revenue!K6*Hardware!$C$10/1000</f>
        <v/>
      </c>
      <c r="L7" s="13">
        <f>Revenue!L6*Hardware!$C$10/1000</f>
        <v/>
      </c>
      <c r="M7" s="4" t="n"/>
      <c r="N7" s="4" t="n"/>
    </row>
    <row r="8" ht="20" customHeight="1">
      <c r="A8" s="11" t="inlineStr">
        <is>
          <t>Fixed site opex</t>
        </is>
      </c>
      <c r="B8" s="8" t="inlineStr">
        <is>
          <t>ZAR'000</t>
        </is>
      </c>
      <c r="C8" s="13">
        <f>Site_Assumptions!C11</f>
        <v/>
      </c>
      <c r="D8" s="13">
        <f>Site_Assumptions!D11</f>
        <v/>
      </c>
      <c r="E8" s="13">
        <f>Site_Assumptions!E11</f>
        <v/>
      </c>
      <c r="F8" s="13">
        <f>Site_Assumptions!F11</f>
        <v/>
      </c>
      <c r="G8" s="13">
        <f>Site_Assumptions!G11</f>
        <v/>
      </c>
      <c r="H8" s="13">
        <f>Site_Assumptions!H11</f>
        <v/>
      </c>
      <c r="I8" s="13">
        <f>Site_Assumptions!I11</f>
        <v/>
      </c>
      <c r="J8" s="13">
        <f>Site_Assumptions!J11</f>
        <v/>
      </c>
      <c r="K8" s="13">
        <f>Site_Assumptions!K11</f>
        <v/>
      </c>
      <c r="L8" s="13">
        <f>Site_Assumptions!L11</f>
        <v/>
      </c>
      <c r="M8" s="4" t="n"/>
      <c r="N8" s="4" t="n"/>
    </row>
    <row r="9" ht="20" customHeight="1">
      <c r="A9" s="11" t="inlineStr">
        <is>
          <t>Rent</t>
        </is>
      </c>
      <c r="B9" s="8" t="inlineStr">
        <is>
          <t>ZAR'000</t>
        </is>
      </c>
      <c r="C9" s="13">
        <f>Site_Assumptions!C12</f>
        <v/>
      </c>
      <c r="D9" s="13">
        <f>Site_Assumptions!D12</f>
        <v/>
      </c>
      <c r="E9" s="13">
        <f>Site_Assumptions!E12</f>
        <v/>
      </c>
      <c r="F9" s="13">
        <f>Site_Assumptions!F12</f>
        <v/>
      </c>
      <c r="G9" s="13">
        <f>Site_Assumptions!G12</f>
        <v/>
      </c>
      <c r="H9" s="13">
        <f>Site_Assumptions!H12</f>
        <v/>
      </c>
      <c r="I9" s="13">
        <f>Site_Assumptions!I12</f>
        <v/>
      </c>
      <c r="J9" s="13">
        <f>Site_Assumptions!J12</f>
        <v/>
      </c>
      <c r="K9" s="13">
        <f>Site_Assumptions!K12</f>
        <v/>
      </c>
      <c r="L9" s="13">
        <f>Site_Assumptions!L12</f>
        <v/>
      </c>
      <c r="M9" s="4" t="n"/>
      <c r="N9" s="4" t="n"/>
    </row>
    <row r="10" ht="20" customHeight="1">
      <c r="A10" s="11" t="inlineStr">
        <is>
          <t>Other utilities</t>
        </is>
      </c>
      <c r="B10" s="8" t="inlineStr">
        <is>
          <t>ZAR'000</t>
        </is>
      </c>
      <c r="C10" s="13">
        <f>Site_Assumptions!C5*Site_Assumptions!C15</f>
        <v/>
      </c>
      <c r="D10" s="13">
        <f>Site_Assumptions!D5*Site_Assumptions!D15</f>
        <v/>
      </c>
      <c r="E10" s="13">
        <f>Site_Assumptions!E5*Site_Assumptions!E15</f>
        <v/>
      </c>
      <c r="F10" s="13">
        <f>Site_Assumptions!F5*Site_Assumptions!F15</f>
        <v/>
      </c>
      <c r="G10" s="13">
        <f>Site_Assumptions!G5*Site_Assumptions!G15</f>
        <v/>
      </c>
      <c r="H10" s="13">
        <f>Site_Assumptions!H5*Site_Assumptions!H15</f>
        <v/>
      </c>
      <c r="I10" s="13">
        <f>Site_Assumptions!I5*Site_Assumptions!I15</f>
        <v/>
      </c>
      <c r="J10" s="13">
        <f>Site_Assumptions!J5*Site_Assumptions!J15</f>
        <v/>
      </c>
      <c r="K10" s="13">
        <f>Site_Assumptions!K5*Site_Assumptions!K15</f>
        <v/>
      </c>
      <c r="L10" s="13">
        <f>Site_Assumptions!L5*Site_Assumptions!L15</f>
        <v/>
      </c>
      <c r="M10" s="4" t="n"/>
      <c r="N10" s="4" t="n"/>
    </row>
    <row r="11" ht="20" customHeight="1">
      <c r="A11" s="11" t="inlineStr">
        <is>
          <t>Total opex</t>
        </is>
      </c>
      <c r="B11" s="8" t="inlineStr">
        <is>
          <t>ZAR'000</t>
        </is>
      </c>
      <c r="C11" s="13">
        <f>SUM(C5:C10)</f>
        <v/>
      </c>
      <c r="D11" s="13">
        <f>SUM(D5:D10)</f>
        <v/>
      </c>
      <c r="E11" s="13">
        <f>SUM(E5:E10)</f>
        <v/>
      </c>
      <c r="F11" s="13">
        <f>SUM(F5:F10)</f>
        <v/>
      </c>
      <c r="G11" s="13">
        <f>SUM(G5:G10)</f>
        <v/>
      </c>
      <c r="H11" s="13">
        <f>SUM(H5:H10)</f>
        <v/>
      </c>
      <c r="I11" s="13">
        <f>SUM(I5:I10)</f>
        <v/>
      </c>
      <c r="J11" s="13">
        <f>SUM(J5:J10)</f>
        <v/>
      </c>
      <c r="K11" s="13">
        <f>SUM(K5:K10)</f>
        <v/>
      </c>
      <c r="L11" s="13">
        <f>SUM(L5:L10)</f>
        <v/>
      </c>
      <c r="M11" s="4" t="n"/>
      <c r="N11" s="4" t="n"/>
    </row>
    <row r="12" ht="20" customHeight="1">
      <c r="A12" s="11" t="inlineStr">
        <is>
          <t>EBITDA</t>
        </is>
      </c>
      <c r="B12" s="8" t="inlineStr">
        <is>
          <t>ZAR'000</t>
        </is>
      </c>
      <c r="C12" s="13">
        <f>Revenue!C11-C11</f>
        <v/>
      </c>
      <c r="D12" s="13">
        <f>Revenue!D11-D11</f>
        <v/>
      </c>
      <c r="E12" s="13">
        <f>Revenue!E11-E11</f>
        <v/>
      </c>
      <c r="F12" s="13">
        <f>Revenue!F11-F11</f>
        <v/>
      </c>
      <c r="G12" s="13">
        <f>Revenue!G11-G11</f>
        <v/>
      </c>
      <c r="H12" s="13">
        <f>Revenue!H11-H11</f>
        <v/>
      </c>
      <c r="I12" s="13">
        <f>Revenue!I11-I11</f>
        <v/>
      </c>
      <c r="J12" s="13">
        <f>Revenue!J11-J11</f>
        <v/>
      </c>
      <c r="K12" s="13">
        <f>Revenue!K11-K11</f>
        <v/>
      </c>
      <c r="L12" s="13">
        <f>Revenue!L11-L11</f>
        <v/>
      </c>
      <c r="M12" s="4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 ht="20" customHeight="1">
      <c r="A17" s="5" t="inlineStr">
        <is>
          <t>AMSA Vanderbijlpark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6" t="n"/>
      <c r="M17" s="4" t="n"/>
      <c r="N17" s="4" t="n"/>
    </row>
    <row r="18" ht="20" customHeight="1">
      <c r="A18" s="11" t="inlineStr">
        <is>
          <t>Energy cost</t>
        </is>
      </c>
      <c r="B18" s="8" t="inlineStr">
        <is>
          <t>ZAR'000</t>
        </is>
      </c>
      <c r="C18" s="13">
        <f>Site_Assumptions!C19*Site_Assumptions!C20*Assumptions!C13*Site_Assumptions!C22</f>
        <v/>
      </c>
      <c r="D18" s="13">
        <f>Site_Assumptions!D19*Site_Assumptions!D20*Assumptions!D13*Site_Assumptions!D22</f>
        <v/>
      </c>
      <c r="E18" s="13">
        <f>Site_Assumptions!E19*Site_Assumptions!E20*Assumptions!E13*Site_Assumptions!E22</f>
        <v/>
      </c>
      <c r="F18" s="13">
        <f>Site_Assumptions!F19*Site_Assumptions!F20*Assumptions!F13*Site_Assumptions!F22</f>
        <v/>
      </c>
      <c r="G18" s="13">
        <f>Site_Assumptions!G19*Site_Assumptions!G20*Assumptions!G13*Site_Assumptions!G22</f>
        <v/>
      </c>
      <c r="H18" s="13">
        <f>Site_Assumptions!H19*Site_Assumptions!H20*Assumptions!H13*Site_Assumptions!H22</f>
        <v/>
      </c>
      <c r="I18" s="13">
        <f>Site_Assumptions!I19*Site_Assumptions!I20*Assumptions!I13*Site_Assumptions!I22</f>
        <v/>
      </c>
      <c r="J18" s="13">
        <f>Site_Assumptions!J19*Site_Assumptions!J20*Assumptions!J13*Site_Assumptions!J22</f>
        <v/>
      </c>
      <c r="K18" s="13">
        <f>Site_Assumptions!K19*Site_Assumptions!K20*Assumptions!K13*Site_Assumptions!K22</f>
        <v/>
      </c>
      <c r="L18" s="13">
        <f>Site_Assumptions!L19*Site_Assumptions!L20*Assumptions!L13*Site_Assumptions!L22</f>
        <v/>
      </c>
      <c r="M18" s="4" t="n"/>
      <c r="N18" s="4" t="n"/>
    </row>
    <row r="19" ht="20" customHeight="1">
      <c r="A19" s="11" t="inlineStr">
        <is>
          <t>Staff cost</t>
        </is>
      </c>
      <c r="B19" s="8" t="inlineStr">
        <is>
          <t>ZAR'000</t>
        </is>
      </c>
      <c r="C19" s="13">
        <f>Site_Assumptions!C19*Site_Assumptions!C27*Site_Assumptions!C28</f>
        <v/>
      </c>
      <c r="D19" s="13">
        <f>Site_Assumptions!D19*Site_Assumptions!D27*Site_Assumptions!D28</f>
        <v/>
      </c>
      <c r="E19" s="13">
        <f>Site_Assumptions!E19*Site_Assumptions!E27*Site_Assumptions!E28</f>
        <v/>
      </c>
      <c r="F19" s="13">
        <f>Site_Assumptions!F19*Site_Assumptions!F27*Site_Assumptions!F28</f>
        <v/>
      </c>
      <c r="G19" s="13">
        <f>Site_Assumptions!G19*Site_Assumptions!G27*Site_Assumptions!G28</f>
        <v/>
      </c>
      <c r="H19" s="13">
        <f>Site_Assumptions!H19*Site_Assumptions!H27*Site_Assumptions!H28</f>
        <v/>
      </c>
      <c r="I19" s="13">
        <f>Site_Assumptions!I19*Site_Assumptions!I27*Site_Assumptions!I28</f>
        <v/>
      </c>
      <c r="J19" s="13">
        <f>Site_Assumptions!J19*Site_Assumptions!J27*Site_Assumptions!J28</f>
        <v/>
      </c>
      <c r="K19" s="13">
        <f>Site_Assumptions!K19*Site_Assumptions!K27*Site_Assumptions!K28</f>
        <v/>
      </c>
      <c r="L19" s="13">
        <f>Site_Assumptions!L19*Site_Assumptions!L27*Site_Assumptions!L28</f>
        <v/>
      </c>
      <c r="M19" s="4" t="n"/>
      <c r="N19" s="4" t="n"/>
    </row>
    <row r="20" ht="20" customHeight="1">
      <c r="A20" s="11" t="inlineStr">
        <is>
          <t>Maintenance</t>
        </is>
      </c>
      <c r="B20" s="8" t="inlineStr">
        <is>
          <t>ZAR'000</t>
        </is>
      </c>
      <c r="C20" s="13">
        <f>Revenue!C19*Hardware!$C$10/1000</f>
        <v/>
      </c>
      <c r="D20" s="13">
        <f>Revenue!D19*Hardware!$C$10/1000</f>
        <v/>
      </c>
      <c r="E20" s="13">
        <f>Revenue!E19*Hardware!$C$10/1000</f>
        <v/>
      </c>
      <c r="F20" s="13">
        <f>Revenue!F19*Hardware!$C$10/1000</f>
        <v/>
      </c>
      <c r="G20" s="13">
        <f>Revenue!G19*Hardware!$C$10/1000</f>
        <v/>
      </c>
      <c r="H20" s="13">
        <f>Revenue!H19*Hardware!$C$10/1000</f>
        <v/>
      </c>
      <c r="I20" s="13">
        <f>Revenue!I19*Hardware!$C$10/1000</f>
        <v/>
      </c>
      <c r="J20" s="13">
        <f>Revenue!J19*Hardware!$C$10/1000</f>
        <v/>
      </c>
      <c r="K20" s="13">
        <f>Revenue!K19*Hardware!$C$10/1000</f>
        <v/>
      </c>
      <c r="L20" s="13">
        <f>Revenue!L19*Hardware!$C$10/1000</f>
        <v/>
      </c>
      <c r="M20" s="4" t="n"/>
      <c r="N20" s="4" t="n"/>
    </row>
    <row r="21" ht="20" customHeight="1">
      <c r="A21" s="11" t="inlineStr">
        <is>
          <t>Fixed site opex</t>
        </is>
      </c>
      <c r="B21" s="8" t="inlineStr">
        <is>
          <t>ZAR'000</t>
        </is>
      </c>
      <c r="C21" s="13">
        <f>Site_Assumptions!C25</f>
        <v/>
      </c>
      <c r="D21" s="13">
        <f>Site_Assumptions!D25</f>
        <v/>
      </c>
      <c r="E21" s="13">
        <f>Site_Assumptions!E25</f>
        <v/>
      </c>
      <c r="F21" s="13">
        <f>Site_Assumptions!F25</f>
        <v/>
      </c>
      <c r="G21" s="13">
        <f>Site_Assumptions!G25</f>
        <v/>
      </c>
      <c r="H21" s="13">
        <f>Site_Assumptions!H25</f>
        <v/>
      </c>
      <c r="I21" s="13">
        <f>Site_Assumptions!I25</f>
        <v/>
      </c>
      <c r="J21" s="13">
        <f>Site_Assumptions!J25</f>
        <v/>
      </c>
      <c r="K21" s="13">
        <f>Site_Assumptions!K25</f>
        <v/>
      </c>
      <c r="L21" s="13">
        <f>Site_Assumptions!L25</f>
        <v/>
      </c>
      <c r="M21" s="4" t="n"/>
      <c r="N21" s="4" t="n"/>
    </row>
    <row r="22" ht="20" customHeight="1">
      <c r="A22" s="11" t="inlineStr">
        <is>
          <t>Rent</t>
        </is>
      </c>
      <c r="B22" s="8" t="inlineStr">
        <is>
          <t>ZAR'000</t>
        </is>
      </c>
      <c r="C22" s="13">
        <f>Site_Assumptions!C26</f>
        <v/>
      </c>
      <c r="D22" s="13">
        <f>Site_Assumptions!D26</f>
        <v/>
      </c>
      <c r="E22" s="13">
        <f>Site_Assumptions!E26</f>
        <v/>
      </c>
      <c r="F22" s="13">
        <f>Site_Assumptions!F26</f>
        <v/>
      </c>
      <c r="G22" s="13">
        <f>Site_Assumptions!G26</f>
        <v/>
      </c>
      <c r="H22" s="13">
        <f>Site_Assumptions!H26</f>
        <v/>
      </c>
      <c r="I22" s="13">
        <f>Site_Assumptions!I26</f>
        <v/>
      </c>
      <c r="J22" s="13">
        <f>Site_Assumptions!J26</f>
        <v/>
      </c>
      <c r="K22" s="13">
        <f>Site_Assumptions!K26</f>
        <v/>
      </c>
      <c r="L22" s="13">
        <f>Site_Assumptions!L26</f>
        <v/>
      </c>
      <c r="M22" s="4" t="n"/>
      <c r="N22" s="4" t="n"/>
    </row>
    <row r="23" ht="20" customHeight="1">
      <c r="A23" s="11" t="inlineStr">
        <is>
          <t>Other utilities</t>
        </is>
      </c>
      <c r="B23" s="8" t="inlineStr">
        <is>
          <t>ZAR'000</t>
        </is>
      </c>
      <c r="C23" s="13">
        <f>Site_Assumptions!C19*Site_Assumptions!C29</f>
        <v/>
      </c>
      <c r="D23" s="13">
        <f>Site_Assumptions!D19*Site_Assumptions!D29</f>
        <v/>
      </c>
      <c r="E23" s="13">
        <f>Site_Assumptions!E19*Site_Assumptions!E29</f>
        <v/>
      </c>
      <c r="F23" s="13">
        <f>Site_Assumptions!F19*Site_Assumptions!F29</f>
        <v/>
      </c>
      <c r="G23" s="13">
        <f>Site_Assumptions!G19*Site_Assumptions!G29</f>
        <v/>
      </c>
      <c r="H23" s="13">
        <f>Site_Assumptions!H19*Site_Assumptions!H29</f>
        <v/>
      </c>
      <c r="I23" s="13">
        <f>Site_Assumptions!I19*Site_Assumptions!I29</f>
        <v/>
      </c>
      <c r="J23" s="13">
        <f>Site_Assumptions!J19*Site_Assumptions!J29</f>
        <v/>
      </c>
      <c r="K23" s="13">
        <f>Site_Assumptions!K19*Site_Assumptions!K29</f>
        <v/>
      </c>
      <c r="L23" s="13">
        <f>Site_Assumptions!L19*Site_Assumptions!L29</f>
        <v/>
      </c>
      <c r="M23" s="4" t="n"/>
      <c r="N23" s="4" t="n"/>
    </row>
    <row r="24" ht="20" customHeight="1">
      <c r="A24" s="11" t="inlineStr">
        <is>
          <t>Total opex</t>
        </is>
      </c>
      <c r="B24" s="8" t="inlineStr">
        <is>
          <t>ZAR'000</t>
        </is>
      </c>
      <c r="C24" s="13">
        <f>SUM(C18:C23)</f>
        <v/>
      </c>
      <c r="D24" s="13">
        <f>SUM(D18:D23)</f>
        <v/>
      </c>
      <c r="E24" s="13">
        <f>SUM(E18:E23)</f>
        <v/>
      </c>
      <c r="F24" s="13">
        <f>SUM(F18:F23)</f>
        <v/>
      </c>
      <c r="G24" s="13">
        <f>SUM(G18:G23)</f>
        <v/>
      </c>
      <c r="H24" s="13">
        <f>SUM(H18:H23)</f>
        <v/>
      </c>
      <c r="I24" s="13">
        <f>SUM(I18:I23)</f>
        <v/>
      </c>
      <c r="J24" s="13">
        <f>SUM(J18:J23)</f>
        <v/>
      </c>
      <c r="K24" s="13">
        <f>SUM(K18:K23)</f>
        <v/>
      </c>
      <c r="L24" s="13">
        <f>SUM(L18:L23)</f>
        <v/>
      </c>
      <c r="M24" s="4" t="n"/>
      <c r="N24" s="4" t="n"/>
    </row>
    <row r="25" ht="20" customHeight="1">
      <c r="A25" s="11" t="inlineStr">
        <is>
          <t>EBITDA</t>
        </is>
      </c>
      <c r="B25" s="8" t="inlineStr">
        <is>
          <t>ZAR'000</t>
        </is>
      </c>
      <c r="C25" s="13">
        <f>Revenue!C24-C24</f>
        <v/>
      </c>
      <c r="D25" s="13">
        <f>Revenue!D24-D24</f>
        <v/>
      </c>
      <c r="E25" s="13">
        <f>Revenue!E24-E24</f>
        <v/>
      </c>
      <c r="F25" s="13">
        <f>Revenue!F24-F24</f>
        <v/>
      </c>
      <c r="G25" s="13">
        <f>Revenue!G24-G24</f>
        <v/>
      </c>
      <c r="H25" s="13">
        <f>Revenue!H24-H24</f>
        <v/>
      </c>
      <c r="I25" s="13">
        <f>Revenue!I24-I24</f>
        <v/>
      </c>
      <c r="J25" s="13">
        <f>Revenue!J24-J24</f>
        <v/>
      </c>
      <c r="K25" s="13">
        <f>Revenue!K24-K24</f>
        <v/>
      </c>
      <c r="L25" s="13">
        <f>Revenue!L24-L24</f>
        <v/>
      </c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5" t="inlineStr">
        <is>
          <t>Project totals</t>
        </is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4" t="n"/>
      <c r="N30" s="4" t="n"/>
    </row>
    <row r="31" ht="20" customHeight="1">
      <c r="A31" s="11" t="inlineStr">
        <is>
          <t>Energy cost</t>
        </is>
      </c>
      <c r="B31" s="8" t="inlineStr">
        <is>
          <t>ZAR'000</t>
        </is>
      </c>
      <c r="C31" s="20">
        <f>C5+C18</f>
        <v/>
      </c>
      <c r="D31" s="20">
        <f>D5+D18</f>
        <v/>
      </c>
      <c r="E31" s="20">
        <f>E5+E18</f>
        <v/>
      </c>
      <c r="F31" s="20">
        <f>F5+F18</f>
        <v/>
      </c>
      <c r="G31" s="20">
        <f>G5+G18</f>
        <v/>
      </c>
      <c r="H31" s="20">
        <f>H5+H18</f>
        <v/>
      </c>
      <c r="I31" s="20">
        <f>I5+I18</f>
        <v/>
      </c>
      <c r="J31" s="20">
        <f>J5+J18</f>
        <v/>
      </c>
      <c r="K31" s="20">
        <f>K5+K18</f>
        <v/>
      </c>
      <c r="L31" s="20">
        <f>L5+L18</f>
        <v/>
      </c>
      <c r="M31" s="4" t="n"/>
      <c r="N31" s="4" t="n"/>
    </row>
    <row r="32" ht="20" customHeight="1">
      <c r="A32" s="11" t="inlineStr">
        <is>
          <t>Staff cost</t>
        </is>
      </c>
      <c r="B32" s="8" t="inlineStr">
        <is>
          <t>ZAR'000</t>
        </is>
      </c>
      <c r="C32" s="20">
        <f>C6+C19</f>
        <v/>
      </c>
      <c r="D32" s="20">
        <f>D6+D19</f>
        <v/>
      </c>
      <c r="E32" s="20">
        <f>E6+E19</f>
        <v/>
      </c>
      <c r="F32" s="20">
        <f>F6+F19</f>
        <v/>
      </c>
      <c r="G32" s="20">
        <f>G6+G19</f>
        <v/>
      </c>
      <c r="H32" s="20">
        <f>H6+H19</f>
        <v/>
      </c>
      <c r="I32" s="20">
        <f>I6+I19</f>
        <v/>
      </c>
      <c r="J32" s="20">
        <f>J6+J19</f>
        <v/>
      </c>
      <c r="K32" s="20">
        <f>K6+K19</f>
        <v/>
      </c>
      <c r="L32" s="20">
        <f>L6+L19</f>
        <v/>
      </c>
      <c r="M32" s="4" t="n"/>
      <c r="N32" s="4" t="n"/>
    </row>
    <row r="33" ht="20" customHeight="1">
      <c r="A33" s="11" t="inlineStr">
        <is>
          <t>Maintenance</t>
        </is>
      </c>
      <c r="B33" s="8" t="inlineStr">
        <is>
          <t>ZAR'000</t>
        </is>
      </c>
      <c r="C33" s="20">
        <f>C7+C20</f>
        <v/>
      </c>
      <c r="D33" s="20">
        <f>D7+D20</f>
        <v/>
      </c>
      <c r="E33" s="20">
        <f>E7+E20</f>
        <v/>
      </c>
      <c r="F33" s="20">
        <f>F7+F20</f>
        <v/>
      </c>
      <c r="G33" s="20">
        <f>G7+G20</f>
        <v/>
      </c>
      <c r="H33" s="20">
        <f>H7+H20</f>
        <v/>
      </c>
      <c r="I33" s="20">
        <f>I7+I20</f>
        <v/>
      </c>
      <c r="J33" s="20">
        <f>J7+J20</f>
        <v/>
      </c>
      <c r="K33" s="20">
        <f>K7+K20</f>
        <v/>
      </c>
      <c r="L33" s="20">
        <f>L7+L20</f>
        <v/>
      </c>
      <c r="M33" s="4" t="n"/>
      <c r="N33" s="4" t="n"/>
    </row>
    <row r="34" ht="20" customHeight="1">
      <c r="A34" s="11" t="inlineStr">
        <is>
          <t>Fixed site opex</t>
        </is>
      </c>
      <c r="B34" s="8" t="inlineStr">
        <is>
          <t>ZAR'000</t>
        </is>
      </c>
      <c r="C34" s="20">
        <f>C8+C21</f>
        <v/>
      </c>
      <c r="D34" s="20">
        <f>D8+D21</f>
        <v/>
      </c>
      <c r="E34" s="20">
        <f>E8+E21</f>
        <v/>
      </c>
      <c r="F34" s="20">
        <f>F8+F21</f>
        <v/>
      </c>
      <c r="G34" s="20">
        <f>G8+G21</f>
        <v/>
      </c>
      <c r="H34" s="20">
        <f>H8+H21</f>
        <v/>
      </c>
      <c r="I34" s="20">
        <f>I8+I21</f>
        <v/>
      </c>
      <c r="J34" s="20">
        <f>J8+J21</f>
        <v/>
      </c>
      <c r="K34" s="20">
        <f>K8+K21</f>
        <v/>
      </c>
      <c r="L34" s="20">
        <f>L8+L21</f>
        <v/>
      </c>
      <c r="M34" s="4" t="n"/>
      <c r="N34" s="4" t="n"/>
    </row>
    <row r="35" ht="20" customHeight="1">
      <c r="A35" s="11" t="inlineStr">
        <is>
          <t>Rent</t>
        </is>
      </c>
      <c r="B35" s="8" t="inlineStr">
        <is>
          <t>ZAR'000</t>
        </is>
      </c>
      <c r="C35" s="20">
        <f>C9+C22</f>
        <v/>
      </c>
      <c r="D35" s="20">
        <f>D9+D22</f>
        <v/>
      </c>
      <c r="E35" s="20">
        <f>E9+E22</f>
        <v/>
      </c>
      <c r="F35" s="20">
        <f>F9+F22</f>
        <v/>
      </c>
      <c r="G35" s="20">
        <f>G9+G22</f>
        <v/>
      </c>
      <c r="H35" s="20">
        <f>H9+H22</f>
        <v/>
      </c>
      <c r="I35" s="20">
        <f>I9+I22</f>
        <v/>
      </c>
      <c r="J35" s="20">
        <f>J9+J22</f>
        <v/>
      </c>
      <c r="K35" s="20">
        <f>K9+K22</f>
        <v/>
      </c>
      <c r="L35" s="20">
        <f>L9+L22</f>
        <v/>
      </c>
      <c r="M35" s="4" t="n"/>
      <c r="N35" s="4" t="n"/>
    </row>
    <row r="36" ht="20" customHeight="1">
      <c r="A36" s="11" t="inlineStr">
        <is>
          <t>Other utilities</t>
        </is>
      </c>
      <c r="B36" s="8" t="inlineStr">
        <is>
          <t>ZAR'000</t>
        </is>
      </c>
      <c r="C36" s="20">
        <f>C10+C23</f>
        <v/>
      </c>
      <c r="D36" s="20">
        <f>D10+D23</f>
        <v/>
      </c>
      <c r="E36" s="20">
        <f>E10+E23</f>
        <v/>
      </c>
      <c r="F36" s="20">
        <f>F10+F23</f>
        <v/>
      </c>
      <c r="G36" s="20">
        <f>G10+G23</f>
        <v/>
      </c>
      <c r="H36" s="20">
        <f>H10+H23</f>
        <v/>
      </c>
      <c r="I36" s="20">
        <f>I10+I23</f>
        <v/>
      </c>
      <c r="J36" s="20">
        <f>J10+J23</f>
        <v/>
      </c>
      <c r="K36" s="20">
        <f>K10+K23</f>
        <v/>
      </c>
      <c r="L36" s="20">
        <f>L10+L23</f>
        <v/>
      </c>
      <c r="M36" s="4" t="n"/>
      <c r="N36" s="4" t="n"/>
    </row>
    <row r="37" ht="20" customHeight="1">
      <c r="A37" s="11" t="inlineStr">
        <is>
          <t>Total opex</t>
        </is>
      </c>
      <c r="B37" s="8" t="inlineStr">
        <is>
          <t>ZAR'000</t>
        </is>
      </c>
      <c r="C37" s="20">
        <f>C11+C24</f>
        <v/>
      </c>
      <c r="D37" s="20">
        <f>D11+D24</f>
        <v/>
      </c>
      <c r="E37" s="20">
        <f>E11+E24</f>
        <v/>
      </c>
      <c r="F37" s="20">
        <f>F11+F24</f>
        <v/>
      </c>
      <c r="G37" s="20">
        <f>G11+G24</f>
        <v/>
      </c>
      <c r="H37" s="20">
        <f>H11+H24</f>
        <v/>
      </c>
      <c r="I37" s="20">
        <f>I11+I24</f>
        <v/>
      </c>
      <c r="J37" s="20">
        <f>J11+J24</f>
        <v/>
      </c>
      <c r="K37" s="20">
        <f>K11+K24</f>
        <v/>
      </c>
      <c r="L37" s="20">
        <f>L11+L24</f>
        <v/>
      </c>
      <c r="M37" s="4" t="n"/>
      <c r="N37" s="4" t="n"/>
    </row>
    <row r="38" ht="20" customHeight="1">
      <c r="A38" s="11" t="inlineStr">
        <is>
          <t>EBITDA</t>
        </is>
      </c>
      <c r="B38" s="8" t="inlineStr">
        <is>
          <t>ZAR'000</t>
        </is>
      </c>
      <c r="C38" s="20">
        <f>C12+C25</f>
        <v/>
      </c>
      <c r="D38" s="20">
        <f>D12+D25</f>
        <v/>
      </c>
      <c r="E38" s="20">
        <f>E12+E25</f>
        <v/>
      </c>
      <c r="F38" s="20">
        <f>F12+F25</f>
        <v/>
      </c>
      <c r="G38" s="20">
        <f>G12+G25</f>
        <v/>
      </c>
      <c r="H38" s="20">
        <f>H12+H25</f>
        <v/>
      </c>
      <c r="I38" s="20">
        <f>I12+I25</f>
        <v/>
      </c>
      <c r="J38" s="20">
        <f>J12+J25</f>
        <v/>
      </c>
      <c r="K38" s="20">
        <f>K12+K25</f>
        <v/>
      </c>
      <c r="L38" s="20">
        <f>L12+L25</f>
        <v/>
      </c>
      <c r="M38" s="4" t="n"/>
      <c r="N38" s="4" t="n"/>
    </row>
  </sheetData>
  <mergeCells count="4">
    <mergeCell ref="A30:L30"/>
    <mergeCell ref="A17:L17"/>
    <mergeCell ref="A4:L4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Capex Model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10" t="inlineStr">
        <is>
          <t>Driver</t>
        </is>
      </c>
      <c r="B3" s="10" t="inlineStr">
        <is>
          <t>Unit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4" t="n"/>
      <c r="N3" s="4" t="n"/>
    </row>
    <row r="4" ht="20" customHeight="1">
      <c r="A4" s="5" t="inlineStr">
        <is>
          <t>Grootvlei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  <c r="M4" s="4" t="n"/>
      <c r="N4" s="4" t="n"/>
    </row>
    <row r="5" ht="20" customHeight="1">
      <c r="A5" s="11" t="inlineStr">
        <is>
          <t>New MW</t>
        </is>
      </c>
      <c r="B5" s="8" t="inlineStr">
        <is>
          <t>MW</t>
        </is>
      </c>
      <c r="C5" s="17">
        <f>Site_Assumptions!C5</f>
        <v/>
      </c>
      <c r="D5" s="17">
        <f>MAX(Site_Assumptions!D5-Site_Assumptions!C5,0)</f>
        <v/>
      </c>
      <c r="E5" s="17">
        <f>MAX(Site_Assumptions!E5-Site_Assumptions!D5,0)</f>
        <v/>
      </c>
      <c r="F5" s="17">
        <f>MAX(Site_Assumptions!F5-Site_Assumptions!E5,0)</f>
        <v/>
      </c>
      <c r="G5" s="17">
        <f>MAX(Site_Assumptions!G5-Site_Assumptions!F5,0)</f>
        <v/>
      </c>
      <c r="H5" s="17">
        <f>MAX(Site_Assumptions!H5-Site_Assumptions!G5,0)</f>
        <v/>
      </c>
      <c r="I5" s="17">
        <f>MAX(Site_Assumptions!I5-Site_Assumptions!H5,0)</f>
        <v/>
      </c>
      <c r="J5" s="17">
        <f>MAX(Site_Assumptions!J5-Site_Assumptions!I5,0)</f>
        <v/>
      </c>
      <c r="K5" s="17">
        <f>MAX(Site_Assumptions!K5-Site_Assumptions!J5,0)</f>
        <v/>
      </c>
      <c r="L5" s="17">
        <f>MAX(Site_Assumptions!L5-Site_Assumptions!K5,0)</f>
        <v/>
      </c>
      <c r="M5" s="4" t="n"/>
      <c r="N5" s="4" t="n"/>
    </row>
    <row r="6" ht="20" customHeight="1">
      <c r="A6" s="11" t="inlineStr">
        <is>
          <t>New ASIC count</t>
        </is>
      </c>
      <c r="B6" s="8" t="inlineStr">
        <is>
          <t>miners</t>
        </is>
      </c>
      <c r="C6" s="17">
        <f>ROUNDDOWN(((C5*1000000)/(1+Hardware!$C$8))/Hardware!$C$6,0)</f>
        <v/>
      </c>
      <c r="D6" s="17">
        <f>ROUNDDOWN(((D5*1000000)/(1+Hardware!$C$8))/Hardware!$C$6,0)</f>
        <v/>
      </c>
      <c r="E6" s="17">
        <f>ROUNDDOWN(((E5*1000000)/(1+Hardware!$C$8))/Hardware!$C$6,0)</f>
        <v/>
      </c>
      <c r="F6" s="17">
        <f>ROUNDDOWN(((F5*1000000)/(1+Hardware!$C$8))/Hardware!$C$6,0)</f>
        <v/>
      </c>
      <c r="G6" s="17">
        <f>ROUNDDOWN(((G5*1000000)/(1+Hardware!$C$8))/Hardware!$C$6,0)</f>
        <v/>
      </c>
      <c r="H6" s="17">
        <f>ROUNDDOWN(((H5*1000000)/(1+Hardware!$C$8))/Hardware!$C$6,0)</f>
        <v/>
      </c>
      <c r="I6" s="17">
        <f>ROUNDDOWN(((I5*1000000)/(1+Hardware!$C$8))/Hardware!$C$6,0)</f>
        <v/>
      </c>
      <c r="J6" s="17">
        <f>ROUNDDOWN(((J5*1000000)/(1+Hardware!$C$8))/Hardware!$C$6,0)</f>
        <v/>
      </c>
      <c r="K6" s="17">
        <f>ROUNDDOWN(((K5*1000000)/(1+Hardware!$C$8))/Hardware!$C$6,0)</f>
        <v/>
      </c>
      <c r="L6" s="17">
        <f>ROUNDDOWN(((L5*1000000)/(1+Hardware!$C$8))/Hardware!$C$6,0)</f>
        <v/>
      </c>
      <c r="M6" s="4" t="n"/>
      <c r="N6" s="4" t="n"/>
    </row>
    <row r="7" ht="20" customHeight="1">
      <c r="A7" s="11" t="inlineStr">
        <is>
          <t>Miner capex</t>
        </is>
      </c>
      <c r="B7" s="8" t="inlineStr">
        <is>
          <t>ZAR'000</t>
        </is>
      </c>
      <c r="C7" s="13">
        <f>C6*Hardware!$C$7*Assumptions!C5/1000</f>
        <v/>
      </c>
      <c r="D7" s="13">
        <f>D6*Hardware!$C$7*Assumptions!D5/1000</f>
        <v/>
      </c>
      <c r="E7" s="13">
        <f>E6*Hardware!$C$7*Assumptions!E5/1000</f>
        <v/>
      </c>
      <c r="F7" s="13">
        <f>F6*Hardware!$C$7*Assumptions!F5/1000</f>
        <v/>
      </c>
      <c r="G7" s="13">
        <f>G6*Hardware!$C$7*Assumptions!G5/1000</f>
        <v/>
      </c>
      <c r="H7" s="13">
        <f>H6*Hardware!$C$7*Assumptions!H5/1000</f>
        <v/>
      </c>
      <c r="I7" s="13">
        <f>I6*Hardware!$C$7*Assumptions!I5/1000</f>
        <v/>
      </c>
      <c r="J7" s="13">
        <f>J6*Hardware!$C$7*Assumptions!J5/1000</f>
        <v/>
      </c>
      <c r="K7" s="13">
        <f>K6*Hardware!$C$7*Assumptions!K5/1000</f>
        <v/>
      </c>
      <c r="L7" s="13">
        <f>L6*Hardware!$C$7*Assumptions!L5/1000</f>
        <v/>
      </c>
      <c r="M7" s="4" t="n"/>
      <c r="N7" s="4" t="n"/>
    </row>
    <row r="8" ht="20" customHeight="1">
      <c r="A8" s="11" t="inlineStr">
        <is>
          <t>Electrical + BOS capex</t>
        </is>
      </c>
      <c r="B8" s="8" t="inlineStr">
        <is>
          <t>ZAR'000</t>
        </is>
      </c>
      <c r="C8" s="13">
        <f>C5*Hardware!$C$11</f>
        <v/>
      </c>
      <c r="D8" s="13">
        <f>D5*Hardware!$C$11</f>
        <v/>
      </c>
      <c r="E8" s="13">
        <f>E5*Hardware!$C$11</f>
        <v/>
      </c>
      <c r="F8" s="13">
        <f>F5*Hardware!$C$11</f>
        <v/>
      </c>
      <c r="G8" s="13">
        <f>G5*Hardware!$C$11</f>
        <v/>
      </c>
      <c r="H8" s="13">
        <f>H5*Hardware!$C$11</f>
        <v/>
      </c>
      <c r="I8" s="13">
        <f>I5*Hardware!$C$11</f>
        <v/>
      </c>
      <c r="J8" s="13">
        <f>J5*Hardware!$C$11</f>
        <v/>
      </c>
      <c r="K8" s="13">
        <f>K5*Hardware!$C$11</f>
        <v/>
      </c>
      <c r="L8" s="13">
        <f>L5*Hardware!$C$11</f>
        <v/>
      </c>
      <c r="M8" s="4" t="n"/>
      <c r="N8" s="4" t="n"/>
    </row>
    <row r="9" ht="20" customHeight="1">
      <c r="A9" s="11" t="inlineStr">
        <is>
          <t>Total capex</t>
        </is>
      </c>
      <c r="B9" s="8" t="inlineStr">
        <is>
          <t>ZAR'000</t>
        </is>
      </c>
      <c r="C9" s="13">
        <f>SUM(C7:C8)</f>
        <v/>
      </c>
      <c r="D9" s="13">
        <f>SUM(D7:D8)</f>
        <v/>
      </c>
      <c r="E9" s="13">
        <f>SUM(E7:E8)</f>
        <v/>
      </c>
      <c r="F9" s="13">
        <f>SUM(F7:F8)</f>
        <v/>
      </c>
      <c r="G9" s="13">
        <f>SUM(G7:G8)</f>
        <v/>
      </c>
      <c r="H9" s="13">
        <f>SUM(H7:H8)</f>
        <v/>
      </c>
      <c r="I9" s="13">
        <f>SUM(I7:I8)</f>
        <v/>
      </c>
      <c r="J9" s="13">
        <f>SUM(J7:J8)</f>
        <v/>
      </c>
      <c r="K9" s="13">
        <f>SUM(K7:K8)</f>
        <v/>
      </c>
      <c r="L9" s="13">
        <f>SUM(L7:L8)</f>
        <v/>
      </c>
      <c r="M9" s="4" t="n"/>
      <c r="N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20" customHeight="1">
      <c r="A12" s="5" t="inlineStr">
        <is>
          <t>AMSA Vanderbijlpark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6" t="n"/>
      <c r="M12" s="4" t="n"/>
      <c r="N12" s="4" t="n"/>
    </row>
    <row r="13" ht="20" customHeight="1">
      <c r="A13" s="11" t="inlineStr">
        <is>
          <t>New MW</t>
        </is>
      </c>
      <c r="B13" s="8" t="inlineStr">
        <is>
          <t>MW</t>
        </is>
      </c>
      <c r="C13" s="17">
        <f>Site_Assumptions!C19</f>
        <v/>
      </c>
      <c r="D13" s="17">
        <f>MAX(Site_Assumptions!D19-Site_Assumptions!C19,0)</f>
        <v/>
      </c>
      <c r="E13" s="17">
        <f>MAX(Site_Assumptions!E19-Site_Assumptions!D19,0)</f>
        <v/>
      </c>
      <c r="F13" s="17">
        <f>MAX(Site_Assumptions!F19-Site_Assumptions!E19,0)</f>
        <v/>
      </c>
      <c r="G13" s="17">
        <f>MAX(Site_Assumptions!G19-Site_Assumptions!F19,0)</f>
        <v/>
      </c>
      <c r="H13" s="17">
        <f>MAX(Site_Assumptions!H19-Site_Assumptions!G19,0)</f>
        <v/>
      </c>
      <c r="I13" s="17">
        <f>MAX(Site_Assumptions!I19-Site_Assumptions!H19,0)</f>
        <v/>
      </c>
      <c r="J13" s="17">
        <f>MAX(Site_Assumptions!J19-Site_Assumptions!I19,0)</f>
        <v/>
      </c>
      <c r="K13" s="17">
        <f>MAX(Site_Assumptions!K19-Site_Assumptions!J19,0)</f>
        <v/>
      </c>
      <c r="L13" s="17">
        <f>MAX(Site_Assumptions!L19-Site_Assumptions!K19,0)</f>
        <v/>
      </c>
      <c r="M13" s="4" t="n"/>
      <c r="N13" s="4" t="n"/>
    </row>
    <row r="14" ht="20" customHeight="1">
      <c r="A14" s="11" t="inlineStr">
        <is>
          <t>New ASIC count</t>
        </is>
      </c>
      <c r="B14" s="8" t="inlineStr">
        <is>
          <t>miners</t>
        </is>
      </c>
      <c r="C14" s="17">
        <f>ROUNDDOWN(((C13*1000000)/(1+Hardware!$C$8))/Hardware!$C$6,0)</f>
        <v/>
      </c>
      <c r="D14" s="17">
        <f>ROUNDDOWN(((D13*1000000)/(1+Hardware!$C$8))/Hardware!$C$6,0)</f>
        <v/>
      </c>
      <c r="E14" s="17">
        <f>ROUNDDOWN(((E13*1000000)/(1+Hardware!$C$8))/Hardware!$C$6,0)</f>
        <v/>
      </c>
      <c r="F14" s="17">
        <f>ROUNDDOWN(((F13*1000000)/(1+Hardware!$C$8))/Hardware!$C$6,0)</f>
        <v/>
      </c>
      <c r="G14" s="17">
        <f>ROUNDDOWN(((G13*1000000)/(1+Hardware!$C$8))/Hardware!$C$6,0)</f>
        <v/>
      </c>
      <c r="H14" s="17">
        <f>ROUNDDOWN(((H13*1000000)/(1+Hardware!$C$8))/Hardware!$C$6,0)</f>
        <v/>
      </c>
      <c r="I14" s="17">
        <f>ROUNDDOWN(((I13*1000000)/(1+Hardware!$C$8))/Hardware!$C$6,0)</f>
        <v/>
      </c>
      <c r="J14" s="17">
        <f>ROUNDDOWN(((J13*1000000)/(1+Hardware!$C$8))/Hardware!$C$6,0)</f>
        <v/>
      </c>
      <c r="K14" s="17">
        <f>ROUNDDOWN(((K13*1000000)/(1+Hardware!$C$8))/Hardware!$C$6,0)</f>
        <v/>
      </c>
      <c r="L14" s="17">
        <f>ROUNDDOWN(((L13*1000000)/(1+Hardware!$C$8))/Hardware!$C$6,0)</f>
        <v/>
      </c>
      <c r="M14" s="4" t="n"/>
      <c r="N14" s="4" t="n"/>
    </row>
    <row r="15" ht="20" customHeight="1">
      <c r="A15" s="11" t="inlineStr">
        <is>
          <t>Miner capex</t>
        </is>
      </c>
      <c r="B15" s="8" t="inlineStr">
        <is>
          <t>ZAR'000</t>
        </is>
      </c>
      <c r="C15" s="13">
        <f>C14*Hardware!$C$7*Assumptions!C5/1000</f>
        <v/>
      </c>
      <c r="D15" s="13">
        <f>D14*Hardware!$C$7*Assumptions!D5/1000</f>
        <v/>
      </c>
      <c r="E15" s="13">
        <f>E14*Hardware!$C$7*Assumptions!E5/1000</f>
        <v/>
      </c>
      <c r="F15" s="13">
        <f>F14*Hardware!$C$7*Assumptions!F5/1000</f>
        <v/>
      </c>
      <c r="G15" s="13">
        <f>G14*Hardware!$C$7*Assumptions!G5/1000</f>
        <v/>
      </c>
      <c r="H15" s="13">
        <f>H14*Hardware!$C$7*Assumptions!H5/1000</f>
        <v/>
      </c>
      <c r="I15" s="13">
        <f>I14*Hardware!$C$7*Assumptions!I5/1000</f>
        <v/>
      </c>
      <c r="J15" s="13">
        <f>J14*Hardware!$C$7*Assumptions!J5/1000</f>
        <v/>
      </c>
      <c r="K15" s="13">
        <f>K14*Hardware!$C$7*Assumptions!K5/1000</f>
        <v/>
      </c>
      <c r="L15" s="13">
        <f>L14*Hardware!$C$7*Assumptions!L5/1000</f>
        <v/>
      </c>
      <c r="M15" s="4" t="n"/>
      <c r="N15" s="4" t="n"/>
    </row>
    <row r="16" ht="20" customHeight="1">
      <c r="A16" s="11" t="inlineStr">
        <is>
          <t>Electrical + BOS capex</t>
        </is>
      </c>
      <c r="B16" s="8" t="inlineStr">
        <is>
          <t>ZAR'000</t>
        </is>
      </c>
      <c r="C16" s="13">
        <f>C13*Hardware!$C$11</f>
        <v/>
      </c>
      <c r="D16" s="13">
        <f>D13*Hardware!$C$11</f>
        <v/>
      </c>
      <c r="E16" s="13">
        <f>E13*Hardware!$C$11</f>
        <v/>
      </c>
      <c r="F16" s="13">
        <f>F13*Hardware!$C$11</f>
        <v/>
      </c>
      <c r="G16" s="13">
        <f>G13*Hardware!$C$11</f>
        <v/>
      </c>
      <c r="H16" s="13">
        <f>H13*Hardware!$C$11</f>
        <v/>
      </c>
      <c r="I16" s="13">
        <f>I13*Hardware!$C$11</f>
        <v/>
      </c>
      <c r="J16" s="13">
        <f>J13*Hardware!$C$11</f>
        <v/>
      </c>
      <c r="K16" s="13">
        <f>K13*Hardware!$C$11</f>
        <v/>
      </c>
      <c r="L16" s="13">
        <f>L13*Hardware!$C$11</f>
        <v/>
      </c>
      <c r="M16" s="4" t="n"/>
      <c r="N16" s="4" t="n"/>
    </row>
    <row r="17" ht="20" customHeight="1">
      <c r="A17" s="11" t="inlineStr">
        <is>
          <t>Total capex</t>
        </is>
      </c>
      <c r="B17" s="8" t="inlineStr">
        <is>
          <t>ZAR'000</t>
        </is>
      </c>
      <c r="C17" s="13">
        <f>SUM(C15:C16)</f>
        <v/>
      </c>
      <c r="D17" s="13">
        <f>SUM(D15:D16)</f>
        <v/>
      </c>
      <c r="E17" s="13">
        <f>SUM(E15:E16)</f>
        <v/>
      </c>
      <c r="F17" s="13">
        <f>SUM(F15:F16)</f>
        <v/>
      </c>
      <c r="G17" s="13">
        <f>SUM(G15:G16)</f>
        <v/>
      </c>
      <c r="H17" s="13">
        <f>SUM(H15:H16)</f>
        <v/>
      </c>
      <c r="I17" s="13">
        <f>SUM(I15:I16)</f>
        <v/>
      </c>
      <c r="J17" s="13">
        <f>SUM(J15:J16)</f>
        <v/>
      </c>
      <c r="K17" s="13">
        <f>SUM(K15:K16)</f>
        <v/>
      </c>
      <c r="L17" s="13">
        <f>SUM(L15:L16)</f>
        <v/>
      </c>
      <c r="M17" s="4" t="n"/>
      <c r="N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5" t="inlineStr">
        <is>
          <t>Project totals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6" t="n"/>
      <c r="M20" s="4" t="n"/>
      <c r="N20" s="4" t="n"/>
    </row>
    <row r="21" ht="20" customHeight="1">
      <c r="A21" s="11" t="inlineStr">
        <is>
          <t>New MW</t>
        </is>
      </c>
      <c r="B21" s="8" t="inlineStr">
        <is>
          <t>MW</t>
        </is>
      </c>
      <c r="C21" s="21">
        <f>C5+C13</f>
        <v/>
      </c>
      <c r="D21" s="21">
        <f>D5+D13</f>
        <v/>
      </c>
      <c r="E21" s="21">
        <f>E5+E13</f>
        <v/>
      </c>
      <c r="F21" s="21">
        <f>F5+F13</f>
        <v/>
      </c>
      <c r="G21" s="21">
        <f>G5+G13</f>
        <v/>
      </c>
      <c r="H21" s="21">
        <f>H5+H13</f>
        <v/>
      </c>
      <c r="I21" s="21">
        <f>I5+I13</f>
        <v/>
      </c>
      <c r="J21" s="21">
        <f>J5+J13</f>
        <v/>
      </c>
      <c r="K21" s="21">
        <f>K5+K13</f>
        <v/>
      </c>
      <c r="L21" s="21">
        <f>L5+L13</f>
        <v/>
      </c>
      <c r="M21" s="4" t="n"/>
      <c r="N21" s="4" t="n"/>
    </row>
    <row r="22" ht="20" customHeight="1">
      <c r="A22" s="11" t="inlineStr">
        <is>
          <t>New ASIC count</t>
        </is>
      </c>
      <c r="B22" s="8" t="inlineStr">
        <is>
          <t>miners</t>
        </is>
      </c>
      <c r="C22" s="21">
        <f>C6+C14</f>
        <v/>
      </c>
      <c r="D22" s="21">
        <f>D6+D14</f>
        <v/>
      </c>
      <c r="E22" s="21">
        <f>E6+E14</f>
        <v/>
      </c>
      <c r="F22" s="21">
        <f>F6+F14</f>
        <v/>
      </c>
      <c r="G22" s="21">
        <f>G6+G14</f>
        <v/>
      </c>
      <c r="H22" s="21">
        <f>H6+H14</f>
        <v/>
      </c>
      <c r="I22" s="21">
        <f>I6+I14</f>
        <v/>
      </c>
      <c r="J22" s="21">
        <f>J6+J14</f>
        <v/>
      </c>
      <c r="K22" s="21">
        <f>K6+K14</f>
        <v/>
      </c>
      <c r="L22" s="21">
        <f>L6+L14</f>
        <v/>
      </c>
      <c r="M22" s="4" t="n"/>
      <c r="N22" s="4" t="n"/>
    </row>
    <row r="23" ht="20" customHeight="1">
      <c r="A23" s="11" t="inlineStr">
        <is>
          <t>Miner capex</t>
        </is>
      </c>
      <c r="B23" s="8" t="inlineStr">
        <is>
          <t>ZAR'000</t>
        </is>
      </c>
      <c r="C23" s="20">
        <f>C7+C15</f>
        <v/>
      </c>
      <c r="D23" s="20">
        <f>D7+D15</f>
        <v/>
      </c>
      <c r="E23" s="20">
        <f>E7+E15</f>
        <v/>
      </c>
      <c r="F23" s="20">
        <f>F7+F15</f>
        <v/>
      </c>
      <c r="G23" s="20">
        <f>G7+G15</f>
        <v/>
      </c>
      <c r="H23" s="20">
        <f>H7+H15</f>
        <v/>
      </c>
      <c r="I23" s="20">
        <f>I7+I15</f>
        <v/>
      </c>
      <c r="J23" s="20">
        <f>J7+J15</f>
        <v/>
      </c>
      <c r="K23" s="20">
        <f>K7+K15</f>
        <v/>
      </c>
      <c r="L23" s="20">
        <f>L7+L15</f>
        <v/>
      </c>
      <c r="M23" s="4" t="n"/>
      <c r="N23" s="4" t="n"/>
    </row>
    <row r="24" ht="20" customHeight="1">
      <c r="A24" s="11" t="inlineStr">
        <is>
          <t>Electrical + BOS capex</t>
        </is>
      </c>
      <c r="B24" s="8" t="inlineStr">
        <is>
          <t>ZAR'000</t>
        </is>
      </c>
      <c r="C24" s="20">
        <f>C8+C16</f>
        <v/>
      </c>
      <c r="D24" s="20">
        <f>D8+D16</f>
        <v/>
      </c>
      <c r="E24" s="20">
        <f>E8+E16</f>
        <v/>
      </c>
      <c r="F24" s="20">
        <f>F8+F16</f>
        <v/>
      </c>
      <c r="G24" s="20">
        <f>G8+G16</f>
        <v/>
      </c>
      <c r="H24" s="20">
        <f>H8+H16</f>
        <v/>
      </c>
      <c r="I24" s="20">
        <f>I8+I16</f>
        <v/>
      </c>
      <c r="J24" s="20">
        <f>J8+J16</f>
        <v/>
      </c>
      <c r="K24" s="20">
        <f>K8+K16</f>
        <v/>
      </c>
      <c r="L24" s="20">
        <f>L8+L16</f>
        <v/>
      </c>
      <c r="M24" s="4" t="n"/>
      <c r="N24" s="4" t="n"/>
    </row>
    <row r="25" ht="20" customHeight="1">
      <c r="A25" s="11" t="inlineStr">
        <is>
          <t>Total capex</t>
        </is>
      </c>
      <c r="B25" s="8" t="inlineStr">
        <is>
          <t>ZAR'000</t>
        </is>
      </c>
      <c r="C25" s="20">
        <f>C9+C17</f>
        <v/>
      </c>
      <c r="D25" s="20">
        <f>D9+D17</f>
        <v/>
      </c>
      <c r="E25" s="20">
        <f>E9+E17</f>
        <v/>
      </c>
      <c r="F25" s="20">
        <f>F9+F17</f>
        <v/>
      </c>
      <c r="G25" s="20">
        <f>G9+G17</f>
        <v/>
      </c>
      <c r="H25" s="20">
        <f>H9+H17</f>
        <v/>
      </c>
      <c r="I25" s="20">
        <f>I9+I17</f>
        <v/>
      </c>
      <c r="J25" s="20">
        <f>J9+J17</f>
        <v/>
      </c>
      <c r="K25" s="20">
        <f>K9+K17</f>
        <v/>
      </c>
      <c r="L25" s="20">
        <f>L9+L17</f>
        <v/>
      </c>
      <c r="M25" s="4" t="n"/>
      <c r="N25" s="4" t="n"/>
    </row>
  </sheetData>
  <mergeCells count="4">
    <mergeCell ref="A20:L20"/>
    <mergeCell ref="A12:L12"/>
    <mergeCell ref="A4:L4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Depreciation Waterfall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10" t="inlineStr">
        <is>
          <t>Driver</t>
        </is>
      </c>
      <c r="B3" s="10" t="inlineStr">
        <is>
          <t>Unit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4" t="n"/>
      <c r="N3" s="4" t="n"/>
    </row>
    <row r="4" ht="20" customHeight="1">
      <c r="A4" s="5" t="inlineStr">
        <is>
          <t>Miner depreciation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  <c r="M4" s="4" t="n"/>
      <c r="N4" s="4" t="n"/>
    </row>
    <row r="5" ht="20" customHeight="1">
      <c r="A5" s="11" t="inlineStr">
        <is>
          <t>2026 miner batch</t>
        </is>
      </c>
      <c r="B5" s="8" t="inlineStr">
        <is>
          <t>ZAR'000 / year</t>
        </is>
      </c>
      <c r="C5" s="13">
        <f>Capex!C23/Hardware!$C$12</f>
        <v/>
      </c>
      <c r="D5" s="13">
        <f>Capex!C23/Hardware!$C$12</f>
        <v/>
      </c>
      <c r="E5" s="13">
        <f>Capex!C23/Hardware!$C$12</f>
        <v/>
      </c>
      <c r="F5" s="13">
        <f>Capex!C23/Hardware!$C$12</f>
        <v/>
      </c>
      <c r="G5" s="13">
        <f>Capex!C23/Hardware!$C$12</f>
        <v/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4" t="n"/>
      <c r="N5" s="4" t="n"/>
    </row>
    <row r="6" ht="20" customHeight="1">
      <c r="A6" s="11" t="inlineStr">
        <is>
          <t>2027 miner batch</t>
        </is>
      </c>
      <c r="B6" s="8" t="inlineStr">
        <is>
          <t>ZAR'000 / year</t>
        </is>
      </c>
      <c r="C6" s="13" t="n">
        <v>0</v>
      </c>
      <c r="D6" s="13">
        <f>Capex!D23/Hardware!$C$12</f>
        <v/>
      </c>
      <c r="E6" s="13">
        <f>Capex!D23/Hardware!$C$12</f>
        <v/>
      </c>
      <c r="F6" s="13">
        <f>Capex!D23/Hardware!$C$12</f>
        <v/>
      </c>
      <c r="G6" s="13">
        <f>Capex!D23/Hardware!$C$12</f>
        <v/>
      </c>
      <c r="H6" s="13">
        <f>Capex!D23/Hardware!$C$12</f>
        <v/>
      </c>
      <c r="I6" s="13" t="n">
        <v>0</v>
      </c>
      <c r="J6" s="13" t="n">
        <v>0</v>
      </c>
      <c r="K6" s="13" t="n">
        <v>0</v>
      </c>
      <c r="L6" s="13" t="n">
        <v>0</v>
      </c>
      <c r="M6" s="4" t="n"/>
      <c r="N6" s="4" t="n"/>
    </row>
    <row r="7" ht="20" customHeight="1">
      <c r="A7" s="11" t="inlineStr">
        <is>
          <t>2028 miner batch</t>
        </is>
      </c>
      <c r="B7" s="8" t="inlineStr">
        <is>
          <t>ZAR'000 / year</t>
        </is>
      </c>
      <c r="C7" s="13" t="n">
        <v>0</v>
      </c>
      <c r="D7" s="13" t="n">
        <v>0</v>
      </c>
      <c r="E7" s="13">
        <f>Capex!E23/Hardware!$C$12</f>
        <v/>
      </c>
      <c r="F7" s="13">
        <f>Capex!E23/Hardware!$C$12</f>
        <v/>
      </c>
      <c r="G7" s="13">
        <f>Capex!E23/Hardware!$C$12</f>
        <v/>
      </c>
      <c r="H7" s="13">
        <f>Capex!E23/Hardware!$C$12</f>
        <v/>
      </c>
      <c r="I7" s="13">
        <f>Capex!E23/Hardware!$C$12</f>
        <v/>
      </c>
      <c r="J7" s="13" t="n">
        <v>0</v>
      </c>
      <c r="K7" s="13" t="n">
        <v>0</v>
      </c>
      <c r="L7" s="13" t="n">
        <v>0</v>
      </c>
      <c r="M7" s="4" t="n"/>
      <c r="N7" s="4" t="n"/>
    </row>
    <row r="8" ht="20" customHeight="1">
      <c r="A8" s="11" t="inlineStr">
        <is>
          <t>2029 miner batch</t>
        </is>
      </c>
      <c r="B8" s="8" t="inlineStr">
        <is>
          <t>ZAR'000 / year</t>
        </is>
      </c>
      <c r="C8" s="13" t="n">
        <v>0</v>
      </c>
      <c r="D8" s="13" t="n">
        <v>0</v>
      </c>
      <c r="E8" s="13" t="n">
        <v>0</v>
      </c>
      <c r="F8" s="13">
        <f>Capex!F23/Hardware!$C$12</f>
        <v/>
      </c>
      <c r="G8" s="13">
        <f>Capex!F23/Hardware!$C$12</f>
        <v/>
      </c>
      <c r="H8" s="13">
        <f>Capex!F23/Hardware!$C$12</f>
        <v/>
      </c>
      <c r="I8" s="13">
        <f>Capex!F23/Hardware!$C$12</f>
        <v/>
      </c>
      <c r="J8" s="13">
        <f>Capex!F23/Hardware!$C$12</f>
        <v/>
      </c>
      <c r="K8" s="13" t="n">
        <v>0</v>
      </c>
      <c r="L8" s="13" t="n">
        <v>0</v>
      </c>
      <c r="M8" s="4" t="n"/>
      <c r="N8" s="4" t="n"/>
    </row>
    <row r="9" ht="20" customHeight="1">
      <c r="A9" s="11" t="inlineStr">
        <is>
          <t>2030 miner batch</t>
        </is>
      </c>
      <c r="B9" s="8" t="inlineStr">
        <is>
          <t>ZAR'000 / year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>
        <f>Capex!G23/Hardware!$C$12</f>
        <v/>
      </c>
      <c r="H9" s="13">
        <f>Capex!G23/Hardware!$C$12</f>
        <v/>
      </c>
      <c r="I9" s="13">
        <f>Capex!G23/Hardware!$C$12</f>
        <v/>
      </c>
      <c r="J9" s="13">
        <f>Capex!G23/Hardware!$C$12</f>
        <v/>
      </c>
      <c r="K9" s="13">
        <f>Capex!G23/Hardware!$C$12</f>
        <v/>
      </c>
      <c r="L9" s="13" t="n">
        <v>0</v>
      </c>
      <c r="M9" s="4" t="n"/>
      <c r="N9" s="4" t="n"/>
    </row>
    <row r="10" ht="20" customHeight="1">
      <c r="A10" s="11" t="inlineStr">
        <is>
          <t>2031 miner batch</t>
        </is>
      </c>
      <c r="B10" s="8" t="inlineStr">
        <is>
          <t>ZAR'000 / year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>
        <f>Capex!H23/Hardware!$C$12</f>
        <v/>
      </c>
      <c r="I10" s="13">
        <f>Capex!H23/Hardware!$C$12</f>
        <v/>
      </c>
      <c r="J10" s="13">
        <f>Capex!H23/Hardware!$C$12</f>
        <v/>
      </c>
      <c r="K10" s="13">
        <f>Capex!H23/Hardware!$C$12</f>
        <v/>
      </c>
      <c r="L10" s="13">
        <f>Capex!H23/Hardware!$C$12</f>
        <v/>
      </c>
      <c r="M10" s="4" t="n"/>
      <c r="N10" s="4" t="n"/>
    </row>
    <row r="11" ht="20" customHeight="1">
      <c r="A11" s="11" t="inlineStr">
        <is>
          <t>2032 miner batch</t>
        </is>
      </c>
      <c r="B11" s="8" t="inlineStr">
        <is>
          <t>ZAR'000 / year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>
        <f>Capex!I23/Hardware!$C$12</f>
        <v/>
      </c>
      <c r="J11" s="13">
        <f>Capex!I23/Hardware!$C$12</f>
        <v/>
      </c>
      <c r="K11" s="13">
        <f>Capex!I23/Hardware!$C$12</f>
        <v/>
      </c>
      <c r="L11" s="13">
        <f>Capex!I23/Hardware!$C$12</f>
        <v/>
      </c>
      <c r="M11" s="4" t="n"/>
      <c r="N11" s="4" t="n"/>
    </row>
    <row r="12" ht="20" customHeight="1">
      <c r="A12" s="11" t="inlineStr">
        <is>
          <t>2033 miner batch</t>
        </is>
      </c>
      <c r="B12" s="8" t="inlineStr">
        <is>
          <t>ZAR'000 / year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>
        <f>Capex!J23/Hardware!$C$12</f>
        <v/>
      </c>
      <c r="K12" s="13">
        <f>Capex!J23/Hardware!$C$12</f>
        <v/>
      </c>
      <c r="L12" s="13">
        <f>Capex!J23/Hardware!$C$12</f>
        <v/>
      </c>
      <c r="M12" s="4" t="n"/>
      <c r="N12" s="4" t="n"/>
    </row>
    <row r="13" ht="20" customHeight="1">
      <c r="A13" s="11" t="inlineStr">
        <is>
          <t>2034 miner batch</t>
        </is>
      </c>
      <c r="B13" s="8" t="inlineStr">
        <is>
          <t>ZAR'000 / year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>
        <f>Capex!K23/Hardware!$C$12</f>
        <v/>
      </c>
      <c r="L13" s="13">
        <f>Capex!K23/Hardware!$C$12</f>
        <v/>
      </c>
      <c r="M13" s="4" t="n"/>
      <c r="N13" s="4" t="n"/>
    </row>
    <row r="14" ht="20" customHeight="1">
      <c r="A14" s="11" t="inlineStr">
        <is>
          <t>2035 miner batch</t>
        </is>
      </c>
      <c r="B14" s="8" t="inlineStr">
        <is>
          <t>ZAR'000 / year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>
        <f>Capex!L23/Hardware!$C$12</f>
        <v/>
      </c>
      <c r="M14" s="4" t="n"/>
      <c r="N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6" t="inlineStr">
        <is>
          <t>Total miner depreciation</t>
        </is>
      </c>
      <c r="B16" s="22" t="inlineStr">
        <is>
          <t>ZAR'000</t>
        </is>
      </c>
      <c r="C16" s="20">
        <f>SUM(C5:C14)</f>
        <v/>
      </c>
      <c r="D16" s="20">
        <f>SUM(D5:D14)</f>
        <v/>
      </c>
      <c r="E16" s="20">
        <f>SUM(E5:E14)</f>
        <v/>
      </c>
      <c r="F16" s="20">
        <f>SUM(F5:F14)</f>
        <v/>
      </c>
      <c r="G16" s="20">
        <f>SUM(G5:G14)</f>
        <v/>
      </c>
      <c r="H16" s="20">
        <f>SUM(H5:H14)</f>
        <v/>
      </c>
      <c r="I16" s="20">
        <f>SUM(I5:I14)</f>
        <v/>
      </c>
      <c r="J16" s="20">
        <f>SUM(J5:J14)</f>
        <v/>
      </c>
      <c r="K16" s="20">
        <f>SUM(K5:K14)</f>
        <v/>
      </c>
      <c r="L16" s="20">
        <f>SUM(L5:L14)</f>
        <v/>
      </c>
      <c r="M16" s="4" t="n"/>
      <c r="N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5" t="inlineStr">
        <is>
          <t>BOS depreciation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4" t="n"/>
      <c r="N18" s="4" t="n"/>
    </row>
    <row r="19" ht="20" customHeight="1">
      <c r="A19" s="11" t="inlineStr">
        <is>
          <t>2026 BOS batch</t>
        </is>
      </c>
      <c r="B19" s="8" t="inlineStr">
        <is>
          <t>ZAR'000 / year</t>
        </is>
      </c>
      <c r="C19" s="13">
        <f>Capex!C24/Hardware!$C$13</f>
        <v/>
      </c>
      <c r="D19" s="13">
        <f>Capex!C24/Hardware!$C$13</f>
        <v/>
      </c>
      <c r="E19" s="13">
        <f>Capex!C24/Hardware!$C$13</f>
        <v/>
      </c>
      <c r="F19" s="13">
        <f>Capex!C24/Hardware!$C$13</f>
        <v/>
      </c>
      <c r="G19" s="13">
        <f>Capex!C24/Hardware!$C$13</f>
        <v/>
      </c>
      <c r="H19" s="13">
        <f>Capex!C24/Hardware!$C$13</f>
        <v/>
      </c>
      <c r="I19" s="13">
        <f>Capex!C24/Hardware!$C$13</f>
        <v/>
      </c>
      <c r="J19" s="13">
        <f>Capex!C24/Hardware!$C$13</f>
        <v/>
      </c>
      <c r="K19" s="13">
        <f>Capex!C24/Hardware!$C$13</f>
        <v/>
      </c>
      <c r="L19" s="13">
        <f>Capex!C24/Hardware!$C$13</f>
        <v/>
      </c>
      <c r="M19" s="4" t="n"/>
      <c r="N19" s="4" t="n"/>
    </row>
    <row r="20" ht="20" customHeight="1">
      <c r="A20" s="11" t="inlineStr">
        <is>
          <t>2027 BOS batch</t>
        </is>
      </c>
      <c r="B20" s="8" t="inlineStr">
        <is>
          <t>ZAR'000 / year</t>
        </is>
      </c>
      <c r="C20" s="13" t="n">
        <v>0</v>
      </c>
      <c r="D20" s="13">
        <f>Capex!D24/Hardware!$C$13</f>
        <v/>
      </c>
      <c r="E20" s="13">
        <f>Capex!D24/Hardware!$C$13</f>
        <v/>
      </c>
      <c r="F20" s="13">
        <f>Capex!D24/Hardware!$C$13</f>
        <v/>
      </c>
      <c r="G20" s="13">
        <f>Capex!D24/Hardware!$C$13</f>
        <v/>
      </c>
      <c r="H20" s="13">
        <f>Capex!D24/Hardware!$C$13</f>
        <v/>
      </c>
      <c r="I20" s="13">
        <f>Capex!D24/Hardware!$C$13</f>
        <v/>
      </c>
      <c r="J20" s="13">
        <f>Capex!D24/Hardware!$C$13</f>
        <v/>
      </c>
      <c r="K20" s="13">
        <f>Capex!D24/Hardware!$C$13</f>
        <v/>
      </c>
      <c r="L20" s="13">
        <f>Capex!D24/Hardware!$C$13</f>
        <v/>
      </c>
      <c r="M20" s="4" t="n"/>
      <c r="N20" s="4" t="n"/>
    </row>
    <row r="21" ht="20" customHeight="1">
      <c r="A21" s="11" t="inlineStr">
        <is>
          <t>2028 BOS batch</t>
        </is>
      </c>
      <c r="B21" s="8" t="inlineStr">
        <is>
          <t>ZAR'000 / year</t>
        </is>
      </c>
      <c r="C21" s="13" t="n">
        <v>0</v>
      </c>
      <c r="D21" s="13" t="n">
        <v>0</v>
      </c>
      <c r="E21" s="13">
        <f>Capex!E24/Hardware!$C$13</f>
        <v/>
      </c>
      <c r="F21" s="13">
        <f>Capex!E24/Hardware!$C$13</f>
        <v/>
      </c>
      <c r="G21" s="13">
        <f>Capex!E24/Hardware!$C$13</f>
        <v/>
      </c>
      <c r="H21" s="13">
        <f>Capex!E24/Hardware!$C$13</f>
        <v/>
      </c>
      <c r="I21" s="13">
        <f>Capex!E24/Hardware!$C$13</f>
        <v/>
      </c>
      <c r="J21" s="13">
        <f>Capex!E24/Hardware!$C$13</f>
        <v/>
      </c>
      <c r="K21" s="13">
        <f>Capex!E24/Hardware!$C$13</f>
        <v/>
      </c>
      <c r="L21" s="13">
        <f>Capex!E24/Hardware!$C$13</f>
        <v/>
      </c>
      <c r="M21" s="4" t="n"/>
      <c r="N21" s="4" t="n"/>
    </row>
    <row r="22" ht="20" customHeight="1">
      <c r="A22" s="11" t="inlineStr">
        <is>
          <t>2029 BOS batch</t>
        </is>
      </c>
      <c r="B22" s="8" t="inlineStr">
        <is>
          <t>ZAR'000 / year</t>
        </is>
      </c>
      <c r="C22" s="13" t="n">
        <v>0</v>
      </c>
      <c r="D22" s="13" t="n">
        <v>0</v>
      </c>
      <c r="E22" s="13" t="n">
        <v>0</v>
      </c>
      <c r="F22" s="13">
        <f>Capex!F24/Hardware!$C$13</f>
        <v/>
      </c>
      <c r="G22" s="13">
        <f>Capex!F24/Hardware!$C$13</f>
        <v/>
      </c>
      <c r="H22" s="13">
        <f>Capex!F24/Hardware!$C$13</f>
        <v/>
      </c>
      <c r="I22" s="13">
        <f>Capex!F24/Hardware!$C$13</f>
        <v/>
      </c>
      <c r="J22" s="13">
        <f>Capex!F24/Hardware!$C$13</f>
        <v/>
      </c>
      <c r="K22" s="13">
        <f>Capex!F24/Hardware!$C$13</f>
        <v/>
      </c>
      <c r="L22" s="13">
        <f>Capex!F24/Hardware!$C$13</f>
        <v/>
      </c>
      <c r="M22" s="4" t="n"/>
      <c r="N22" s="4" t="n"/>
    </row>
    <row r="23" ht="20" customHeight="1">
      <c r="A23" s="11" t="inlineStr">
        <is>
          <t>2030 BOS batch</t>
        </is>
      </c>
      <c r="B23" s="8" t="inlineStr">
        <is>
          <t>ZAR'000 / year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>
        <f>Capex!G24/Hardware!$C$13</f>
        <v/>
      </c>
      <c r="H23" s="13">
        <f>Capex!G24/Hardware!$C$13</f>
        <v/>
      </c>
      <c r="I23" s="13">
        <f>Capex!G24/Hardware!$C$13</f>
        <v/>
      </c>
      <c r="J23" s="13">
        <f>Capex!G24/Hardware!$C$13</f>
        <v/>
      </c>
      <c r="K23" s="13">
        <f>Capex!G24/Hardware!$C$13</f>
        <v/>
      </c>
      <c r="L23" s="13">
        <f>Capex!G24/Hardware!$C$13</f>
        <v/>
      </c>
      <c r="M23" s="4" t="n"/>
      <c r="N23" s="4" t="n"/>
    </row>
    <row r="24" ht="20" customHeight="1">
      <c r="A24" s="11" t="inlineStr">
        <is>
          <t>2031 BOS batch</t>
        </is>
      </c>
      <c r="B24" s="8" t="inlineStr">
        <is>
          <t>ZAR'000 / year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>
        <f>Capex!H24/Hardware!$C$13</f>
        <v/>
      </c>
      <c r="I24" s="13">
        <f>Capex!H24/Hardware!$C$13</f>
        <v/>
      </c>
      <c r="J24" s="13">
        <f>Capex!H24/Hardware!$C$13</f>
        <v/>
      </c>
      <c r="K24" s="13">
        <f>Capex!H24/Hardware!$C$13</f>
        <v/>
      </c>
      <c r="L24" s="13">
        <f>Capex!H24/Hardware!$C$13</f>
        <v/>
      </c>
      <c r="M24" s="4" t="n"/>
      <c r="N24" s="4" t="n"/>
    </row>
    <row r="25" ht="20" customHeight="1">
      <c r="A25" s="11" t="inlineStr">
        <is>
          <t>2032 BOS batch</t>
        </is>
      </c>
      <c r="B25" s="8" t="inlineStr">
        <is>
          <t>ZAR'000 / year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>
        <f>Capex!I24/Hardware!$C$13</f>
        <v/>
      </c>
      <c r="J25" s="13">
        <f>Capex!I24/Hardware!$C$13</f>
        <v/>
      </c>
      <c r="K25" s="13">
        <f>Capex!I24/Hardware!$C$13</f>
        <v/>
      </c>
      <c r="L25" s="13">
        <f>Capex!I24/Hardware!$C$13</f>
        <v/>
      </c>
      <c r="M25" s="4" t="n"/>
      <c r="N25" s="4" t="n"/>
    </row>
    <row r="26" ht="20" customHeight="1">
      <c r="A26" s="11" t="inlineStr">
        <is>
          <t>2033 BOS batch</t>
        </is>
      </c>
      <c r="B26" s="8" t="inlineStr">
        <is>
          <t>ZAR'000 / year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>
        <f>Capex!J24/Hardware!$C$13</f>
        <v/>
      </c>
      <c r="K26" s="13">
        <f>Capex!J24/Hardware!$C$13</f>
        <v/>
      </c>
      <c r="L26" s="13">
        <f>Capex!J24/Hardware!$C$13</f>
        <v/>
      </c>
      <c r="M26" s="4" t="n"/>
      <c r="N26" s="4" t="n"/>
    </row>
    <row r="27" ht="20" customHeight="1">
      <c r="A27" s="11" t="inlineStr">
        <is>
          <t>2034 BOS batch</t>
        </is>
      </c>
      <c r="B27" s="8" t="inlineStr">
        <is>
          <t>ZAR'000 / year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>
        <f>Capex!K24/Hardware!$C$13</f>
        <v/>
      </c>
      <c r="L27" s="13">
        <f>Capex!K24/Hardware!$C$13</f>
        <v/>
      </c>
      <c r="M27" s="4" t="n"/>
      <c r="N27" s="4" t="n"/>
    </row>
    <row r="28" ht="20" customHeight="1">
      <c r="A28" s="11" t="inlineStr">
        <is>
          <t>2035 BOS batch</t>
        </is>
      </c>
      <c r="B28" s="8" t="inlineStr">
        <is>
          <t>ZAR'000 / year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>
        <f>Capex!L24/Hardware!$C$13</f>
        <v/>
      </c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6" t="inlineStr">
        <is>
          <t>Total BOS depreciation</t>
        </is>
      </c>
      <c r="B30" s="22" t="inlineStr">
        <is>
          <t>ZAR'000</t>
        </is>
      </c>
      <c r="C30" s="20">
        <f>SUM(C19:C28)</f>
        <v/>
      </c>
      <c r="D30" s="20">
        <f>SUM(D19:D28)</f>
        <v/>
      </c>
      <c r="E30" s="20">
        <f>SUM(E19:E28)</f>
        <v/>
      </c>
      <c r="F30" s="20">
        <f>SUM(F19:F28)</f>
        <v/>
      </c>
      <c r="G30" s="20">
        <f>SUM(G19:G28)</f>
        <v/>
      </c>
      <c r="H30" s="20">
        <f>SUM(H19:H28)</f>
        <v/>
      </c>
      <c r="I30" s="20">
        <f>SUM(I19:I28)</f>
        <v/>
      </c>
      <c r="J30" s="20">
        <f>SUM(J19:J28)</f>
        <v/>
      </c>
      <c r="K30" s="20">
        <f>SUM(K19:K28)</f>
        <v/>
      </c>
      <c r="L30" s="20">
        <f>SUM(L19:L28)</f>
        <v/>
      </c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5" t="inlineStr">
        <is>
          <t>Total depreciation</t>
        </is>
      </c>
      <c r="B32" s="22" t="inlineStr">
        <is>
          <t>ZAR'000</t>
        </is>
      </c>
      <c r="C32" s="20">
        <f>C16+C30</f>
        <v/>
      </c>
      <c r="D32" s="20">
        <f>D16+D30</f>
        <v/>
      </c>
      <c r="E32" s="20">
        <f>E16+E30</f>
        <v/>
      </c>
      <c r="F32" s="20">
        <f>F16+F30</f>
        <v/>
      </c>
      <c r="G32" s="20">
        <f>G16+G30</f>
        <v/>
      </c>
      <c r="H32" s="20">
        <f>H16+H30</f>
        <v/>
      </c>
      <c r="I32" s="20">
        <f>I16+I30</f>
        <v/>
      </c>
      <c r="J32" s="20">
        <f>J16+J30</f>
        <v/>
      </c>
      <c r="K32" s="20">
        <f>K16+K30</f>
        <v/>
      </c>
      <c r="L32" s="20">
        <f>L16+L30</f>
        <v/>
      </c>
      <c r="M32" s="4" t="n"/>
      <c r="N32" s="4" t="n"/>
    </row>
  </sheetData>
  <mergeCells count="3">
    <mergeCell ref="A1:N1"/>
    <mergeCell ref="A4:L4"/>
    <mergeCell ref="A18:L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Simple Phase 1 Financing Layer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5" t="inlineStr">
        <is>
          <t>Funding assumptions</t>
        </is>
      </c>
      <c r="B3" s="4" t="n"/>
      <c r="C3" s="4" t="n"/>
      <c r="D3" s="4" t="n"/>
      <c r="E3" s="27" t="inlineStr">
        <is>
          <t>Simplification</t>
        </is>
      </c>
      <c r="F3" s="28" t="inlineStr">
        <is>
          <t>Debt schedule is intentionally simple (bullet structures) for Phase 1 proof modelling. Replace with executed facility terms once term sheets are signed.</t>
        </is>
      </c>
      <c r="G3" s="25" t="n"/>
      <c r="H3" s="25" t="n"/>
      <c r="I3" s="25" t="n"/>
      <c r="J3" s="26" t="n"/>
      <c r="K3" s="4" t="n"/>
      <c r="L3" s="4" t="n"/>
      <c r="M3" s="4" t="n"/>
      <c r="N3" s="4" t="n"/>
    </row>
    <row r="4" ht="20" customHeight="1">
      <c r="A4" s="11" t="inlineStr">
        <is>
          <t>Asset-backed share</t>
        </is>
      </c>
      <c r="B4" s="8" t="inlineStr">
        <is>
          <t>%</t>
        </is>
      </c>
      <c r="C4" s="14" t="n">
        <v>0.4375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 ht="20" customHeight="1">
      <c r="A5" s="11" t="inlineStr">
        <is>
          <t>Mezz share</t>
        </is>
      </c>
      <c r="B5" s="8" t="inlineStr">
        <is>
          <t>%</t>
        </is>
      </c>
      <c r="C5" s="14" t="n">
        <v>0.4375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20" customHeight="1">
      <c r="A6" s="11" t="inlineStr">
        <is>
          <t>Equity share</t>
        </is>
      </c>
      <c r="B6" s="8" t="inlineStr">
        <is>
          <t>%</t>
        </is>
      </c>
      <c r="C6" s="14" t="n">
        <v>0.125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20" customHeight="1">
      <c r="A7" s="11" t="inlineStr">
        <is>
          <t>Asset-backed rate</t>
        </is>
      </c>
      <c r="B7" s="8" t="inlineStr">
        <is>
          <t>%</t>
        </is>
      </c>
      <c r="C7" s="14" t="n">
        <v>0.1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20" customHeight="1">
      <c r="A8" s="11" t="inlineStr">
        <is>
          <t>Mezz rate</t>
        </is>
      </c>
      <c r="B8" s="8" t="inlineStr">
        <is>
          <t>%</t>
        </is>
      </c>
      <c r="C8" s="14" t="n">
        <v>0.1225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20" customHeight="1">
      <c r="A9" s="11" t="inlineStr">
        <is>
          <t>Asset-backed tenor</t>
        </is>
      </c>
      <c r="B9" s="8" t="inlineStr">
        <is>
          <t>years</t>
        </is>
      </c>
      <c r="C9" s="12" t="n">
        <v>2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20" customHeight="1">
      <c r="A10" s="11" t="inlineStr">
        <is>
          <t>Mezz tenor</t>
        </is>
      </c>
      <c r="B10" s="8" t="inlineStr">
        <is>
          <t>years</t>
        </is>
      </c>
      <c r="C10" s="12" t="n">
        <v>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20" customHeight="1">
      <c r="A12" s="5" t="inlineStr">
        <is>
          <t>Debt schedule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 ht="20" customHeight="1">
      <c r="A13" s="10" t="inlineStr">
        <is>
          <t>Driver</t>
        </is>
      </c>
      <c r="B13" s="10" t="inlineStr">
        <is>
          <t>Unit</t>
        </is>
      </c>
      <c r="C13" s="10" t="inlineStr">
        <is>
          <t>2026</t>
        </is>
      </c>
      <c r="D13" s="10" t="inlineStr">
        <is>
          <t>2027</t>
        </is>
      </c>
      <c r="E13" s="10" t="inlineStr">
        <is>
          <t>2028</t>
        </is>
      </c>
      <c r="F13" s="10" t="inlineStr">
        <is>
          <t>2029</t>
        </is>
      </c>
      <c r="G13" s="10" t="inlineStr">
        <is>
          <t>2030</t>
        </is>
      </c>
      <c r="H13" s="10" t="inlineStr">
        <is>
          <t>2031</t>
        </is>
      </c>
      <c r="I13" s="10" t="inlineStr">
        <is>
          <t>2032</t>
        </is>
      </c>
      <c r="J13" s="10" t="inlineStr">
        <is>
          <t>2033</t>
        </is>
      </c>
      <c r="K13" s="10" t="inlineStr">
        <is>
          <t>2034</t>
        </is>
      </c>
      <c r="L13" s="10" t="inlineStr">
        <is>
          <t>2035</t>
        </is>
      </c>
      <c r="M13" s="4" t="n"/>
      <c r="N13" s="4" t="n"/>
    </row>
    <row r="14" ht="20" customHeight="1">
      <c r="A14" s="11" t="inlineStr">
        <is>
          <t>Asset-backed draw</t>
        </is>
      </c>
      <c r="B14" s="8" t="inlineStr">
        <is>
          <t>ZAR'000</t>
        </is>
      </c>
      <c r="C14" s="13">
        <f>Capex!C25*$C$4</f>
        <v/>
      </c>
      <c r="D14" s="13">
        <f>Capex!D25*$C$4</f>
        <v/>
      </c>
      <c r="E14" s="13">
        <f>Capex!E25*$C$4</f>
        <v/>
      </c>
      <c r="F14" s="13">
        <f>Capex!F25*$C$4</f>
        <v/>
      </c>
      <c r="G14" s="13">
        <f>Capex!G25*$C$4</f>
        <v/>
      </c>
      <c r="H14" s="13">
        <f>Capex!H25*$C$4</f>
        <v/>
      </c>
      <c r="I14" s="13">
        <f>Capex!I25*$C$4</f>
        <v/>
      </c>
      <c r="J14" s="13">
        <f>Capex!J25*$C$4</f>
        <v/>
      </c>
      <c r="K14" s="13">
        <f>Capex!K25*$C$4</f>
        <v/>
      </c>
      <c r="L14" s="13">
        <f>Capex!L25*$C$4</f>
        <v/>
      </c>
      <c r="M14" s="4" t="n"/>
      <c r="N14" s="4" t="n"/>
    </row>
    <row r="15" ht="20" customHeight="1">
      <c r="A15" s="11" t="inlineStr">
        <is>
          <t>Mezz draw</t>
        </is>
      </c>
      <c r="B15" s="8" t="inlineStr">
        <is>
          <t>ZAR'000</t>
        </is>
      </c>
      <c r="C15" s="13">
        <f>Capex!C25*$C$5</f>
        <v/>
      </c>
      <c r="D15" s="13">
        <f>Capex!D25*$C$5</f>
        <v/>
      </c>
      <c r="E15" s="13">
        <f>Capex!E25*$C$5</f>
        <v/>
      </c>
      <c r="F15" s="13">
        <f>Capex!F25*$C$5</f>
        <v/>
      </c>
      <c r="G15" s="13">
        <f>Capex!G25*$C$5</f>
        <v/>
      </c>
      <c r="H15" s="13">
        <f>Capex!H25*$C$5</f>
        <v/>
      </c>
      <c r="I15" s="13">
        <f>Capex!I25*$C$5</f>
        <v/>
      </c>
      <c r="J15" s="13">
        <f>Capex!J25*$C$5</f>
        <v/>
      </c>
      <c r="K15" s="13">
        <f>Capex!K25*$C$5</f>
        <v/>
      </c>
      <c r="L15" s="13">
        <f>Capex!L25*$C$5</f>
        <v/>
      </c>
      <c r="M15" s="4" t="n"/>
      <c r="N15" s="4" t="n"/>
    </row>
    <row r="16" ht="20" customHeight="1">
      <c r="A16" s="11" t="inlineStr">
        <is>
          <t>Equity funding</t>
        </is>
      </c>
      <c r="B16" s="8" t="inlineStr">
        <is>
          <t>ZAR'000</t>
        </is>
      </c>
      <c r="C16" s="13">
        <f>Capex!C25*$C$6</f>
        <v/>
      </c>
      <c r="D16" s="13">
        <f>Capex!D25*$C$6</f>
        <v/>
      </c>
      <c r="E16" s="13">
        <f>Capex!E25*$C$6</f>
        <v/>
      </c>
      <c r="F16" s="13">
        <f>Capex!F25*$C$6</f>
        <v/>
      </c>
      <c r="G16" s="13">
        <f>Capex!G25*$C$6</f>
        <v/>
      </c>
      <c r="H16" s="13">
        <f>Capex!H25*$C$6</f>
        <v/>
      </c>
      <c r="I16" s="13">
        <f>Capex!I25*$C$6</f>
        <v/>
      </c>
      <c r="J16" s="13">
        <f>Capex!J25*$C$6</f>
        <v/>
      </c>
      <c r="K16" s="13">
        <f>Capex!K25*$C$6</f>
        <v/>
      </c>
      <c r="L16" s="13">
        <f>Capex!L25*$C$6</f>
        <v/>
      </c>
      <c r="M16" s="4" t="n"/>
      <c r="N16" s="4" t="n"/>
    </row>
    <row r="17" ht="20" customHeight="1">
      <c r="A17" s="11" t="inlineStr">
        <is>
          <t>Asset-backed opening</t>
        </is>
      </c>
      <c r="B17" s="8" t="inlineStr">
        <is>
          <t>ZAR'000</t>
        </is>
      </c>
      <c r="C17" s="13" t="n">
        <v>0</v>
      </c>
      <c r="D17" s="13">
        <f>C20</f>
        <v/>
      </c>
      <c r="E17" s="13">
        <f>D20</f>
        <v/>
      </c>
      <c r="F17" s="13">
        <f>E20</f>
        <v/>
      </c>
      <c r="G17" s="13">
        <f>F20</f>
        <v/>
      </c>
      <c r="H17" s="13">
        <f>G20</f>
        <v/>
      </c>
      <c r="I17" s="13">
        <f>H20</f>
        <v/>
      </c>
      <c r="J17" s="13">
        <f>I20</f>
        <v/>
      </c>
      <c r="K17" s="13">
        <f>J20</f>
        <v/>
      </c>
      <c r="L17" s="13">
        <f>K20</f>
        <v/>
      </c>
      <c r="M17" s="4" t="n"/>
      <c r="N17" s="4" t="n"/>
    </row>
    <row r="18" ht="20" customHeight="1">
      <c r="A18" s="11" t="inlineStr">
        <is>
          <t>Asset-backed interest</t>
        </is>
      </c>
      <c r="B18" s="8" t="inlineStr">
        <is>
          <t>ZAR'000</t>
        </is>
      </c>
      <c r="C18" s="13">
        <f>(C17+C14/2)*$C$7</f>
        <v/>
      </c>
      <c r="D18" s="13">
        <f>(D17+D14/2)*$C$7</f>
        <v/>
      </c>
      <c r="E18" s="13">
        <f>(E17+E14/2)*$C$7</f>
        <v/>
      </c>
      <c r="F18" s="13">
        <f>(F17+F14/2)*$C$7</f>
        <v/>
      </c>
      <c r="G18" s="13">
        <f>(G17+G14/2)*$C$7</f>
        <v/>
      </c>
      <c r="H18" s="13">
        <f>(H17+H14/2)*$C$7</f>
        <v/>
      </c>
      <c r="I18" s="13">
        <f>(I17+I14/2)*$C$7</f>
        <v/>
      </c>
      <c r="J18" s="13">
        <f>(J17+J14/2)*$C$7</f>
        <v/>
      </c>
      <c r="K18" s="13">
        <f>(K17+K14/2)*$C$7</f>
        <v/>
      </c>
      <c r="L18" s="13">
        <f>(L17+L14/2)*$C$7</f>
        <v/>
      </c>
      <c r="M18" s="4" t="n"/>
      <c r="N18" s="4" t="n"/>
    </row>
    <row r="19" ht="20" customHeight="1">
      <c r="A19" s="11" t="inlineStr">
        <is>
          <t>Asset-backed principal</t>
        </is>
      </c>
      <c r="B19" s="8" t="inlineStr">
        <is>
          <t>ZAR'000</t>
        </is>
      </c>
      <c r="C19" s="29">
        <f>IF(C$13=2026+$C$9-1,$C$14,0)</f>
        <v/>
      </c>
      <c r="D19" s="29">
        <f>IF(D$13=2026+$C$9-1,$C$14,0)</f>
        <v/>
      </c>
      <c r="E19" s="29">
        <f>IF(E$13=2026+$C$9-1,$C$14,0)</f>
        <v/>
      </c>
      <c r="F19" s="29">
        <f>IF(F$13=2026+$C$9-1,$C$14,0)</f>
        <v/>
      </c>
      <c r="G19" s="29">
        <f>IF(G$13=2026+$C$9-1,$C$14,0)</f>
        <v/>
      </c>
      <c r="H19" s="29">
        <f>IF(H$13=2026+$C$9-1,$C$14,0)</f>
        <v/>
      </c>
      <c r="I19" s="29">
        <f>IF(I$13=2026+$C$9-1,$C$14,0)</f>
        <v/>
      </c>
      <c r="J19" s="29">
        <f>IF(J$13=2026+$C$9-1,$C$14,0)</f>
        <v/>
      </c>
      <c r="K19" s="29">
        <f>IF(K$13=2026+$C$9-1,$C$14,0)</f>
        <v/>
      </c>
      <c r="L19" s="29">
        <f>IF(L$13=2026+$C$9-1,$C$14,0)</f>
        <v/>
      </c>
      <c r="M19" s="4" t="n"/>
      <c r="N19" s="4" t="n"/>
    </row>
    <row r="20" ht="20" customHeight="1">
      <c r="A20" s="11" t="inlineStr">
        <is>
          <t>Asset-backed closing</t>
        </is>
      </c>
      <c r="B20" s="8" t="inlineStr">
        <is>
          <t>ZAR'000</t>
        </is>
      </c>
      <c r="C20" s="13">
        <f>C17+C14-C19</f>
        <v/>
      </c>
      <c r="D20" s="13">
        <f>D17+D14-D19</f>
        <v/>
      </c>
      <c r="E20" s="13">
        <f>E17+E14-E19</f>
        <v/>
      </c>
      <c r="F20" s="13">
        <f>F17+F14-F19</f>
        <v/>
      </c>
      <c r="G20" s="13">
        <f>G17+G14-G19</f>
        <v/>
      </c>
      <c r="H20" s="13">
        <f>H17+H14-H19</f>
        <v/>
      </c>
      <c r="I20" s="13">
        <f>I17+I14-I19</f>
        <v/>
      </c>
      <c r="J20" s="13">
        <f>J17+J14-J19</f>
        <v/>
      </c>
      <c r="K20" s="13">
        <f>K17+K14-K19</f>
        <v/>
      </c>
      <c r="L20" s="13">
        <f>L17+L14-L19</f>
        <v/>
      </c>
      <c r="M20" s="4" t="n"/>
      <c r="N20" s="4" t="n"/>
    </row>
    <row r="21" ht="20" customHeight="1">
      <c r="A21" s="11" t="inlineStr">
        <is>
          <t>Mezz opening</t>
        </is>
      </c>
      <c r="B21" s="8" t="inlineStr">
        <is>
          <t>ZAR'000</t>
        </is>
      </c>
      <c r="C21" s="13" t="n">
        <v>0</v>
      </c>
      <c r="D21" s="13">
        <f>C24</f>
        <v/>
      </c>
      <c r="E21" s="13">
        <f>D24</f>
        <v/>
      </c>
      <c r="F21" s="13">
        <f>E24</f>
        <v/>
      </c>
      <c r="G21" s="13">
        <f>F24</f>
        <v/>
      </c>
      <c r="H21" s="13">
        <f>G24</f>
        <v/>
      </c>
      <c r="I21" s="13">
        <f>H24</f>
        <v/>
      </c>
      <c r="J21" s="13">
        <f>I24</f>
        <v/>
      </c>
      <c r="K21" s="13">
        <f>J24</f>
        <v/>
      </c>
      <c r="L21" s="13">
        <f>K24</f>
        <v/>
      </c>
      <c r="M21" s="4" t="n"/>
      <c r="N21" s="4" t="n"/>
    </row>
    <row r="22" ht="20" customHeight="1">
      <c r="A22" s="11" t="inlineStr">
        <is>
          <t>Mezz interest</t>
        </is>
      </c>
      <c r="B22" s="8" t="inlineStr">
        <is>
          <t>ZAR'000</t>
        </is>
      </c>
      <c r="C22" s="13">
        <f>(C21+C15/2)*$C$8</f>
        <v/>
      </c>
      <c r="D22" s="13">
        <f>(D21+D15/2)*$C$8</f>
        <v/>
      </c>
      <c r="E22" s="13">
        <f>(E21+E15/2)*$C$8</f>
        <v/>
      </c>
      <c r="F22" s="13">
        <f>(F21+F15/2)*$C$8</f>
        <v/>
      </c>
      <c r="G22" s="13">
        <f>(G21+G15/2)*$C$8</f>
        <v/>
      </c>
      <c r="H22" s="13">
        <f>(H21+H15/2)*$C$8</f>
        <v/>
      </c>
      <c r="I22" s="13">
        <f>(I21+I15/2)*$C$8</f>
        <v/>
      </c>
      <c r="J22" s="13">
        <f>(J21+J15/2)*$C$8</f>
        <v/>
      </c>
      <c r="K22" s="13">
        <f>(K21+K15/2)*$C$8</f>
        <v/>
      </c>
      <c r="L22" s="13">
        <f>(L21+L15/2)*$C$8</f>
        <v/>
      </c>
      <c r="M22" s="4" t="n"/>
      <c r="N22" s="4" t="n"/>
    </row>
    <row r="23" ht="20" customHeight="1">
      <c r="A23" s="11" t="inlineStr">
        <is>
          <t>Mezz principal</t>
        </is>
      </c>
      <c r="B23" s="8" t="inlineStr">
        <is>
          <t>ZAR'000</t>
        </is>
      </c>
      <c r="C23" s="29">
        <f>IF(C$13=2026+$C$10-1,$C$15,0)</f>
        <v/>
      </c>
      <c r="D23" s="29">
        <f>IF(D$13=2026+$C$10-1,$C$15,0)</f>
        <v/>
      </c>
      <c r="E23" s="29">
        <f>IF(E$13=2026+$C$10-1,$C$15,0)</f>
        <v/>
      </c>
      <c r="F23" s="29">
        <f>IF(F$13=2026+$C$10-1,$C$15,0)</f>
        <v/>
      </c>
      <c r="G23" s="29">
        <f>IF(G$13=2026+$C$10-1,$C$15,0)</f>
        <v/>
      </c>
      <c r="H23" s="29">
        <f>IF(H$13=2026+$C$10-1,$C$15,0)</f>
        <v/>
      </c>
      <c r="I23" s="29">
        <f>IF(I$13=2026+$C$10-1,$C$15,0)</f>
        <v/>
      </c>
      <c r="J23" s="29">
        <f>IF(J$13=2026+$C$10-1,$C$15,0)</f>
        <v/>
      </c>
      <c r="K23" s="29">
        <f>IF(K$13=2026+$C$10-1,$C$15,0)</f>
        <v/>
      </c>
      <c r="L23" s="29">
        <f>IF(L$13=2026+$C$10-1,$C$15,0)</f>
        <v/>
      </c>
      <c r="M23" s="4" t="n"/>
      <c r="N23" s="4" t="n"/>
    </row>
    <row r="24" ht="20" customHeight="1">
      <c r="A24" s="11" t="inlineStr">
        <is>
          <t>Mezz closing</t>
        </is>
      </c>
      <c r="B24" s="8" t="inlineStr">
        <is>
          <t>ZAR'000</t>
        </is>
      </c>
      <c r="C24" s="13">
        <f>C21+C15-C23</f>
        <v/>
      </c>
      <c r="D24" s="13">
        <f>D21+D15-D23</f>
        <v/>
      </c>
      <c r="E24" s="13">
        <f>E21+E15-E23</f>
        <v/>
      </c>
      <c r="F24" s="13">
        <f>F21+F15-F23</f>
        <v/>
      </c>
      <c r="G24" s="13">
        <f>G21+G15-G23</f>
        <v/>
      </c>
      <c r="H24" s="13">
        <f>H21+H15-H23</f>
        <v/>
      </c>
      <c r="I24" s="13">
        <f>I21+I15-I23</f>
        <v/>
      </c>
      <c r="J24" s="13">
        <f>J21+J15-J23</f>
        <v/>
      </c>
      <c r="K24" s="13">
        <f>K21+K15-K23</f>
        <v/>
      </c>
      <c r="L24" s="13">
        <f>L21+L15-L23</f>
        <v/>
      </c>
      <c r="M24" s="4" t="n"/>
      <c r="N24" s="4" t="n"/>
    </row>
    <row r="25" ht="20" customHeight="1">
      <c r="A25" s="11" t="inlineStr">
        <is>
          <t>Total interest</t>
        </is>
      </c>
      <c r="B25" s="8" t="inlineStr">
        <is>
          <t>ZAR'000</t>
        </is>
      </c>
      <c r="C25" s="13">
        <f>C18+C22</f>
        <v/>
      </c>
      <c r="D25" s="13">
        <f>D18+D22</f>
        <v/>
      </c>
      <c r="E25" s="13">
        <f>E18+E22</f>
        <v/>
      </c>
      <c r="F25" s="13">
        <f>F18+F22</f>
        <v/>
      </c>
      <c r="G25" s="13">
        <f>G18+G22</f>
        <v/>
      </c>
      <c r="H25" s="13">
        <f>H18+H22</f>
        <v/>
      </c>
      <c r="I25" s="13">
        <f>I18+I22</f>
        <v/>
      </c>
      <c r="J25" s="13">
        <f>J18+J22</f>
        <v/>
      </c>
      <c r="K25" s="13">
        <f>K18+K22</f>
        <v/>
      </c>
      <c r="L25" s="13">
        <f>L18+L22</f>
        <v/>
      </c>
      <c r="M25" s="4" t="n"/>
      <c r="N25" s="4" t="n"/>
    </row>
    <row r="26" ht="20" customHeight="1">
      <c r="A26" s="11" t="inlineStr">
        <is>
          <t>Total principal</t>
        </is>
      </c>
      <c r="B26" s="8" t="inlineStr">
        <is>
          <t>ZAR'000</t>
        </is>
      </c>
      <c r="C26" s="13">
        <f>C19+C23</f>
        <v/>
      </c>
      <c r="D26" s="13">
        <f>D19+D23</f>
        <v/>
      </c>
      <c r="E26" s="13">
        <f>E19+E23</f>
        <v/>
      </c>
      <c r="F26" s="13">
        <f>F19+F23</f>
        <v/>
      </c>
      <c r="G26" s="13">
        <f>G19+G23</f>
        <v/>
      </c>
      <c r="H26" s="13">
        <f>H19+H23</f>
        <v/>
      </c>
      <c r="I26" s="13">
        <f>I19+I23</f>
        <v/>
      </c>
      <c r="J26" s="13">
        <f>J19+J23</f>
        <v/>
      </c>
      <c r="K26" s="13">
        <f>K19+K23</f>
        <v/>
      </c>
      <c r="L26" s="13">
        <f>L19+L23</f>
        <v/>
      </c>
      <c r="M26" s="4" t="n"/>
      <c r="N26" s="4" t="n"/>
    </row>
  </sheetData>
  <mergeCells count="2">
    <mergeCell ref="F3:J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Returns, Cash Flow and Basic Valuation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6" t="n"/>
    </row>
    <row r="2" ht="2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10" t="inlineStr">
        <is>
          <t>Driver</t>
        </is>
      </c>
      <c r="B3" s="10" t="inlineStr">
        <is>
          <t>Unit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4" t="n"/>
      <c r="N3" s="4" t="n"/>
    </row>
    <row r="4" ht="20" customHeight="1">
      <c r="A4" s="11" t="inlineStr">
        <is>
          <t>Total revenue</t>
        </is>
      </c>
      <c r="B4" s="8" t="inlineStr">
        <is>
          <t>ZAR'000</t>
        </is>
      </c>
      <c r="C4" s="13">
        <f>Revenue!C38</f>
        <v/>
      </c>
      <c r="D4" s="13">
        <f>Revenue!D38</f>
        <v/>
      </c>
      <c r="E4" s="13">
        <f>Revenue!E38</f>
        <v/>
      </c>
      <c r="F4" s="13">
        <f>Revenue!F38</f>
        <v/>
      </c>
      <c r="G4" s="13">
        <f>Revenue!G38</f>
        <v/>
      </c>
      <c r="H4" s="13">
        <f>Revenue!H38</f>
        <v/>
      </c>
      <c r="I4" s="13">
        <f>Revenue!I38</f>
        <v/>
      </c>
      <c r="J4" s="13">
        <f>Revenue!J38</f>
        <v/>
      </c>
      <c r="K4" s="13">
        <f>Revenue!K38</f>
        <v/>
      </c>
      <c r="L4" s="13">
        <f>Revenue!L38</f>
        <v/>
      </c>
      <c r="M4" s="4" t="n"/>
      <c r="N4" s="4" t="n"/>
    </row>
    <row r="5" ht="20" customHeight="1">
      <c r="A5" s="11" t="inlineStr">
        <is>
          <t>Total opex</t>
        </is>
      </c>
      <c r="B5" s="8" t="inlineStr">
        <is>
          <t>ZAR'000</t>
        </is>
      </c>
      <c r="C5" s="13">
        <f>Opex!C37</f>
        <v/>
      </c>
      <c r="D5" s="13">
        <f>Opex!D37</f>
        <v/>
      </c>
      <c r="E5" s="13">
        <f>Opex!E37</f>
        <v/>
      </c>
      <c r="F5" s="13">
        <f>Opex!F37</f>
        <v/>
      </c>
      <c r="G5" s="13">
        <f>Opex!G37</f>
        <v/>
      </c>
      <c r="H5" s="13">
        <f>Opex!H37</f>
        <v/>
      </c>
      <c r="I5" s="13">
        <f>Opex!I37</f>
        <v/>
      </c>
      <c r="J5" s="13">
        <f>Opex!J37</f>
        <v/>
      </c>
      <c r="K5" s="13">
        <f>Opex!K37</f>
        <v/>
      </c>
      <c r="L5" s="13">
        <f>Opex!L37</f>
        <v/>
      </c>
      <c r="M5" s="4" t="n"/>
      <c r="N5" s="4" t="n"/>
    </row>
    <row r="6" ht="20" customHeight="1">
      <c r="A6" s="11" t="inlineStr">
        <is>
          <t>EBITDA</t>
        </is>
      </c>
      <c r="B6" s="8" t="inlineStr">
        <is>
          <t>ZAR'000</t>
        </is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  <c r="H6" s="13">
        <f>H4-H5</f>
        <v/>
      </c>
      <c r="I6" s="13">
        <f>I4-I5</f>
        <v/>
      </c>
      <c r="J6" s="13">
        <f>J4-J5</f>
        <v/>
      </c>
      <c r="K6" s="13">
        <f>K4-K5</f>
        <v/>
      </c>
      <c r="L6" s="13">
        <f>L4-L5</f>
        <v/>
      </c>
      <c r="M6" s="4" t="n"/>
      <c r="N6" s="4" t="n"/>
    </row>
    <row r="7" ht="20" customHeight="1">
      <c r="A7" s="11" t="inlineStr">
        <is>
          <t>Depreciation</t>
        </is>
      </c>
      <c r="B7" s="8" t="inlineStr">
        <is>
          <t>ZAR'000</t>
        </is>
      </c>
      <c r="C7" s="13">
        <f>Depreciation!C32</f>
        <v/>
      </c>
      <c r="D7" s="13">
        <f>Depreciation!D32</f>
        <v/>
      </c>
      <c r="E7" s="13">
        <f>Depreciation!E32</f>
        <v/>
      </c>
      <c r="F7" s="13">
        <f>Depreciation!F32</f>
        <v/>
      </c>
      <c r="G7" s="13">
        <f>Depreciation!G32</f>
        <v/>
      </c>
      <c r="H7" s="13">
        <f>Depreciation!H32</f>
        <v/>
      </c>
      <c r="I7" s="13">
        <f>Depreciation!I32</f>
        <v/>
      </c>
      <c r="J7" s="13">
        <f>Depreciation!J32</f>
        <v/>
      </c>
      <c r="K7" s="13">
        <f>Depreciation!K32</f>
        <v/>
      </c>
      <c r="L7" s="13">
        <f>Depreciation!L32</f>
        <v/>
      </c>
      <c r="M7" s="4" t="n"/>
      <c r="N7" s="4" t="n"/>
    </row>
    <row r="8" ht="20" customHeight="1">
      <c r="A8" s="11" t="inlineStr">
        <is>
          <t>EBIT</t>
        </is>
      </c>
      <c r="B8" s="8" t="inlineStr">
        <is>
          <t>ZAR'000</t>
        </is>
      </c>
      <c r="C8" s="13">
        <f>C6-C7</f>
        <v/>
      </c>
      <c r="D8" s="13">
        <f>D6-D7</f>
        <v/>
      </c>
      <c r="E8" s="13">
        <f>E6-E7</f>
        <v/>
      </c>
      <c r="F8" s="13">
        <f>F6-F7</f>
        <v/>
      </c>
      <c r="G8" s="13">
        <f>G6-G7</f>
        <v/>
      </c>
      <c r="H8" s="13">
        <f>H6-H7</f>
        <v/>
      </c>
      <c r="I8" s="13">
        <f>I6-I7</f>
        <v/>
      </c>
      <c r="J8" s="13">
        <f>J6-J7</f>
        <v/>
      </c>
      <c r="K8" s="13">
        <f>K6-K7</f>
        <v/>
      </c>
      <c r="L8" s="13">
        <f>L6-L7</f>
        <v/>
      </c>
      <c r="M8" s="4" t="n"/>
      <c r="N8" s="4" t="n"/>
    </row>
    <row r="9" ht="20" customHeight="1">
      <c r="A9" s="11" t="inlineStr">
        <is>
          <t>Tax</t>
        </is>
      </c>
      <c r="B9" s="8" t="inlineStr">
        <is>
          <t>ZAR'000</t>
        </is>
      </c>
      <c r="C9" s="13">
        <f>IF(C8&gt;0,C8*Assumptions!C14,0)</f>
        <v/>
      </c>
      <c r="D9" s="13">
        <f>IF(D8&gt;0,D8*Assumptions!D14,0)</f>
        <v/>
      </c>
      <c r="E9" s="13">
        <f>IF(E8&gt;0,E8*Assumptions!E14,0)</f>
        <v/>
      </c>
      <c r="F9" s="13">
        <f>IF(F8&gt;0,F8*Assumptions!F14,0)</f>
        <v/>
      </c>
      <c r="G9" s="13">
        <f>IF(G8&gt;0,G8*Assumptions!G14,0)</f>
        <v/>
      </c>
      <c r="H9" s="13">
        <f>IF(H8&gt;0,H8*Assumptions!H14,0)</f>
        <v/>
      </c>
      <c r="I9" s="13">
        <f>IF(I8&gt;0,I8*Assumptions!I14,0)</f>
        <v/>
      </c>
      <c r="J9" s="13">
        <f>IF(J8&gt;0,J8*Assumptions!J14,0)</f>
        <v/>
      </c>
      <c r="K9" s="13">
        <f>IF(K8&gt;0,K8*Assumptions!K14,0)</f>
        <v/>
      </c>
      <c r="L9" s="13">
        <f>IF(L8&gt;0,L8*Assumptions!L14,0)</f>
        <v/>
      </c>
      <c r="M9" s="4" t="n"/>
      <c r="N9" s="4" t="n"/>
    </row>
    <row r="10" ht="20" customHeight="1">
      <c r="A10" s="11" t="inlineStr">
        <is>
          <t>NOPAT</t>
        </is>
      </c>
      <c r="B10" s="8" t="inlineStr">
        <is>
          <t>ZAR'000</t>
        </is>
      </c>
      <c r="C10" s="13">
        <f>C8-C9</f>
        <v/>
      </c>
      <c r="D10" s="13">
        <f>D8-D9</f>
        <v/>
      </c>
      <c r="E10" s="13">
        <f>E8-E9</f>
        <v/>
      </c>
      <c r="F10" s="13">
        <f>F8-F9</f>
        <v/>
      </c>
      <c r="G10" s="13">
        <f>G8-G9</f>
        <v/>
      </c>
      <c r="H10" s="13">
        <f>H8-H9</f>
        <v/>
      </c>
      <c r="I10" s="13">
        <f>I8-I9</f>
        <v/>
      </c>
      <c r="J10" s="13">
        <f>J8-J9</f>
        <v/>
      </c>
      <c r="K10" s="13">
        <f>K8-K9</f>
        <v/>
      </c>
      <c r="L10" s="13">
        <f>L8-L9</f>
        <v/>
      </c>
      <c r="M10" s="4" t="n"/>
      <c r="N10" s="4" t="n"/>
    </row>
    <row r="11" ht="20" customHeight="1">
      <c r="A11" s="11" t="inlineStr">
        <is>
          <t>Capex</t>
        </is>
      </c>
      <c r="B11" s="8" t="inlineStr">
        <is>
          <t>ZAR'000</t>
        </is>
      </c>
      <c r="C11" s="13">
        <f>Capex!C25</f>
        <v/>
      </c>
      <c r="D11" s="13">
        <f>Capex!D25</f>
        <v/>
      </c>
      <c r="E11" s="13">
        <f>Capex!E25</f>
        <v/>
      </c>
      <c r="F11" s="13">
        <f>Capex!F25</f>
        <v/>
      </c>
      <c r="G11" s="13">
        <f>Capex!G25</f>
        <v/>
      </c>
      <c r="H11" s="13">
        <f>Capex!H25</f>
        <v/>
      </c>
      <c r="I11" s="13">
        <f>Capex!I25</f>
        <v/>
      </c>
      <c r="J11" s="13">
        <f>Capex!J25</f>
        <v/>
      </c>
      <c r="K11" s="13">
        <f>Capex!K25</f>
        <v/>
      </c>
      <c r="L11" s="13">
        <f>Capex!L25</f>
        <v/>
      </c>
      <c r="M11" s="4" t="n"/>
      <c r="N11" s="4" t="n"/>
    </row>
    <row r="12" ht="20" customHeight="1">
      <c r="A12" s="11" t="inlineStr">
        <is>
          <t>Unlevered FCF</t>
        </is>
      </c>
      <c r="B12" s="8" t="inlineStr">
        <is>
          <t>ZAR'000</t>
        </is>
      </c>
      <c r="C12" s="13">
        <f>C10+C7-C11</f>
        <v/>
      </c>
      <c r="D12" s="13">
        <f>D10+D7-D11</f>
        <v/>
      </c>
      <c r="E12" s="13">
        <f>E10+E7-E11</f>
        <v/>
      </c>
      <c r="F12" s="13">
        <f>F10+F7-F11</f>
        <v/>
      </c>
      <c r="G12" s="13">
        <f>G10+G7-G11</f>
        <v/>
      </c>
      <c r="H12" s="13">
        <f>H10+H7-H11</f>
        <v/>
      </c>
      <c r="I12" s="13">
        <f>I10+I7-I11</f>
        <v/>
      </c>
      <c r="J12" s="13">
        <f>J10+J7-J11</f>
        <v/>
      </c>
      <c r="K12" s="13">
        <f>K10+K7-K11</f>
        <v/>
      </c>
      <c r="L12" s="13">
        <f>L10+L7-L11</f>
        <v/>
      </c>
      <c r="M12" s="4" t="n"/>
      <c r="N12" s="4" t="n"/>
    </row>
    <row r="13" ht="20" customHeight="1">
      <c r="A13" s="11" t="inlineStr">
        <is>
          <t>Interest</t>
        </is>
      </c>
      <c r="B13" s="8" t="inlineStr">
        <is>
          <t>ZAR'000</t>
        </is>
      </c>
      <c r="C13" s="13">
        <f>Debt!C25</f>
        <v/>
      </c>
      <c r="D13" s="13">
        <f>Debt!D25</f>
        <v/>
      </c>
      <c r="E13" s="13">
        <f>Debt!E25</f>
        <v/>
      </c>
      <c r="F13" s="13">
        <f>Debt!F25</f>
        <v/>
      </c>
      <c r="G13" s="13">
        <f>Debt!G25</f>
        <v/>
      </c>
      <c r="H13" s="13">
        <f>Debt!H25</f>
        <v/>
      </c>
      <c r="I13" s="13">
        <f>Debt!I25</f>
        <v/>
      </c>
      <c r="J13" s="13">
        <f>Debt!J25</f>
        <v/>
      </c>
      <c r="K13" s="13">
        <f>Debt!K25</f>
        <v/>
      </c>
      <c r="L13" s="13">
        <f>Debt!L25</f>
        <v/>
      </c>
      <c r="M13" s="4" t="n"/>
      <c r="N13" s="4" t="n"/>
    </row>
    <row r="14" ht="20" customHeight="1">
      <c r="A14" s="11" t="inlineStr">
        <is>
          <t>Principal</t>
        </is>
      </c>
      <c r="B14" s="8" t="inlineStr">
        <is>
          <t>ZAR'000</t>
        </is>
      </c>
      <c r="C14" s="13">
        <f>Debt!C26</f>
        <v/>
      </c>
      <c r="D14" s="13">
        <f>Debt!D26</f>
        <v/>
      </c>
      <c r="E14" s="13">
        <f>Debt!E26</f>
        <v/>
      </c>
      <c r="F14" s="13">
        <f>Debt!F26</f>
        <v/>
      </c>
      <c r="G14" s="13">
        <f>Debt!G26</f>
        <v/>
      </c>
      <c r="H14" s="13">
        <f>Debt!H26</f>
        <v/>
      </c>
      <c r="I14" s="13">
        <f>Debt!I26</f>
        <v/>
      </c>
      <c r="J14" s="13">
        <f>Debt!J26</f>
        <v/>
      </c>
      <c r="K14" s="13">
        <f>Debt!K26</f>
        <v/>
      </c>
      <c r="L14" s="13">
        <f>Debt!L26</f>
        <v/>
      </c>
      <c r="M14" s="4" t="n"/>
      <c r="N14" s="4" t="n"/>
    </row>
    <row r="15" ht="20" customHeight="1">
      <c r="A15" s="11" t="inlineStr">
        <is>
          <t>Debt draws</t>
        </is>
      </c>
      <c r="B15" s="8" t="inlineStr">
        <is>
          <t>ZAR'000</t>
        </is>
      </c>
      <c r="C15" s="13">
        <f>Debt!C14+Debt!C15</f>
        <v/>
      </c>
      <c r="D15" s="13">
        <f>Debt!D14+Debt!D15</f>
        <v/>
      </c>
      <c r="E15" s="13">
        <f>Debt!E14+Debt!E15</f>
        <v/>
      </c>
      <c r="F15" s="13">
        <f>Debt!F14+Debt!F15</f>
        <v/>
      </c>
      <c r="G15" s="13">
        <f>Debt!G14+Debt!G15</f>
        <v/>
      </c>
      <c r="H15" s="13">
        <f>Debt!H14+Debt!H15</f>
        <v/>
      </c>
      <c r="I15" s="13">
        <f>Debt!I14+Debt!I15</f>
        <v/>
      </c>
      <c r="J15" s="13">
        <f>Debt!J14+Debt!J15</f>
        <v/>
      </c>
      <c r="K15" s="13">
        <f>Debt!K14+Debt!K15</f>
        <v/>
      </c>
      <c r="L15" s="13">
        <f>Debt!L14+Debt!L15</f>
        <v/>
      </c>
      <c r="M15" s="4" t="n"/>
      <c r="N15" s="4" t="n"/>
    </row>
    <row r="16" ht="20" customHeight="1">
      <c r="A16" s="11" t="inlineStr">
        <is>
          <t>Cash flow to equity</t>
        </is>
      </c>
      <c r="B16" s="8" t="inlineStr">
        <is>
          <t>ZAR'000</t>
        </is>
      </c>
      <c r="C16" s="13">
        <f>C6-C9-C11-C13-C14+C15</f>
        <v/>
      </c>
      <c r="D16" s="13">
        <f>D6-D9-D11-D13-D14+D15</f>
        <v/>
      </c>
      <c r="E16" s="13">
        <f>E6-E9-E11-E13-E14+E15</f>
        <v/>
      </c>
      <c r="F16" s="13">
        <f>F6-F9-F11-F13-F14+F15</f>
        <v/>
      </c>
      <c r="G16" s="13">
        <f>G6-G9-G11-G13-G14+G15</f>
        <v/>
      </c>
      <c r="H16" s="13">
        <f>H6-H9-H11-H13-H14+H15</f>
        <v/>
      </c>
      <c r="I16" s="13">
        <f>I6-I9-I11-I13-I14+I15</f>
        <v/>
      </c>
      <c r="J16" s="13">
        <f>J6-J9-J11-J13-J14+J15</f>
        <v/>
      </c>
      <c r="K16" s="13">
        <f>K6-K9-K11-K13-K14+K15</f>
        <v/>
      </c>
      <c r="L16" s="13">
        <f>L6-L9-L11-L13-L14+L15</f>
        <v/>
      </c>
      <c r="M16" s="4" t="n"/>
      <c r="N16" s="4" t="n"/>
    </row>
    <row r="17" ht="20" customHeight="1">
      <c r="A17" s="11" t="inlineStr">
        <is>
          <t>DSCR</t>
        </is>
      </c>
      <c r="B17" s="8" t="inlineStr">
        <is>
          <t>x</t>
        </is>
      </c>
      <c r="C17" s="4">
        <f>IF((C13+C14)&gt;0,(C6-C9)/(C13+C14),"")</f>
        <v/>
      </c>
      <c r="D17" s="4">
        <f>IF((D13+D14)&gt;0,(D6-D9)/(D13+D14),"")</f>
        <v/>
      </c>
      <c r="E17" s="4">
        <f>IF((E13+E14)&gt;0,(E6-E9)/(E13+E14),"")</f>
        <v/>
      </c>
      <c r="F17" s="4">
        <f>IF((F13+F14)&gt;0,(F6-F9)/(F13+F14),"")</f>
        <v/>
      </c>
      <c r="G17" s="4">
        <f>IF((G13+G14)&gt;0,(G6-G9)/(G13+G14),"")</f>
        <v/>
      </c>
      <c r="H17" s="4">
        <f>IF((H13+H14)&gt;0,(H6-H9)/(H13+H14),"")</f>
        <v/>
      </c>
      <c r="I17" s="4">
        <f>IF((I13+I14)&gt;0,(I6-I9)/(I13+I14),"")</f>
        <v/>
      </c>
      <c r="J17" s="4">
        <f>IF((J13+J14)&gt;0,(J6-J9)/(J13+J14),"")</f>
        <v/>
      </c>
      <c r="K17" s="4">
        <f>IF((K13+K14)&gt;0,(K6-K9)/(K13+K14),"")</f>
        <v/>
      </c>
      <c r="L17" s="4">
        <f>IF((L13+L14)&gt;0,(L6-L9)/(L13+L14),"")</f>
        <v/>
      </c>
      <c r="M17" s="4" t="n"/>
      <c r="N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5" t="inlineStr">
        <is>
          <t>Summary metrics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 ht="20" customHeight="1">
      <c r="A21" s="11" t="inlineStr">
        <is>
          <t>Unlevered IRR</t>
        </is>
      </c>
      <c r="B21" s="23">
        <f>IRR(C12:L12)</f>
        <v/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11" t="inlineStr">
        <is>
          <t>Equity IRR</t>
        </is>
      </c>
      <c r="B22" s="23">
        <f>IRR(C16:L16)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 ht="20" customHeight="1">
      <c r="A23" s="11" t="inlineStr">
        <is>
          <t>Initial capex benchmark vs R544m</t>
        </is>
      </c>
      <c r="B23" s="24">
        <f>C11/544000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11" t="inlineStr">
        <is>
          <t>Year 1 EBITDA margin</t>
        </is>
      </c>
      <c r="B24" s="23">
        <f>C6/C4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2" customWidth="1" min="3" max="3"/>
  </cols>
  <sheetData>
    <row r="1" ht="20" customHeight="1">
      <c r="A1" s="1" t="inlineStr">
        <is>
          <t>Model Integrity Checks</t>
        </is>
      </c>
      <c r="B1" s="25" t="n"/>
      <c r="C1" s="25" t="n"/>
      <c r="D1" s="25" t="n"/>
      <c r="E1" s="25" t="n"/>
      <c r="F1" s="26" t="n"/>
    </row>
    <row r="2" ht="20" customHeight="1">
      <c r="A2" s="4" t="n"/>
      <c r="B2" s="4" t="n"/>
      <c r="C2" s="4" t="n"/>
      <c r="D2" s="4" t="n"/>
      <c r="E2" s="4" t="n"/>
      <c r="F2" s="4" t="n"/>
    </row>
    <row r="3" ht="20" customHeight="1">
      <c r="A3" s="10" t="inlineStr">
        <is>
          <t>Check</t>
        </is>
      </c>
      <c r="B3" s="10" t="inlineStr">
        <is>
          <t>Formula / value</t>
        </is>
      </c>
      <c r="C3" s="10" t="inlineStr">
        <is>
          <t>Interpretation</t>
        </is>
      </c>
      <c r="D3" s="30" t="inlineStr">
        <is>
          <t>Status</t>
        </is>
      </c>
      <c r="E3" s="4" t="n"/>
      <c r="F3" s="4" t="n"/>
    </row>
    <row r="4" ht="20" customHeight="1">
      <c r="A4" s="11" t="inlineStr">
        <is>
          <t>Funding mix sums to 100%</t>
        </is>
      </c>
      <c r="B4" s="22">
        <f>SUM(Debt!C4:Debt!C6)</f>
        <v/>
      </c>
      <c r="C4" s="8" t="inlineStr">
        <is>
          <t>PASS if 100%</t>
        </is>
      </c>
      <c r="D4" s="31">
        <f>IF(ABS(B4-1)&lt;0.0001,"PASS","FAIL")</f>
        <v/>
      </c>
      <c r="E4" s="4" t="n"/>
      <c r="F4" s="4" t="n"/>
    </row>
    <row r="5" ht="20" customHeight="1">
      <c r="A5" s="11" t="inlineStr">
        <is>
          <t>Phase 1 MW totals 20MW in 2026</t>
        </is>
      </c>
      <c r="B5" s="22">
        <f>Site_Assumptions!C32</f>
        <v/>
      </c>
      <c r="C5" s="8" t="inlineStr">
        <is>
          <t>PASS if 20</t>
        </is>
      </c>
      <c r="D5" s="31">
        <f>IF(B5=20,"PASS","CHECK")</f>
        <v/>
      </c>
      <c r="E5" s="4" t="n"/>
      <c r="F5" s="4" t="n"/>
    </row>
    <row r="6" ht="20" customHeight="1">
      <c r="A6" s="11" t="inlineStr">
        <is>
          <t>No base case DR revenue</t>
        </is>
      </c>
      <c r="B6" s="22">
        <f>SUM(Revenue!C37:L37)</f>
        <v/>
      </c>
      <c r="C6" s="8" t="inlineStr">
        <is>
          <t>PASS if 0 unless intentionally enabled</t>
        </is>
      </c>
      <c r="D6" s="31">
        <f>IF(B6=0,"PASS","CHECK")</f>
        <v/>
      </c>
      <c r="E6" s="4" t="n"/>
      <c r="F6" s="4" t="n"/>
    </row>
    <row r="7" ht="20" customHeight="1">
      <c r="A7" s="11" t="inlineStr">
        <is>
          <t>Year 1 capex close to R544m benchmark</t>
        </is>
      </c>
      <c r="B7" s="22">
        <f>Capex!C25/544000</f>
        <v/>
      </c>
      <c r="C7" s="8" t="inlineStr">
        <is>
          <t>1.00x is aligned</t>
        </is>
      </c>
      <c r="D7" s="31">
        <f>IF(ABS(B7-1)&lt;0.05,"PASS","CHECK")</f>
        <v/>
      </c>
      <c r="E7" s="4" t="n"/>
      <c r="F7" s="4" t="n"/>
    </row>
    <row r="8" ht="20" customHeight="1">
      <c r="A8" s="11" t="inlineStr">
        <is>
          <t>No negative debt balances</t>
        </is>
      </c>
      <c r="B8" s="22">
        <f>MIN(Debt!C20:L20,Debt!C24:L24)</f>
        <v/>
      </c>
      <c r="C8" s="8" t="inlineStr">
        <is>
          <t>Should be &gt;= 0</t>
        </is>
      </c>
      <c r="D8" s="31">
        <f>IF(B8&gt;=0,"PASS","FAIL")</f>
        <v/>
      </c>
      <c r="E8" s="4" t="n"/>
      <c r="F8" s="4" t="n"/>
    </row>
    <row r="9" ht="20" customHeight="1">
      <c r="A9" s="11" t="inlineStr">
        <is>
          <t>No negative depreciation</t>
        </is>
      </c>
      <c r="B9" s="22">
        <f>MIN(Depreciation!C32:L32)</f>
        <v/>
      </c>
      <c r="C9" s="8" t="inlineStr">
        <is>
          <t>Should be &gt;= 0</t>
        </is>
      </c>
      <c r="D9" s="31">
        <f>IF(B9&gt;=0,"PASS","FAIL")</f>
        <v/>
      </c>
      <c r="E9" s="4" t="n"/>
      <c r="F9" s="4" t="n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Why this workbook replaces the legacy model</t>
        </is>
      </c>
      <c r="B1" s="25" t="n"/>
      <c r="C1" s="25" t="n"/>
      <c r="D1" s="25" t="n"/>
      <c r="E1" s="25" t="n"/>
      <c r="F1" s="26" t="n"/>
    </row>
    <row r="2" ht="20" customHeight="1">
      <c r="A2" s="4" t="n"/>
      <c r="B2" s="4" t="n"/>
      <c r="C2" s="4" t="n"/>
      <c r="D2" s="4" t="n"/>
      <c r="E2" s="4" t="n"/>
      <c r="F2" s="4" t="n"/>
    </row>
    <row r="3" ht="20" customHeight="1">
      <c r="A3" s="4" t="n"/>
      <c r="B3" s="4" t="n"/>
      <c r="C3" s="4" t="n"/>
      <c r="D3" s="4" t="n"/>
      <c r="E3" s="4" t="n"/>
      <c r="F3" s="4" t="n"/>
    </row>
    <row r="4" ht="20" customHeight="1">
      <c r="A4" s="7" t="inlineStr">
        <is>
          <t>• Legacy workbook contains critical formula errors in the P&amp;L, cash flow and valuation sections.</t>
        </is>
      </c>
      <c r="B4" s="4" t="n"/>
      <c r="C4" s="4" t="n"/>
      <c r="D4" s="4" t="n"/>
      <c r="E4" s="4" t="n"/>
      <c r="F4" s="4" t="n"/>
    </row>
    <row r="5" ht="20" customHeight="1">
      <c r="A5" s="7" t="inlineStr">
        <is>
          <t>• Legacy workbook mixes proposal sandboxes, raw source tabs and core model tabs in one file.</t>
        </is>
      </c>
      <c r="B5" s="4" t="n"/>
      <c r="C5" s="4" t="n"/>
      <c r="D5" s="4" t="n"/>
      <c r="E5" s="4" t="n"/>
      <c r="F5" s="4" t="n"/>
    </row>
    <row r="6" ht="20" customHeight="1">
      <c r="A6" s="7" t="inlineStr">
        <is>
          <t>• Peer comps depend on workstation-specific add-ins and fail with #NAME? outside that environment.</t>
        </is>
      </c>
      <c r="B6" s="4" t="n"/>
      <c r="C6" s="4" t="n"/>
      <c r="D6" s="4" t="n"/>
      <c r="E6" s="4" t="n"/>
      <c r="F6" s="4" t="n"/>
    </row>
    <row r="7" ht="20" customHeight="1">
      <c r="A7" s="7" t="inlineStr">
        <is>
          <t>• The phase strategy in the March 2026 memo is a 10MW + 10MW proof phase, not a generic 20MW-to-2GW ramp from year 1.</t>
        </is>
      </c>
      <c r="B7" s="4" t="n"/>
      <c r="C7" s="4" t="n"/>
      <c r="D7" s="4" t="n"/>
      <c r="E7" s="4" t="n"/>
      <c r="F7" s="4" t="n"/>
    </row>
    <row r="8" ht="20" customHeight="1">
      <c r="A8" s="7" t="inlineStr">
        <is>
          <t>• This clean workbook should be treated as the controlled starting point for the next investor model iteration.</t>
        </is>
      </c>
      <c r="B8" s="4" t="n"/>
      <c r="C8" s="4" t="n"/>
      <c r="D8" s="4" t="n"/>
      <c r="E8" s="4" t="n"/>
      <c r="F8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2026-04-16T15:20:01Z</dcterms:created>
  <dcterms:modified xmlns:dcterms="http://purl.org/dc/terms/" xmlns:xsi="http://www.w3.org/2001/XMLSchema-instance" xsi:type="dcterms:W3CDTF">2026-04-16T15:23:50Z</dcterms:modified>
</cp:coreProperties>
</file>